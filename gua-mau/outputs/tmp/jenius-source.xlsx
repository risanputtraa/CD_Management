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VISUAL PLANNING - CA" sheetId="1" r:id="rId5"/>
    <sheet state="hidden" name="VISUAL BRIEF - CA" sheetId="2" r:id="rId6"/>
    <sheet state="visible" name="VR - CA" sheetId="3" r:id="rId7"/>
    <sheet state="visible" name="VR - 3D - Product" sheetId="4" r:id="rId8"/>
    <sheet state="visible" name="VR - 3D - Envi" sheetId="5" r:id="rId9"/>
    <sheet state="visible" name="VR - 3D - Character" sheetId="6" r:id="rId10"/>
    <sheet state="visible" name="VR - 3D - ANIMATION" sheetId="7" r:id="rId11"/>
    <sheet state="visible" name="VR - 3D - Assy &amp; Prefabs CF" sheetId="8" r:id="rId12"/>
    <sheet state="visible" name="Other Task" sheetId="9" r:id="rId13"/>
    <sheet state="hidden" name="3D - Envi" sheetId="10" r:id="rId14"/>
    <sheet state="hidden" name="3D - Assy &amp; Prefabs CF" sheetId="11" r:id="rId15"/>
    <sheet state="hidden" name="2D - UI and Other Task" sheetId="12" r:id="rId16"/>
    <sheet state="hidden" name="VA - TemplateBumper" sheetId="13" r:id="rId17"/>
    <sheet state="visible" name="Resume and Plan Task" sheetId="14" r:id="rId18"/>
    <sheet state="visible" name="List Personnel" sheetId="15" r:id="rId19"/>
    <sheet state="visible" name="Tabel Pembantu" sheetId="16" r:id="rId20"/>
    <sheet state="visible" name="Rekap" sheetId="17" r:id="rId21"/>
    <sheet state="visible" name="Rekap MP" sheetId="18" r:id="rId22"/>
    <sheet state="hidden" name="_SYNC_STATE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34">
      <text>
        <t xml:space="preserve">Objeknya ganti jadi "JFS doors switch" ada prosedurnya di TO ID1F-16C-2-52JG-00-1, Section 52-00-12 (Halaman 2-132 &amp; 2-138).</t>
      </text>
    </comment>
  </commentList>
</comments>
</file>

<file path=xl/sharedStrings.xml><?xml version="1.0" encoding="utf-8"?>
<sst xmlns="http://schemas.openxmlformats.org/spreadsheetml/2006/main" count="5858" uniqueCount="950">
  <si>
    <t>Scenario List</t>
  </si>
  <si>
    <t>Product Content/Envi List</t>
  </si>
  <si>
    <t>Klasifikasi</t>
  </si>
  <si>
    <t>Scenario</t>
  </si>
  <si>
    <t>Klasifikasi Level Model</t>
  </si>
  <si>
    <t>Visual Brief</t>
  </si>
  <si>
    <t>Modelling Product Content</t>
  </si>
  <si>
    <t>Concept Visual Planning</t>
  </si>
  <si>
    <t>Revision 1</t>
  </si>
  <si>
    <t>Materi Deskriptif atau Naratif Gameplay</t>
  </si>
  <si>
    <t>Revision 2</t>
  </si>
  <si>
    <t>QC Concept Visual Planning</t>
  </si>
  <si>
    <t>QC Concept Visual Brief</t>
  </si>
  <si>
    <t>QC 3D Model</t>
  </si>
  <si>
    <t>Quality Check Description</t>
  </si>
  <si>
    <t>Quality Check 3D Model</t>
  </si>
  <si>
    <t>QC Materi Deskriptif atau Naratif</t>
  </si>
  <si>
    <t>Storyboard Tactical</t>
  </si>
  <si>
    <t>Visual Planning</t>
  </si>
  <si>
    <t>QC Materi Deskriptif atau Naratif Gameplay</t>
  </si>
  <si>
    <t>Texturing Product Content</t>
  </si>
  <si>
    <t>QC Visual Planning</t>
  </si>
  <si>
    <t>QC Storyboard Tactical</t>
  </si>
  <si>
    <t>Quality Visual Planning</t>
  </si>
  <si>
    <t>No</t>
  </si>
  <si>
    <t>Scenario Name</t>
  </si>
  <si>
    <t>Scenario Code</t>
  </si>
  <si>
    <t>Level Konsep Visual Planning</t>
  </si>
  <si>
    <t>QC Texturing</t>
  </si>
  <si>
    <t>Level Visual Planning</t>
  </si>
  <si>
    <t>QC Visual Brief</t>
  </si>
  <si>
    <t>PIC Penentu</t>
  </si>
  <si>
    <t>Quality Check 3D Texturing</t>
  </si>
  <si>
    <t>Level Visual Brief</t>
  </si>
  <si>
    <t>Quality Check Visual Brief</t>
  </si>
  <si>
    <t>Level</t>
  </si>
  <si>
    <t>PIC</t>
  </si>
  <si>
    <t>Level Storyboard Tactical</t>
  </si>
  <si>
    <t>Start Time</t>
  </si>
  <si>
    <t>Status</t>
  </si>
  <si>
    <t>Finish Time</t>
  </si>
  <si>
    <t>Prefabs Making (Product Content/Hardsurface) (Unity)</t>
  </si>
  <si>
    <t>Duration
(Minute)</t>
  </si>
  <si>
    <t>Storyboard</t>
  </si>
  <si>
    <t>Duration Pause (Minute)</t>
  </si>
  <si>
    <t>Duration Final (Hour)</t>
  </si>
  <si>
    <t>PIC Rev 1</t>
  </si>
  <si>
    <t>Revision Percentage</t>
  </si>
  <si>
    <t>PIC Rev 2</t>
  </si>
  <si>
    <t>PIC QC</t>
  </si>
  <si>
    <t>QC Export</t>
  </si>
  <si>
    <t>QC Count</t>
  </si>
  <si>
    <t>QC Storyboard</t>
  </si>
  <si>
    <t>Quality Check 3D Storyboard</t>
  </si>
  <si>
    <t>Product Name</t>
  </si>
  <si>
    <t>Product Type</t>
  </si>
  <si>
    <t>Gambar</t>
  </si>
  <si>
    <t>Ref Link Server</t>
  </si>
  <si>
    <t>Scenario Nama</t>
  </si>
  <si>
    <t>Level Model</t>
  </si>
  <si>
    <t>Level Texture</t>
  </si>
  <si>
    <t>Level Description</t>
  </si>
  <si>
    <t>Level Storyboard</t>
  </si>
  <si>
    <t>Static Target Shooting</t>
  </si>
  <si>
    <t>The Fatal Funnel (Penggerebekan Gudang Narkoba)</t>
  </si>
  <si>
    <t>Type</t>
  </si>
  <si>
    <t>Dian Hasanudin</t>
  </si>
  <si>
    <t>Muhamad Ade Saputra</t>
  </si>
  <si>
    <t>I</t>
  </si>
  <si>
    <t>Done</t>
  </si>
  <si>
    <t>CPU-AMD Ryzen Threadripper PRO 9985WX 64 Core / 128 Thread</t>
  </si>
  <si>
    <t>ELECTRICAL AVIONICS (EA)</t>
  </si>
  <si>
    <t>Yasin Nur Kholish</t>
  </si>
  <si>
    <t>Arif Kurniawan</t>
  </si>
  <si>
    <t>A</t>
  </si>
  <si>
    <t>Kelistrikan Pesawat (Electrical System)</t>
  </si>
  <si>
    <t>Pemeriksaan Operasional Sistem DC Power Generation pesawat F-16</t>
  </si>
  <si>
    <t>Egi Dwi Septian</t>
  </si>
  <si>
    <t>Faaidh Abdurrazzak</t>
  </si>
  <si>
    <t>Motherboard-Workstation ASUS Pro WS WRX90E-SAGE SE</t>
  </si>
  <si>
    <t>Aditya Warman</t>
  </si>
  <si>
    <t>Moving Target Shooting</t>
  </si>
  <si>
    <t>The Wrong Door (Kompleks Apartemen Padat)</t>
  </si>
  <si>
    <t>Siti Anisah Rhamadani</t>
  </si>
  <si>
    <t>Analisis Bentuk Gelombang AC FLCS PMG F-16</t>
  </si>
  <si>
    <t>Multiple Target Engangement</t>
  </si>
  <si>
    <t>First Light (Operasi Cakrawala)</t>
  </si>
  <si>
    <t>Lungga Islam Setiagama</t>
  </si>
  <si>
    <t>Pop Up Target Shooting</t>
  </si>
  <si>
    <t>RAM-256 GB DDR5 ECC RDIMM 8×32 GB</t>
  </si>
  <si>
    <t>Skyjack Crisis (Pembajakan Pesawat Komersial)</t>
  </si>
  <si>
    <t>Pemeliharaan Wiring Harness F-16 (Soldering &amp; ESD Protection)</t>
  </si>
  <si>
    <t>Tactical Shooting Scenario</t>
  </si>
  <si>
    <t>Revision</t>
  </si>
  <si>
    <t xml:space="preserve">Human Shield (Perampokan Bank)
</t>
  </si>
  <si>
    <t>GPU-NVIDIA RTX PRO 5000 Blackwell 48 GB GDDR7 ECC</t>
  </si>
  <si>
    <t>Reaction Shooting Drill</t>
  </si>
  <si>
    <t>The Blind Corner (Penyisiran Lorong Sempit)</t>
  </si>
  <si>
    <t>The Executive Transport (Penyergapan Konvoi)</t>
  </si>
  <si>
    <t>SSD OS-2 TB NVMe PCIe 5.0</t>
  </si>
  <si>
    <t xml:space="preserve">Pemeriksaan Operasional Sistem Distribusi Daya AC 60 kVA (Engine Operating) </t>
  </si>
  <si>
    <t>The Eagle's Nest (Operasi Cakar Elang)</t>
  </si>
  <si>
    <t>Campus Panic (Serangan Kampus)</t>
  </si>
  <si>
    <t>Storage Data-8 TB enterprise HDD</t>
  </si>
  <si>
    <t>Kurnia Sandi</t>
  </si>
  <si>
    <t>Subway Station (Sabotase Stasiun Kereta Bawah Tanah)</t>
  </si>
  <si>
    <t>Power Outage Hospital (Serbuan Penjarah Fasilitas Medis)</t>
  </si>
  <si>
    <t>Network Card 1-Onboard 10 GbE</t>
  </si>
  <si>
    <t>Midnight Harbour (Penyergapan Dermaga Malam)</t>
  </si>
  <si>
    <t>Phantom Protocol (Operasi Bayang Hitam)</t>
  </si>
  <si>
    <t>Pelepasan &amp; Pemasangan (Removal &amp; Installation) Pitot-Static Probe pada Pesawat F-16</t>
  </si>
  <si>
    <t>Red Dust (Operasi Debu Merah)</t>
  </si>
  <si>
    <t>Network Card 2-Dual/Quad-port 10 GbE Ethernet NIC</t>
  </si>
  <si>
    <t>Last Light (Operasi Fajar Terakhir)</t>
  </si>
  <si>
    <t>Network Card 3-25 GbE SFP28 NIC</t>
  </si>
  <si>
    <t>Pengujian Operasional Sistem Daya Listrik Darurat (Emergency Power Unit - EPU Control) pada Pesawat F-16</t>
  </si>
  <si>
    <t>Troubleshooting Gangguan Kedipan Daya (Electrical Brownout Fault Isolation)</t>
  </si>
  <si>
    <t>Wi-Fi 7 enterprise-class adapter</t>
  </si>
  <si>
    <t>B</t>
  </si>
  <si>
    <t>Avionik &amp; Instrument (Avionics &amp; Instrument System)</t>
  </si>
  <si>
    <t>Kalibrasi dan Pemeriksaan Instrumen Operasional Sistem Kokpit Pesawat F-16</t>
  </si>
  <si>
    <t>PSU-1600–2000 W, 80+ Platinum/Titanium</t>
  </si>
  <si>
    <t>CPU Cooling-sTR5</t>
  </si>
  <si>
    <t xml:space="preserve">Pemeriksaan Operasional &amp; Tes Diagnostik Sistem Navigasi Udara TACAN Pesawat F-16 </t>
  </si>
  <si>
    <t>Tyara Patricia</t>
  </si>
  <si>
    <t>Case-Full Tower Workstation</t>
  </si>
  <si>
    <t>Adam Al Hafizh Djabumona</t>
  </si>
  <si>
    <t/>
  </si>
  <si>
    <t>Troubleshooting Sistem Navigasi VOR/ILS Pesawat F-16</t>
  </si>
  <si>
    <t>UPS-2200–3000 VA Pure Sine Wave</t>
  </si>
  <si>
    <t>Envi 3D</t>
  </si>
  <si>
    <t>Modelling Environment</t>
  </si>
  <si>
    <t>Pelepasan &amp; Pemasangan (Removal &amp; Installation) External Power Monitor pada Pesawat F-16</t>
  </si>
  <si>
    <t>QC Model Environment</t>
  </si>
  <si>
    <t>Texture Environment</t>
  </si>
  <si>
    <t>QC Texture</t>
  </si>
  <si>
    <t>Environment 3D Assembly</t>
  </si>
  <si>
    <t>Monitor 2 × 32" 4K IPS</t>
  </si>
  <si>
    <t>QC Assembly</t>
  </si>
  <si>
    <t>Quality Check Assembly</t>
  </si>
  <si>
    <t>Envi Name</t>
  </si>
  <si>
    <t>Envi Code</t>
  </si>
  <si>
    <t>Level Model Envi</t>
  </si>
  <si>
    <t>Level Texture Envi</t>
  </si>
  <si>
    <t>Level Assy Envi</t>
  </si>
  <si>
    <t>Hangar F16</t>
  </si>
  <si>
    <t>Interior</t>
  </si>
  <si>
    <t>Ongoing</t>
  </si>
  <si>
    <t>Keyboard Full-size Wired USB</t>
  </si>
  <si>
    <t>Pengujian Operasional Transponder AIFF AN/APX-126 Menggunakan Ramp Test Set pada Pesawat F-16</t>
  </si>
  <si>
    <t>C</t>
  </si>
  <si>
    <t>Kompas (Magnetic Compass System - Mandiri)</t>
  </si>
  <si>
    <t>Mouse Wired USB</t>
  </si>
  <si>
    <t>Kalibrasi Deviasi Magnetic Compass AQU-3/A pada Pesawat F-16</t>
  </si>
  <si>
    <t>Character List</t>
  </si>
  <si>
    <t>Modelling Character on CC</t>
  </si>
  <si>
    <t>Texturing Clothe''s Skin</t>
  </si>
  <si>
    <t>Character 3D Cloth Assembly</t>
  </si>
  <si>
    <t>Headset Wired USB</t>
  </si>
  <si>
    <t>Character Cut and Weightpaint</t>
  </si>
  <si>
    <t>QC Prefabs</t>
  </si>
  <si>
    <t>Prefabs Character (Unity)</t>
  </si>
  <si>
    <t>Char Name</t>
  </si>
  <si>
    <t>Gender</t>
  </si>
  <si>
    <t>Char Code</t>
  </si>
  <si>
    <t>Modelling on CC</t>
  </si>
  <si>
    <t>Level Texture Cloth</t>
  </si>
  <si>
    <t>Assy Character 3D Cloth</t>
  </si>
  <si>
    <t>Remake Body F16 - Front</t>
  </si>
  <si>
    <t>Lapangan Udara F16</t>
  </si>
  <si>
    <t>Exterior</t>
  </si>
  <si>
    <t>Instruktur Komputer Male</t>
  </si>
  <si>
    <t>Maqolidurrohmatulloh</t>
  </si>
  <si>
    <t>Amir Alqodri</t>
  </si>
  <si>
    <t>Ruangan Wawancara Kerja</t>
  </si>
  <si>
    <t>Remake Body F16 - Fuselage</t>
  </si>
  <si>
    <t>Alif Alfirman</t>
  </si>
  <si>
    <t>Analisis Koefisien Deviasi &amp; Koreksi Fisik Kompas AQU-3/A Pesawat F-16</t>
  </si>
  <si>
    <t>Remake Body F16 - Wing</t>
  </si>
  <si>
    <t>Ruang Kelas Lab Komputer</t>
  </si>
  <si>
    <t>Alfian Noor Ibrahim</t>
  </si>
  <si>
    <t>D</t>
  </si>
  <si>
    <t>Troubleshooting &amp; Safety Culture</t>
  </si>
  <si>
    <t>Troubleshooting &amp; Isolasi Modul LRU Avionik Pesawat F-16</t>
  </si>
  <si>
    <t>Remake Body F16 - Rear</t>
  </si>
  <si>
    <t>Remake F16 - Nose Landing Gear</t>
  </si>
  <si>
    <t>Michael Karel Yansen Gunawan</t>
  </si>
  <si>
    <t>Pending</t>
  </si>
  <si>
    <t>Remake F16 - Main Landing Gear</t>
  </si>
  <si>
    <t>Penerapan Safety Culture, ESD Protection &amp; Penanganan Darurat Baterai Lithium Pesawat F-16</t>
  </si>
  <si>
    <t>Remake F16 - Pylon</t>
  </si>
  <si>
    <t>E</t>
  </si>
  <si>
    <t>Kesiapan Kerja, Magang &amp; Sertifikasi Kompetensi</t>
  </si>
  <si>
    <t>Remake F16 - Cockpit Body</t>
  </si>
  <si>
    <t>Daffa Rifki Arbian Yusuf</t>
  </si>
  <si>
    <t>Perancangan CV Berbasis ATS &amp; Kesiapan Kerja EA</t>
  </si>
  <si>
    <t>Remake F16 - Seat</t>
  </si>
  <si>
    <t>Teknisi F16 Male 1</t>
  </si>
  <si>
    <t>Simulasi Wawancara Kerja &amp; Demonstrasi Teknis EA</t>
  </si>
  <si>
    <t>Remake F16 - Instrument Panel Right</t>
  </si>
  <si>
    <t>Remake F16 - Instrument Panel Left</t>
  </si>
  <si>
    <t>Remake F16 - Pedal</t>
  </si>
  <si>
    <t>Teknisi F16 Male 2</t>
  </si>
  <si>
    <t>II</t>
  </si>
  <si>
    <t>AIRFRAME AND POWERPLANT (AFP)</t>
  </si>
  <si>
    <t>I-A-1</t>
  </si>
  <si>
    <t>Electrical Power Test Adapter</t>
  </si>
  <si>
    <t>Struktur Pesawat (Airframe System)</t>
  </si>
  <si>
    <t>Penyelarasan Celah dan Pemasangan Shim Struktural Ventral Fin Pesawat F-16</t>
  </si>
  <si>
    <t>Multimeter Digital (dilengkapi probe hitam &amp; merah)</t>
  </si>
  <si>
    <t>Maulana Fadhil Ahmad</t>
  </si>
  <si>
    <t>Adapter Cable W2</t>
  </si>
  <si>
    <t>Ghifari Gilmansyah Ali Hakim</t>
  </si>
  <si>
    <t>Teknisi F16 Male 3</t>
  </si>
  <si>
    <t>Konektor Fisik Pesawat (2442J618, 2441J1)</t>
  </si>
  <si>
    <t>Prosedur Pendongkrakan (Jacking) Struktural Rangka Utama dan Penyelarasan Nose Radome Pesawat F-16</t>
  </si>
  <si>
    <t>Pintu Akses F16 (2202, 2204, 2318)</t>
  </si>
  <si>
    <t>Prosedur Pembukaan, Penutupan, dan Penyelarasan (Alignment) Nose Radome Pesawat F-16</t>
  </si>
  <si>
    <t>Tablet logbook virtual</t>
  </si>
  <si>
    <t>Mesin Pesawat (Powerplant System)</t>
  </si>
  <si>
    <t>Aircraft Marshaller Male</t>
  </si>
  <si>
    <t>Prosedur Penurunan (Removal) dan Pemasangan (Installation) Mesin Turbofan F100-PW-220/220E F-16</t>
  </si>
  <si>
    <t>I-A-2</t>
  </si>
  <si>
    <t>Flight Control Power Converter Regulator (2429PS5 atau 2429PS6)</t>
  </si>
  <si>
    <t>Dimas Bhakti Kurniawan</t>
  </si>
  <si>
    <t>Alfitri Deviani</t>
  </si>
  <si>
    <t>Osiloskop</t>
  </si>
  <si>
    <t>Pakaian Kemeja Instruktur</t>
  </si>
  <si>
    <t>Cloth</t>
  </si>
  <si>
    <t>Metode Pengencangan Torsi dan Pengikatan Kawat Pengaman (Safety Wiring) Fastener F-16</t>
  </si>
  <si>
    <t>ESD Grounding Wrist Strap</t>
  </si>
  <si>
    <t>Prosedur Inspeksi Visual Magnetic Chip Detector dan Servis Main Oil Filter Mesin F100-PW-220</t>
  </si>
  <si>
    <t>Anti-static Mats</t>
  </si>
  <si>
    <t>Prosedur Pengoperasian Jet Fuel Starter (JFS) dan Dry Motoring Mesin F100-PW-220</t>
  </si>
  <si>
    <t>Pakaian Wearpack</t>
  </si>
  <si>
    <t>Meja uji</t>
  </si>
  <si>
    <t>Sistem Hidrolik Pesawat (Aircraft Hydraulic System)</t>
  </si>
  <si>
    <t>Prosedur Pengujian Tekanan Kerja dan Deteksi Kebocoran Sirkuit Hidrolik Pesawat F-16</t>
  </si>
  <si>
    <t>I-B-1</t>
  </si>
  <si>
    <t>Alat Uji Tekanan Udara (TTU-205)</t>
  </si>
  <si>
    <t>Pakaian Marshaller</t>
  </si>
  <si>
    <t>Obeng Non Magnetik</t>
  </si>
  <si>
    <t>Prosedur Depresurisasi Hidrolik dan Pemeriksaan Tekanan Pre-Charge Accumulator (System A, B, &amp; JFS/Brake) Pesawat F-16</t>
  </si>
  <si>
    <t>I-B-2</t>
  </si>
  <si>
    <t>APD K3 (Headset H-157/A1C)</t>
  </si>
  <si>
    <t>Perawatan, Inspeksi &amp; Safety Culture</t>
  </si>
  <si>
    <t>Inspeksi Keliling Pesawat (Walkaround Inspection) dan Pengukuran Level Fluida Siap Terbang F-16</t>
  </si>
  <si>
    <t>Instruktur Komputer Female</t>
  </si>
  <si>
    <t>Animation List</t>
  </si>
  <si>
    <t>Klasifikasi Level Animation</t>
  </si>
  <si>
    <t>Animating Character</t>
  </si>
  <si>
    <t>QC 3D Model Character</t>
  </si>
  <si>
    <t>Quality Check 3D Model Character</t>
  </si>
  <si>
    <t>Animasi Mechanical</t>
  </si>
  <si>
    <t>QC Animasi Mechanical</t>
  </si>
  <si>
    <t>Quality Check 3D Texture Cloth</t>
  </si>
  <si>
    <t>Quality Check Assy Character 3D Cloth</t>
  </si>
  <si>
    <t>Animasi Camera Cinematic</t>
  </si>
  <si>
    <t>MFD (Multi-Function Display)</t>
  </si>
  <si>
    <t>QC Animasi Camera Cinematic</t>
  </si>
  <si>
    <t>Quality Check Prefabs Product Content (Unreal)</t>
  </si>
  <si>
    <t>Action Name</t>
  </si>
  <si>
    <t>Scene</t>
  </si>
  <si>
    <t>Level Animasi Character</t>
  </si>
  <si>
    <t>Level Animasi Mechanical</t>
  </si>
  <si>
    <t>Level Animasi Camera Cinematic</t>
  </si>
  <si>
    <t>M-Stand Technician Thinking Var1</t>
  </si>
  <si>
    <t>Character</t>
  </si>
  <si>
    <t>ICP (Integrated Control Panel)</t>
  </si>
  <si>
    <t>Ahmad Rafli Amirulloh</t>
  </si>
  <si>
    <t>Prosedur ground safety Ground Crew dan Penanganan Darurat Tumpahan Bahan Kimia Penerbangan</t>
  </si>
  <si>
    <t>Aircraft Marshaller Male Var2</t>
  </si>
  <si>
    <t>Asykuri Nabila</t>
  </si>
  <si>
    <t>I-C-2</t>
  </si>
  <si>
    <t>DD Form 1613 (Kartu Koreksi Kompas)</t>
  </si>
  <si>
    <t>Kesiapan Kerja</t>
  </si>
  <si>
    <t>Perancangan CV Berbasis ATS &amp; Kesiapan Kerja AFP</t>
  </si>
  <si>
    <t>Obeng Standar</t>
  </si>
  <si>
    <t>Pakaian Kemeja Instruktur Female</t>
  </si>
  <si>
    <t>Simulasi Wawancara Kerja &amp; Demonstrasi Teknis AFP</t>
  </si>
  <si>
    <t>Ring Washer Logam Kuningan</t>
  </si>
  <si>
    <t>M-Stand Technician Thinking Var2</t>
  </si>
  <si>
    <t>baju</t>
  </si>
  <si>
    <t>Kompas AQU-3/A</t>
  </si>
  <si>
    <t>III</t>
  </si>
  <si>
    <t>TEKNIK KOMPUTER &amp; JARINGAN (TKJ)</t>
  </si>
  <si>
    <t>Kotak Peralatan (Toolkit)</t>
  </si>
  <si>
    <t>Dasar Komputer, Desain &amp; Pemrograman</t>
  </si>
  <si>
    <t>Perakitan Fisik Personal Komputer (PC)</t>
  </si>
  <si>
    <t>Bagus Bima Satriawan</t>
  </si>
  <si>
    <t>I-D-1</t>
  </si>
  <si>
    <t>Logic Analyzer</t>
  </si>
  <si>
    <t>Multimeter &amp; Ramp Tester</t>
  </si>
  <si>
    <t>Instalasi Sistem Operasi Linux Client</t>
  </si>
  <si>
    <t>I-E-1</t>
  </si>
  <si>
    <t>Meja Kerja (berisi panel DC Power Distribution &amp; modul wiring harness)</t>
  </si>
  <si>
    <t>Troubleshooting Hardware &amp; Perawatan Perangkat Tambahan (Peripheral)</t>
  </si>
  <si>
    <t>I-E-2</t>
  </si>
  <si>
    <t>CV ATS (Sample) Var 1</t>
  </si>
  <si>
    <t>Logika &amp; Algoritma Pemrograman Dasar</t>
  </si>
  <si>
    <t>Desain Grafis &amp; Pemrograman Web Portal Udara</t>
  </si>
  <si>
    <t>II-A-1</t>
  </si>
  <si>
    <t>Masker Respirator</t>
  </si>
  <si>
    <t>Jaringan Komputer (Networking System)</t>
  </si>
  <si>
    <t>Perancangan Skema IP &amp; Subnetting</t>
  </si>
  <si>
    <t>Pneumatic drill motor</t>
  </si>
  <si>
    <t>Dial Caliper</t>
  </si>
  <si>
    <t>Konfigurasi Router &amp; Switch Manageable</t>
  </si>
  <si>
    <t>Plat Aluminium Shim Stock</t>
  </si>
  <si>
    <t>Instalasi Kabel Jaringan &amp; Terminasi Fisik (Crimping)</t>
  </si>
  <si>
    <t>Pengukuran Level Daya Sinyal dan Redaman Optik Menggunakan Optical Power Meter (OPM) &amp; Optical Light Source (OLS)</t>
  </si>
  <si>
    <t>Kain Cheesecloth</t>
  </si>
  <si>
    <t>Implementasi Manajemen Kabel Fisik (Cable Ducting, Patch Panel, &amp; Physical Labeling) Rak Server</t>
  </si>
  <si>
    <t>Server &amp; Cloud Computing System</t>
  </si>
  <si>
    <t>Lem Modified Epoxy</t>
  </si>
  <si>
    <t>Instalasi &amp; Administrasi OS Server</t>
  </si>
  <si>
    <t>Grommet</t>
  </si>
  <si>
    <t>Rotary Tool Mandrel</t>
  </si>
  <si>
    <t>Pengelolaan Layanan Cloud &amp; Layanan Jaringan</t>
  </si>
  <si>
    <t>Pin punch tool</t>
  </si>
  <si>
    <t>Cyber Security &amp; IOT System</t>
  </si>
  <si>
    <t>Amplas 240 - grit</t>
  </si>
  <si>
    <t>Pengamanan Jaringan &amp; Analisis Trafik</t>
  </si>
  <si>
    <t>Plastic scraper</t>
  </si>
  <si>
    <t>Aviation snip</t>
  </si>
  <si>
    <t>Pengembangan Sistem Monitoring Hangar Berbasis IoT &amp; AI (Artificial Intelligence)</t>
  </si>
  <si>
    <t>II-A-2</t>
  </si>
  <si>
    <t>Hydraulic Tripod Jacks (Type B -6)</t>
  </si>
  <si>
    <t>Problem Solving, Troubleshooting Jaringan &amp; IOT</t>
  </si>
  <si>
    <t>Maintenance Platform Type B -4A</t>
  </si>
  <si>
    <t>Prosedur Pengukuran Tahanan Pembumian (Grounding) Perangkat Server Menggunakan Earth Tester</t>
  </si>
  <si>
    <t>Bantalan Karet (Rubber Padding atau  Matting)</t>
  </si>
  <si>
    <t>Penyambungan Fisik Serat Optik (Fusion Splicing) &amp; Pengujian Redaman Menggunakan Fusion Splicer dan Cleaver</t>
  </si>
  <si>
    <t>Alat ukur Feeler Gauge</t>
  </si>
  <si>
    <t>Troubleshooting Konektivitas Jaringan</t>
  </si>
  <si>
    <t>Adaptor Dongkrak (Longeron Removal Jacking Adapters Kit)</t>
  </si>
  <si>
    <t>II-B-1</t>
  </si>
  <si>
    <t>Unit Kontrol Elektronik Mesin (Digital Electronic Engine Control / DEEC)</t>
  </si>
  <si>
    <t>Scenario List CF</t>
  </si>
  <si>
    <t>Klasifikasi Level Assy &amp; Prefabs CF</t>
  </si>
  <si>
    <t>Mechanical 3D Scenario Assembly</t>
  </si>
  <si>
    <t>QC 3D Assembly Mechanical</t>
  </si>
  <si>
    <t>Quality Check 3D Prefabs Scenario</t>
  </si>
  <si>
    <t>Prefabs Making (Product Content/Hardsurface)</t>
  </si>
  <si>
    <t>QC Prefabs Product Envi di Unity</t>
  </si>
  <si>
    <t>Level Assy</t>
  </si>
  <si>
    <t>Level Prefabs</t>
  </si>
  <si>
    <t>Level Lighting</t>
  </si>
  <si>
    <t>Assembly Area - Cockpit F16</t>
  </si>
  <si>
    <t>Sensor Suhu Oli (Engine Oil Low-Pressure Switch)</t>
  </si>
  <si>
    <t>Integrasi IoT Hangar &amp; Kepatuhan Safety</t>
  </si>
  <si>
    <t>Shorting Lead</t>
  </si>
  <si>
    <t>F</t>
  </si>
  <si>
    <t xml:space="preserve">EEC Lines (Pressure Relief) </t>
  </si>
  <si>
    <t>Perancangan CV Berbasis ATS &amp; Kesiapan Kerja IT</t>
  </si>
  <si>
    <t>Simulasi Wawancara Kerja &amp; Demonstrasi Teknis TKJ</t>
  </si>
  <si>
    <t>II-B-2</t>
  </si>
  <si>
    <t>Safety Wire Twister Pliers (Tang Pemilin Kawat)</t>
  </si>
  <si>
    <t>Torque Wrench (Kunci Torsi)</t>
  </si>
  <si>
    <t>II-C-1</t>
  </si>
  <si>
    <t>AF FORM 781</t>
  </si>
  <si>
    <t>Tactical/Military Flashlight</t>
  </si>
  <si>
    <t>Task Type</t>
  </si>
  <si>
    <t>Task</t>
  </si>
  <si>
    <t>Qty</t>
  </si>
  <si>
    <t>Telescopic Inspection Mirror</t>
  </si>
  <si>
    <t>Support</t>
  </si>
  <si>
    <t>Support pencarian referensi model aset</t>
  </si>
  <si>
    <t>AF FORM 781A</t>
  </si>
  <si>
    <t>Assembly Area - Body type D to C Retexture</t>
  </si>
  <si>
    <t>Assembly Area - Airframe Fixing</t>
  </si>
  <si>
    <t>II-C-2</t>
  </si>
  <si>
    <t>Safety Shoes</t>
  </si>
  <si>
    <t>Dhia Azmi Achmadi</t>
  </si>
  <si>
    <t>Safety Goggles</t>
  </si>
  <si>
    <t>Ear Protector</t>
  </si>
  <si>
    <t>ALLIGATOR CLIP</t>
  </si>
  <si>
    <t>Environment Assembly</t>
  </si>
  <si>
    <t>Tombol alarm evakuasi</t>
  </si>
  <si>
    <t>Lapangan Latihan Kursus Mengemudi</t>
  </si>
  <si>
    <t>Throttle</t>
  </si>
  <si>
    <t>II-D-1</t>
  </si>
  <si>
    <t>Industrial Goggles</t>
  </si>
  <si>
    <t>Wheel Chocks</t>
  </si>
  <si>
    <t>Ignition System / Exciter Box</t>
  </si>
  <si>
    <t>Isopropyl Alcohol</t>
  </si>
  <si>
    <t>II-D-2</t>
  </si>
  <si>
    <t>CV ATS (Sample) Var 2</t>
  </si>
  <si>
    <t>III-B-2</t>
  </si>
  <si>
    <t>Routerboard (MikroTik)</t>
  </si>
  <si>
    <t>Switch Manageable</t>
  </si>
  <si>
    <t>Trolley maintenance</t>
  </si>
  <si>
    <t>Server Rack</t>
  </si>
  <si>
    <t>III-B-3</t>
  </si>
  <si>
    <t>LAN Tester</t>
  </si>
  <si>
    <t>Crimping Tool</t>
  </si>
  <si>
    <t>Wire Stripper</t>
  </si>
  <si>
    <t>III-C-1</t>
  </si>
  <si>
    <t>PC Server/Rackmount Server</t>
  </si>
  <si>
    <t>III-D-1</t>
  </si>
  <si>
    <t>Cable Fault Locator</t>
  </si>
  <si>
    <t>III-D-2</t>
  </si>
  <si>
    <t>Breadboard</t>
  </si>
  <si>
    <t>Kabel Jumper</t>
  </si>
  <si>
    <t>Kabel Data USB</t>
  </si>
  <si>
    <t>Sensor Asap</t>
  </si>
  <si>
    <t>III-E-1</t>
  </si>
  <si>
    <t>Rak Server (Server Rack)</t>
  </si>
  <si>
    <t>Router WiFi</t>
  </si>
  <si>
    <t>III-E-2</t>
  </si>
  <si>
    <t>Explosion-Proof Enclosure</t>
  </si>
  <si>
    <t>Gateway komputasi IoT</t>
  </si>
  <si>
    <t>Heavy-duty shelf bracket</t>
  </si>
  <si>
    <t>Kabel Grounding</t>
  </si>
  <si>
    <t>Obeng Set Presisi</t>
  </si>
  <si>
    <t>Kunci Pas</t>
  </si>
  <si>
    <t>Sarung Tangan Anti- Statis</t>
  </si>
  <si>
    <t>Certified AC DC Distribution Control Panel</t>
  </si>
  <si>
    <t>Explosion-Proof Enclosure - Inside</t>
  </si>
  <si>
    <t>Routerboard (MikroTik) Var 2</t>
  </si>
  <si>
    <t>Kabel LAN Cat6</t>
  </si>
  <si>
    <t>EVJEN003_MEJA_MEETING</t>
  </si>
  <si>
    <t>EVJEN003_KURSI_MEETING</t>
  </si>
  <si>
    <t>EVJEN004_KURSI</t>
  </si>
  <si>
    <t>EVJEN004_MEJA</t>
  </si>
  <si>
    <t>EVJEN004_AC</t>
  </si>
  <si>
    <t>QC Assembly Mechanical</t>
  </si>
  <si>
    <t>Prefabs Making (Environment)</t>
  </si>
  <si>
    <t>Prefabs Making (Lighting and Volumetric Setting)</t>
  </si>
  <si>
    <t>QC 3D Light &amp; Volumetric</t>
  </si>
  <si>
    <t xml:space="preserve">Level Lighting </t>
  </si>
  <si>
    <t>Test Adapter</t>
  </si>
  <si>
    <t>Kabel Probe Osiloskop</t>
  </si>
  <si>
    <t>I-A-3</t>
  </si>
  <si>
    <t>Kaca Pembesar</t>
  </si>
  <si>
    <t>Senter Kecil</t>
  </si>
  <si>
    <t>I-A-4</t>
  </si>
  <si>
    <t>Pintu Akses F16 (2317, 3306, 2408)</t>
  </si>
  <si>
    <t>Test Set AN/USM-128</t>
  </si>
  <si>
    <t>I-A-6</t>
  </si>
  <si>
    <t>External Power Receptacle</t>
  </si>
  <si>
    <t>Tongkat Parkir</t>
  </si>
  <si>
    <t>VOR/ILS Receiver</t>
  </si>
  <si>
    <t>Akses Panel 2303</t>
  </si>
  <si>
    <t>Horizontal Situation Indicator (HSI)</t>
  </si>
  <si>
    <t>EVJEN003_BINGKAI_FOTO</t>
  </si>
  <si>
    <t>EVJEN003_PAPAN TULIS AKRILIK</t>
  </si>
  <si>
    <t>Altimeter Indicator</t>
  </si>
  <si>
    <t>Attitude Direction Indicator</t>
  </si>
  <si>
    <t>Airspeed Indicator</t>
  </si>
  <si>
    <t>Data Entry Display</t>
  </si>
  <si>
    <t>Stick</t>
  </si>
  <si>
    <t>Landing Gear Handle</t>
  </si>
  <si>
    <t xml:space="preserve">Vertical Velocity Indicator </t>
  </si>
  <si>
    <t>Angle of Attack Indicator</t>
  </si>
  <si>
    <t>Pedal Adjustment Handle</t>
  </si>
  <si>
    <t>Flooglight Cockpit F16</t>
  </si>
  <si>
    <t>Aviation Tractor</t>
  </si>
  <si>
    <t>Backup Attitude Direction Indicator</t>
  </si>
  <si>
    <t>JFS Doors Control Valve</t>
  </si>
  <si>
    <t>Missile AIM-9X (Station 9)</t>
  </si>
  <si>
    <t>Missile AIM-9X (Station 8)</t>
  </si>
  <si>
    <t>Obeng Magnetik</t>
  </si>
  <si>
    <t>Kalkulator Biner</t>
  </si>
  <si>
    <t>KIV-78 Crypto Computer</t>
  </si>
  <si>
    <t>External Fuel Tank</t>
  </si>
  <si>
    <t>External Centerline Fuel Tank</t>
  </si>
  <si>
    <t>Jet Fuel Starter</t>
  </si>
  <si>
    <t>Radar Antenna</t>
  </si>
  <si>
    <t>FLCS Power Supply</t>
  </si>
  <si>
    <t>Blunt Tool</t>
  </si>
  <si>
    <t>Container Ember Plastik</t>
  </si>
  <si>
    <t>Main Oil Pump Assy</t>
  </si>
  <si>
    <t>UI</t>
  </si>
  <si>
    <t>Klasifikasi Level UI</t>
  </si>
  <si>
    <t>UI Design</t>
  </si>
  <si>
    <t>QC UI Design</t>
  </si>
  <si>
    <t>Task Lainnya</t>
  </si>
  <si>
    <t>QC Task Lainnya</t>
  </si>
  <si>
    <t>Task Name</t>
  </si>
  <si>
    <t>Level UI</t>
  </si>
  <si>
    <t>Code Task</t>
  </si>
  <si>
    <t>Mengerjakan Referensi Logo Aplikasi Driving Simulator</t>
  </si>
  <si>
    <t>Logo</t>
  </si>
  <si>
    <t>Diah Ayu Pratiwi</t>
  </si>
  <si>
    <t>Putri Adrienne</t>
  </si>
  <si>
    <t>Template/Bumper</t>
  </si>
  <si>
    <t>Klasifikasi Level</t>
  </si>
  <si>
    <t>Video Content</t>
  </si>
  <si>
    <t>Code Template/Bumper</t>
  </si>
  <si>
    <t>Level Template/Bumper</t>
  </si>
  <si>
    <t>Target</t>
  </si>
  <si>
    <t>On Going</t>
  </si>
  <si>
    <t xml:space="preserve">Pending </t>
  </si>
  <si>
    <t>Percentage</t>
  </si>
  <si>
    <t>Materi Deskriptif atau Naratif Lv 2</t>
  </si>
  <si>
    <t>Materi Deskriptif atau Naratif Lv 3</t>
  </si>
  <si>
    <t>Materi Deskriptif atau Naratif Lv 4</t>
  </si>
  <si>
    <t>Visual Brief Lv 2</t>
  </si>
  <si>
    <t>Visual Brief Lv 3</t>
  </si>
  <si>
    <t>Storyboard Gameplay Lv 2</t>
  </si>
  <si>
    <t>Storyboard Gameplay Lv 3</t>
  </si>
  <si>
    <t>Konten Pendukung Gameplay Lv1</t>
  </si>
  <si>
    <t>Modelling Product Content Lv 1</t>
  </si>
  <si>
    <t>Modelling Product Content Lv 2</t>
  </si>
  <si>
    <t>Modelling Product Content Lv 3</t>
  </si>
  <si>
    <t>Modelling Product Content Lv 4</t>
  </si>
  <si>
    <t>Modelling Product Content Lv 5</t>
  </si>
  <si>
    <t>Texturing Product Content Lv1</t>
  </si>
  <si>
    <t>Texturing Product Content Lv2</t>
  </si>
  <si>
    <t>Texturing Product Content Lv3</t>
  </si>
  <si>
    <t>Texturing Product Content Lv4</t>
  </si>
  <si>
    <t>Modelling Environment Lv1</t>
  </si>
  <si>
    <t>Modelling Environment Lv2</t>
  </si>
  <si>
    <t>Modelling Environment Lv3</t>
  </si>
  <si>
    <t>Texturing Environment Exterior Lv1</t>
  </si>
  <si>
    <t>Texturing Environment Exterior Lv2</t>
  </si>
  <si>
    <t>Environment 3D Assembly Lv1</t>
  </si>
  <si>
    <t>Environment 3D Assembly Lv2</t>
  </si>
  <si>
    <t>Prefabs Making (Lighting and Volumetric Setting) Lv1 (Unity)</t>
  </si>
  <si>
    <t>Prefabs Making (Lighting and Volumetric Setting) Lv2 (Unity)</t>
  </si>
  <si>
    <t>Nama Personnel CD</t>
  </si>
  <si>
    <t>LIST MODEL</t>
  </si>
  <si>
    <t>3D PROGRESS SUMMARY</t>
  </si>
  <si>
    <t>Bayu Baskoro</t>
  </si>
  <si>
    <t>Falah</t>
  </si>
  <si>
    <t>Content</t>
  </si>
  <si>
    <t>Total Target</t>
  </si>
  <si>
    <t>Model</t>
  </si>
  <si>
    <t>Texture</t>
  </si>
  <si>
    <t>Assembly</t>
  </si>
  <si>
    <t>Prefabs Making</t>
  </si>
  <si>
    <t>Animation</t>
  </si>
  <si>
    <t>Render</t>
  </si>
  <si>
    <t>Farahiyah Azyyati Rusydina Arifin</t>
  </si>
  <si>
    <t>Product Content/Envi</t>
  </si>
  <si>
    <t>VBS</t>
  </si>
  <si>
    <t>Senjata</t>
  </si>
  <si>
    <t>Envi</t>
  </si>
  <si>
    <t>Kendaraan Darat</t>
  </si>
  <si>
    <t>Kendaraan Laut</t>
  </si>
  <si>
    <t>Kendaraan Udara</t>
  </si>
  <si>
    <t>Bangunan Common</t>
  </si>
  <si>
    <t>Objek Lain</t>
  </si>
  <si>
    <t>Bangunan Unik</t>
  </si>
  <si>
    <t>Indra Putra Surya</t>
  </si>
  <si>
    <t>Product Envi</t>
  </si>
  <si>
    <t>Environment</t>
  </si>
  <si>
    <t>Stephanie Shaquntala Devi</t>
  </si>
  <si>
    <t>Suci Geulis Latifa Dwirianti</t>
  </si>
  <si>
    <t>RESULT ▶</t>
  </si>
  <si>
    <t>Edward Alden</t>
  </si>
  <si>
    <t>Galih Eka Budiansyah</t>
  </si>
  <si>
    <t>Indira Utami Putri</t>
  </si>
  <si>
    <t>Mochamad Alfi Himawan</t>
  </si>
  <si>
    <t>Simon Richardo</t>
  </si>
  <si>
    <t>Widi Ansyah Hotmatua Harahap</t>
  </si>
  <si>
    <t>Yusuf Tuta Tiarno</t>
  </si>
  <si>
    <t>Irfan Anas</t>
  </si>
  <si>
    <t>Lu'lu Anisa Nurul Rahma</t>
  </si>
  <si>
    <t>Risan Putra Anggara</t>
  </si>
  <si>
    <t>Mochamad Fachri Ali</t>
  </si>
  <si>
    <t>Ahmad Sirajuddin</t>
  </si>
  <si>
    <t>Arief Wicaksono</t>
  </si>
  <si>
    <t>Denis Yusuf Ramadhan</t>
  </si>
  <si>
    <t>Farhan Naufal</t>
  </si>
  <si>
    <t>Ikrar Hari Murti</t>
  </si>
  <si>
    <t>Ilham Romdoni Sobur</t>
  </si>
  <si>
    <t>Indra Mardi</t>
  </si>
  <si>
    <t>Muhammad Ariel Shakaramiro</t>
  </si>
  <si>
    <t>Muhammad Nadhimudin Jakisa</t>
  </si>
  <si>
    <t>Rico Bharata Yuda</t>
  </si>
  <si>
    <t>Andreas Calvin Revi Ardhana</t>
  </si>
  <si>
    <t>Rasya Al-Ayubi Rahmadani</t>
  </si>
  <si>
    <t>Jumlah Task</t>
  </si>
  <si>
    <t>Left</t>
  </si>
  <si>
    <t>Variable Wieght</t>
  </si>
  <si>
    <t>Task Weight</t>
  </si>
  <si>
    <t>Project Percentage</t>
  </si>
  <si>
    <t>Task Count Final</t>
  </si>
  <si>
    <t>Total Task
Plan</t>
  </si>
  <si>
    <t>Link Perhitungan</t>
  </si>
  <si>
    <t>Tab Sheet Perhitungan</t>
  </si>
  <si>
    <t>https://docs.google.com/spreadsheets/d/1Dz3xfRyVNDOI7HYPkq5HqiKvIpZWdYnpqe6Vv3u5n3g/edit?gid=1915915212#gid=1915915212</t>
  </si>
  <si>
    <t>Count - SMK - JeniusVR</t>
  </si>
  <si>
    <t>CA, 2D, VA</t>
  </si>
  <si>
    <t>Materi Deskriptif atau Naratif Gameplay Lv4</t>
  </si>
  <si>
    <t>Materi Deskriptif atau Naratif Gameplay Lv3</t>
  </si>
  <si>
    <t>Materi Deskriptif atau Naratif Gameplay Lv2</t>
  </si>
  <si>
    <t>Visual Brief Lv4</t>
  </si>
  <si>
    <t>Visual Brief Lv3</t>
  </si>
  <si>
    <t>3D</t>
  </si>
  <si>
    <t>Modelling Product Content Lv1</t>
  </si>
  <si>
    <t>KEY</t>
  </si>
  <si>
    <t>LAST_WRITTEN_JSON (dipakai script sync -- jangan diedit/dihapus)</t>
  </si>
  <si>
    <t>READY</t>
  </si>
  <si>
    <t>k:adaptercablew2</t>
  </si>
  <si>
    <t>{"12":"Ghifari Gilmansyah Ali Hakim","13":{"d":1791950681327},"14":"Done","15":{"d":1791958879159},"36":0,"39":"Ghifari Gilmansyah Ali Hakim","40":{"d":1791959054433},"41":"Done","42":{"d":1791966006455},"63":0,"90":0}</t>
  </si>
  <si>
    <t>k:adaptordongkrak(longeronremovaljackingadapterskit)</t>
  </si>
  <si>
    <t>{"12":"Kurnia Sandi","13":{"d":1791963438214},"14":"Done","15":{"d":1791968019762},"36":0,"39":"Kurnia Sandi","40":{"d":1791968278255},"41":"Done","42":{"d":1791970827031},"63":0,"90":0}</t>
  </si>
  <si>
    <t>k:afform781</t>
  </si>
  <si>
    <t>{"36":0,"63":0}</t>
  </si>
  <si>
    <t>k:afform781a</t>
  </si>
  <si>
    <t>k:airspeedindicator</t>
  </si>
  <si>
    <t>{"12":"Maulana Fadhil Ahmad","13":{"d":1792379314892},"14":"Done","15":{"d":1792384897428},"39":"Maulana Fadhil Ahmad","40":{"d":1792393181101},"41":"Done","42":{"d":1792401288371}}</t>
  </si>
  <si>
    <t>k:alatujitekananudara(ttu-205)</t>
  </si>
  <si>
    <t>{"12":"Ghifari Gilmansyah Ali Hakim","13":{"d":1791517220766},"14":"Done","15":{"d":1791531471331},"36":0,"39":"Ghifari Gilmansyah Ali Hakim","40":{"d":1791531799585},"41":"Done","42":{"d":1791861035964},"47":"Ghifari Gilmansyah Ali Hakim","49":"Done","51":0.2,"59":"Egi Dwi Septian","60":{"d":1791862406180},"61":"Revision","62":{"d":1791862682778},"63":1,"90":0}</t>
  </si>
  <si>
    <t>k:alatukurfeelergauge</t>
  </si>
  <si>
    <t>{"12":"Maulana Fadhil Ahmad","13":{"d":1791774368092},"14":"Done","15":{"d":1791776720895},"36":0,"39":"Michael Karel Yansen Gunawan","40":{"d":1791858617274},"42":{"d":1791861376650},"59":"Egi Dwi Septian","60":{"d":1791863706470},"61":"Done","62":{"d":1791863827130},"63":1,"90":0}</t>
  </si>
  <si>
    <t>k:alligatorclip</t>
  </si>
  <si>
    <t>{"12":"Maulana Fadhil Ahmad","13":{"d":1791875028305},"14":"Done","15":{"d":1791883314552},"36":0,"39":"Maulana Fadhil Ahmad","41":"Done","42":{"d":1792047703882},"63":0}</t>
  </si>
  <si>
    <t>k:altimeterindicator</t>
  </si>
  <si>
    <t>{"12":"Ahmad Rafli Amirulloh","13":{"d":1792144394407},"14":"Done","15":{"d":1792385720406},"39":"Ahmad Rafli Amirulloh","40":{"d":1792389754419},"41":"Done","42":{"d":1792476848212}}</t>
  </si>
  <si>
    <t>k:amplas240-grit</t>
  </si>
  <si>
    <t>{"12":"Maulana Fadhil Ahmad","13":{"d":1791536813841},"14":"Done","15":{"d":1791537404331},"36":0,"39":"Michael Karel Yansen Gunawan","40":{"d":1791795664097},"41":"Done","42":{"d":1791798063701},"63":0,"90":0}</t>
  </si>
  <si>
    <t>k:angleofattackindicator</t>
  </si>
  <si>
    <t>{"12":"Alif Alfirman","13":{"d":1792390496418},"14":"Done","15":{"d":1792396653503},"39":"Alif Alfirman","40":{"d":1792398388884},"41":"Done","42":{"d":1792403721208}}</t>
  </si>
  <si>
    <t>k:anti-staticmats</t>
  </si>
  <si>
    <t>{"12":"Maulana Fadhil Ahmad","13":{"d":1791451924045},"14":"Done","15":{"d":1791452626964},"36":0,"39":"Michael Karel Yansen Gunawan","40":{"d":1791537248179},"42":{"d":1791539740831},"59":"Egi Dwi Septian","60":{"d":1791861120595},"61":"Done","62":{"d":1791861256199},"63":1,"90":0}</t>
  </si>
  <si>
    <t>k:apdk3(headseth-157/a1c)</t>
  </si>
  <si>
    <t>{"12":"Michael Karel Yansen Gunawan","13":{"d":1791517784085},"14":"Done","15":{"d":1791536406043},"36":0,"39":"Michael Karel Yansen Gunawan","40":{"d":1791945771995},"41":"Done","42":{"d":1791963485977},"63":0,"90":0}</t>
  </si>
  <si>
    <t>k:apdk3(sarungtangananti-statis)</t>
  </si>
  <si>
    <t>k:attitudedirectionindicator</t>
  </si>
  <si>
    <t>{"12":"Michael Karel Yansen Gunawan","13":{"d":1792381343170},"14":"Done","15":{"d":1792397892079},"39":"Michael Karel Yansen Gunawan","40":{"d":1792398651176},"41":"Done","42":{"d":1792469632731}}</t>
  </si>
  <si>
    <t>k:aviationsnip</t>
  </si>
  <si>
    <t>{"12":"Adam Al Hafizh Djabumona","13":{"d":1791948092305},"14":"Done","15":{"d":1791967241256},"36":0,"39":"Adam Al Hafizh Djabumona","41":"Done","42":{"d":1792050061105},"63":0,"90":0}</t>
  </si>
  <si>
    <t>k:aviationtractor</t>
  </si>
  <si>
    <t>{"12":"Adam Al Hafizh Djabumona","13":{"d":1792402062097},"14":"Ongoing"}</t>
  </si>
  <si>
    <t>k:backupattitudedirectionindicator</t>
  </si>
  <si>
    <t>{"12":"Dimas Bhakti Kurniawan","13":{"d":1792402109852},"14":"Done","15":{"d":1792468219364},"39":"Dimas Bhakti Kurniawan","40":{"d":1792468307452},"41":"Done","42":{"d":1792487354832}}</t>
  </si>
  <si>
    <t>k:bantalankaret(rubberpaddingataumatting)</t>
  </si>
  <si>
    <t>{"12":"Maulana Fadhil Ahmad","13":{"d":1791538654342},"14":"Done","15":{"d":1791539150393},"36":0,"39":"Michael Karel Yansen Gunawan","40":{"d":1791792235020},"42":{"d":1791793596938},"59":"Egi Dwi Septian","60":{"d":1791863284413},"61":"Done","62":{"d":1791863411856},"63":1,"90":0}</t>
  </si>
  <si>
    <t>k:blunttool</t>
  </si>
  <si>
    <t>{"12":"Dimas Bhakti Kurniawan","14":"Done","15":{"d":1792490291148},"36":0,"39":"Dimas Bhakti Kurniawan","41":"Done","42":{"d":1792551256684},"63":0}</t>
  </si>
  <si>
    <t>k:breadboard</t>
  </si>
  <si>
    <t>{"12":"Maulana Fadhil Ahmad","13":{"d":1791871822856},"14":"Done","15":{"d":1791873334299},"20":"Maulana Fadhil Ahmad","22":"Done","24":0.4,"32":"Yasin Nur Kholish","33":{"d":1791881614664},"34":"Revision","35":{"d":1791881716770},"36":1,"39":"Maulana Fadhil Ahmad","41":"Done","42":{"d":1792144480115},"63":0}</t>
  </si>
  <si>
    <t>k:cablefaultlocator</t>
  </si>
  <si>
    <t>{"12":"Ghifari Gilmansyah Ali Hakim","13":{"d":1791966927361},"14":"Done","15":{"d":1792032184725},"36":0,"39":"Ghifari Gilmansyah Ali Hakim","40":{"d":1792032414968},"41":"Done","42":{"d":1792045288462},"63":0}</t>
  </si>
  <si>
    <t>k:case-fulltowerworkstation</t>
  </si>
  <si>
    <t>{"12":"Adam Al Hafizh Djabumona","13":{"d":1790316900264},"14":"Done","15":{"d":1790654880000},"36":0,"39":"Adam Al Hafizh Djabumona","40":{"d":1790656594036},"41":"Done","42":{"d":1790673918625},"63":0,"90":0}</t>
  </si>
  <si>
    <t>k:certifiedacdcdistributioncontrolpanel</t>
  </si>
  <si>
    <t>{"12":"Dimas Bhakti Kurniawan","13":{"d":1792052016383},"14":"Done","15":{"d":1792055203672},"36":0,"39":"Dimas Bhakti Kurniawan","41":"Done","42":{"d":1792132061272},"63":0}</t>
  </si>
  <si>
    <t>k:character|aircraftmarshallermale</t>
  </si>
  <si>
    <t>{"12":"Arif Kurniawan","14":"Done","15":{"d":1792121103456},"67":"Alfitri Deviani","69":"Done","93":"Arif Kurniawan","95":"Done","117":0,"143":0}</t>
  </si>
  <si>
    <t>k:character|aircraftmarshallermalevar2</t>
  </si>
  <si>
    <t>{"12":"Asykuri Nabila","14":"Done","15":{"d":1792403733795},"67":"Arif Kurniawan","69":"Done","70":{"d":1792463086832},"93":"Arif Kurniawan","95":"Ongoing","117":0,"143":0}</t>
  </si>
  <si>
    <t>k:character|baju</t>
  </si>
  <si>
    <t>{"117":0,"143":0}</t>
  </si>
  <si>
    <t>k:character|instrukturkomputerfemale</t>
  </si>
  <si>
    <t>{"12":"Amir Alqodri","14":"Done","67":"Arif Kurniawan","69":"Done","70":{"d":1792462675080},"93":"Arif Kurniawan","95":"Done","96":{"d":1792551621208},"117":0,"143":0}</t>
  </si>
  <si>
    <t>k:character|instrukturkomputermale</t>
  </si>
  <si>
    <t>{"12":"Amir Alqodri","14":"Done","67":"Arif Kurniawan","69":"Done","70":{"d":1792401568461},"93":"Arif Kurniawan","95":"Done","96":{"d":1792467594584},"117":0,"119":"Amir Alqodri","121":"Pending","143":0}</t>
  </si>
  <si>
    <t>k:character|pakaiankemejainstruktur</t>
  </si>
  <si>
    <t>{"40":"Ghifari Gilmansyah Ali Hakim","42":"Done","43":{"d":1792383307096},"117":0,"143":0}</t>
  </si>
  <si>
    <t>k:character|pakaiankemejainstrukturfemale</t>
  </si>
  <si>
    <t>{"40":"Amir Alqodri","42":"Done","117":0,"143":0}</t>
  </si>
  <si>
    <t>k:character|pakaianmarshaller</t>
  </si>
  <si>
    <t>{"40":"Alfitri Deviani","42":"Done","117":0,"143":0}</t>
  </si>
  <si>
    <t>k:character|pakaianwearpack</t>
  </si>
  <si>
    <t>{"40":"Amir Alqodri","42":"Done","43":{"d":1792398013579},"117":0,"143":0}</t>
  </si>
  <si>
    <t>k:character|teknisif16male1</t>
  </si>
  <si>
    <t>{"12":"Amir Alqodri","14":"Done","67":"Arif Kurniawan","69":"Done","70":{"d":1792402464171},"93":"Arif Kurniawan","95":"Done","117":0,"143":0}</t>
  </si>
  <si>
    <t>k:character|teknisif16male2</t>
  </si>
  <si>
    <t>{"12":"Amir Alqodri","14":"Done","67":"Arif Kurniawan","69":"Done","93":"Arif Kurniawan","95":"Done","96":{"d":1792488462198},"117":0,"143":0}</t>
  </si>
  <si>
    <t>k:character|teknisif16male3</t>
  </si>
  <si>
    <t>{"12":"Amir Alqodri","14":"Done","15":{"d":1792130944913},"67":"Arif Kurniawan","69":"Done","93":"Arif Kurniawan","95":"Done","117":0,"143":0}</t>
  </si>
  <si>
    <t>k:containeremberplastik</t>
  </si>
  <si>
    <t>{"12":"Maulana Fadhil Ahmad","14":"Ongoing","36":0,"63":0}</t>
  </si>
  <si>
    <t>k:cpu-amdryzenthreadripperpro9985wx64core/128thread</t>
  </si>
  <si>
    <t>{"12":"Arif Kurniawan","13":{"d":1790235353910},"14":"Done","15":{"d":1790236914301},"39":"Arif Kurniawan","40":{"d":1790327659716},"42":{"d":1790329929154},"59":"Egi Dwi Septian","60":{"d":1791958390370},"61":"Done","62":{"d":1791958462542},"63":1,"90":0}</t>
  </si>
  <si>
    <t>k:cpucooling-str5</t>
  </si>
  <si>
    <t>{"12":"Kurnia Sandi","13":{"d":1790304804680},"14":"Done","15":{"d":1790321640924},"36":0,"39":"Kurnia Sandi","40":{"d":1790584164022},"41":"Done","42":{"d":1790650440000},"63":0,"90":0}</t>
  </si>
  <si>
    <t>k:crimpingtool</t>
  </si>
  <si>
    <t>{"12":"Ghifari Gilmansyah Ali Hakim","13":{"d":1791861875743},"14":"Done","15":{"d":1791883152851},"36":0,"39":"Ghifari Gilmansyah Ali Hakim","40":{"d":1791883471739},"42":{"d":1791948860823},"59":"Egi Dwi Septian","60":{"d":1791949520818},"61":"Done","62":{"d":1791949637433},"63":1}</t>
  </si>
  <si>
    <t>k:cvats(sample)var1</t>
  </si>
  <si>
    <t>{"36":0,"63":0,"90":0}</t>
  </si>
  <si>
    <t>k:cvats(sample)var2</t>
  </si>
  <si>
    <t>k:dataentrydisplay</t>
  </si>
  <si>
    <t>{"12":"Alif Alfirman","13":{"d":1792382351592},"14":"Done","15":{"d":1792383586227},"39":"Alif Alfirman","40":{"d":1792383874315},"41":"Done","42":{"d":1792384872277}}</t>
  </si>
  <si>
    <t>k:ddform1613(kartukoreksikompas)</t>
  </si>
  <si>
    <t>k:dialcaliper</t>
  </si>
  <si>
    <t>{"12":"Amir Alqodri","13":{"d":1791879054675},"14":"Done","15":{"d":1791961545858},"36":0,"39":"Amir Alqodri","40":{"d":1791962205218},"41":"Done","42":{"d":1792039400357},"63":0,"90":0}</t>
  </si>
  <si>
    <t>k:earprotector</t>
  </si>
  <si>
    <t>{"12":"Alfian Noor Ibrahim","13":{"d":1791967056992},"14":"Done","15":{"d":1792033212934},"36":0,"39":"Alfian Noor Ibrahim","40":{"d":1792034353796},"41":"Done","42":{"d":1792037997332},"63":0}</t>
  </si>
  <si>
    <t>k:eeclines(pressurerelief)</t>
  </si>
  <si>
    <t>k:electricalpowertestadapter</t>
  </si>
  <si>
    <t>{"12":"Alfian Noor Ibrahim","13":{"d":1791447997660},"14":"Done","15":{"d":1791451369607},"20":"Alfian Noor Ibrahim","21":{"d":1791863777122},"22":"Done","23":{"d":1791866913131},"24":0.2,"32":"Egi Dwi Septian","33":{"d":1791858825800},"34":"Revision","35":{"d":1791858964439},"36":1,"39":"Alfian Noor Ibrahim","40":{"d":1791794311214},"41":"Done","42":{"d":1791862788556},"63":0,"90":0}</t>
  </si>
  <si>
    <t>k:engineoillow-pressureswitch</t>
  </si>
  <si>
    <t>k:envi|hangarf16</t>
  </si>
  <si>
    <t>{"35":0,"63":0,"90":0}</t>
  </si>
  <si>
    <t>k:envi|lapanganudaraf16</t>
  </si>
  <si>
    <t>{"11":"Maqolidurrohmatulloh","12":{"d":1792121908473},"13":"Done","14":{"d":1792144640508},"35":0,"39":"Maqolidurrohmatulloh","40":{"d":1792377066002},"41":"Ongoing","63":0,"90":0}</t>
  </si>
  <si>
    <t>k:envi|ruanganwawancarakerja</t>
  </si>
  <si>
    <t>{"11":"Alif Alfirman","12":{"d":1792044839729},"13":"Done","14":{"d":1792049921992},"35":0,"39":"Alif Alfirman","40":{"d":1792135341076},"41":"Done","42":{"d":1792137640362},"63":0,"66":"Alif Alfirman","68":"Done","90":0}</t>
  </si>
  <si>
    <t>k:envi|ruangkelaslabkomputer</t>
  </si>
  <si>
    <t>{"11":"Alfian Noor Ibrahim","12":{"d":1792039923539},"13":"Done","14":{"d":1792050507593},"35":0,"39":"Alfian Noor Ibrahim","40":{"d":1792138586112},"41":"Done","42":{"d":1792383043662},"63":0,"90":0}</t>
  </si>
  <si>
    <t>k:esdgroundingwriststrap</t>
  </si>
  <si>
    <t>{"12":"Michael Karel Yansen Gunawan","13":{"d":1791513810159},"14":"Done","15":{"d":1791515501262},"36":0,"39":"Michael Karel Yansen Gunawan","40":{"d":1791880084531},"42":{"d":1791883661426},"59":"Egi Dwi Septian","60":{"d":1791950247373},"61":"Done","62":{"d":1791950286332},"63":1,"90":0}</t>
  </si>
  <si>
    <t>k:evjen003_bingkai_foto</t>
  </si>
  <si>
    <t>{"12":"Alif Alfirman","13":{"d":1792140430253},"14":"Done","15":{"d":1792140726349},"39":"Alif Alfirman","40":{"d":1792140868249},"41":"Done","42":{"d":1792141600062}}</t>
  </si>
  <si>
    <t>k:evjen003_kursi_meeting</t>
  </si>
  <si>
    <t>{"12":"Alif Alfirman","13":{"d":1792053314000},"14":"Done","15":{"d":1792055946000},"36":0,"39":"Alif Alfirman","41":"Done","63":0}</t>
  </si>
  <si>
    <t>k:evjen003_meja_meeting</t>
  </si>
  <si>
    <t>{"12":"Alif Alfirman","13":{"d":1792050322000},"14":"Done","15":{"d":1792050994000},"36":0,"39":"Alif Alfirman","41":"Done","63":0}</t>
  </si>
  <si>
    <t>k:evjen003_papantulisakrilik</t>
  </si>
  <si>
    <t>{"12":"Michael Karel Yansen Gunawan","13":{"d":1792141642729},"14":"Done","15":{"d":1792142383263},"39":"Michael Karel Yansen Gunawan","40":{"d":1792142550446},"41":"Done","42":{"d":1792143898870}}</t>
  </si>
  <si>
    <t>k:evjen004_ac</t>
  </si>
  <si>
    <t>{"12":"Adam Al Hafizh Djabumona","14":"Done","15":{"d":1792134747305},"36":0,"39":"Adam Al Hafizh Djabumona","41":"Done","42":{"d":1792139388375},"63":0}</t>
  </si>
  <si>
    <t>k:evjen004_kursi</t>
  </si>
  <si>
    <t>{"12":"Alfian Noor Ibrahim","14":"Done","15":{"d":1792132958361},"36":0,"39":"Alfian Noor Ibrahim","41":"Done","42":{"d":1792137142016},"63":0}</t>
  </si>
  <si>
    <t>k:evjen004_meja</t>
  </si>
  <si>
    <t>{"12":"Alfitri Deviani","14":"Done","15":{"d":1792124612499},"36":0,"39":"Alfitri Deviani","41":"Done","42":{"d":1792134573168},"63":0}</t>
  </si>
  <si>
    <t>k:evjen004_monitor</t>
  </si>
  <si>
    <t>k:explosion-proofenclosure</t>
  </si>
  <si>
    <t>{"12":"Arif Kurniawan","13":{"d":1791866426678},"14":"Done","15":{"d":1791872677790},"36":0,"63":0}</t>
  </si>
  <si>
    <t>k:explosion-proofenclosure-inside</t>
  </si>
  <si>
    <t>{"12":"Asykuri Nabila","13":{"d":1791952567252},"14":"Done","15":{"d":1792051351751},"36":0,"39":"Asykuri Nabila","41":"Done","42":{"d":1792401228080},"63":0}</t>
  </si>
  <si>
    <t>k:externalcenterlinefueltank</t>
  </si>
  <si>
    <t>{"12":"Maulana Fadhil Ahmad","13":{"d":1792479858232},"14":"Done","15":{"d":1792482610880},"39":"Maulana Fadhil Ahmad","40":{"d":1792485767526},"41":"Done","42":{"d":1792489459224}}</t>
  </si>
  <si>
    <t>k:externalfueltank</t>
  </si>
  <si>
    <t>{"12":"Ahmad Rafli Amirulloh","13":{"d":1792478022494},"14":"Done","15":{"d":1792481566970},"39":"Ahmad Rafli Amirulloh","40":{"d":1792481704817},"41":"Done","42":{"d":1792487129816}}</t>
  </si>
  <si>
    <t>k:externalpowerreceptacle</t>
  </si>
  <si>
    <t>{"12":"Ahmad Rafli Amirulloh","13":{"d":1792134995713},"14":"Done","15":{"d":1792139028621},"39":"Ahmad Rafli Amirulloh","40":{"d":1792139146125},"41":"Done","42":{"d":1792142963055}}</t>
  </si>
  <si>
    <t>k:flcspowersupply</t>
  </si>
  <si>
    <t>{"12":"Ahmad Rafli Amirulloh","13":{"d":1792488222885},"14":"Ongoing"}</t>
  </si>
  <si>
    <t>k:flightcontrolpowerconverterregulator(2429ps5atau2429ps6)</t>
  </si>
  <si>
    <t>{"12":"Dimas Bhakti Kurniawan","13":{"d":1791959630107},"14":"Done","15":{"d":1791961955507},"36":0,"39":"Dimas Bhakti Kurniawan","40":{"d":1791962204185},"41":"Done","42":{"d":1791968146141},"63":0,"90":0}</t>
  </si>
  <si>
    <t>k:flooglightcockpitf16</t>
  </si>
  <si>
    <t>{"12":"Kurnia Sandi","13":{"d":1792395753847},"14":"Done","15":{"d":1792401263968},"39":"Kurnia Sandi","40":{"d":1792401712837},"41":"Done","42":{"d":1792464519815}}</t>
  </si>
  <si>
    <t>k:gatewaykomputasiiot</t>
  </si>
  <si>
    <t>{"12":"Alif Alfirman","13":{"d":1791944948806},"14":"Done","15":{"d":1791958031343},"36":0,"39":"Bagus Bima Satriawan","41":"Done","42":{"d":1792144026288},"63":0}</t>
  </si>
  <si>
    <t>k:gpu-nvidiartxpro5000blackwell48gbgddr7ecc</t>
  </si>
  <si>
    <t>{"12":"Aditya Warman","13":{"d":1790148557007},"14":"Done","15":{"d":1790151603000},"36":0,"39":"Aditya Warman","40":{"d":1790565075405},"42":{"d":1790568758726},"59":"Egi Dwi Septian","60":{"d":1791959130336},"61":"Done","62":{"d":1791959289709},"63":1,"90":0}</t>
  </si>
  <si>
    <t>k:grommet</t>
  </si>
  <si>
    <t>{"12":"Kurnia Sandi","13":{"d":1791788833065},"14":"Done","15":{"d":1791791250307},"36":0,"39":"Kurnia Sandi","40":{"d":1791791336512},"41":"Done","42":{"d":1791794010447},"63":0,"90":0}</t>
  </si>
  <si>
    <t>k:headsetwiredusb</t>
  </si>
  <si>
    <t>{"12":"Aditya Warman","13":{"d":1790309513367},"14":"Done","15":{"d":1790320985130},"36":0,"39":"Aditya Warman","40":{"d":1790579823017},"41":"Done","42":{"d":1790586512692},"63":0,"90":0}</t>
  </si>
  <si>
    <t>k:heavy-dutyshelfbracket</t>
  </si>
  <si>
    <t>{"12":"Alif Alfirman","13":{"d":1791959605087},"14":"Done","15":{"d":1791961757747},"36":0,"39":"Bagus Bima Satriawan","41":"Done","42":{"d":1792133532782},"63":0}</t>
  </si>
  <si>
    <t>k:horizontalsituationindicator(hsi)</t>
  </si>
  <si>
    <t>{"12":"Dimas Bhakti Kurniawan","13":{"d":1792140235808},"14":"Done","15":{"d":1792382565274},"39":"Dimas Bhakti Kurniawan","40":{"d":1792382660562},"41":"Done","42":{"d":1792400351624}}</t>
  </si>
  <si>
    <t>k:hydraulictripodjacks(typeb-6)</t>
  </si>
  <si>
    <t>{"12":"Ahmad Rafli Amirulloh","13":{"d":1791786364044},"14":"Done","15":{"d":1791857922899},"36":0,"39":"Ahmad Rafli Amirulloh","40":{"d":1791859086425},"41":"Revision","42":{"d":1791872050992},"51":0.2,"59":"Egi Dwi Septian","60":{"d":1791947649208},"61":"Revision","62":{"d":1791947837550},"63":1,"90":0}</t>
  </si>
  <si>
    <t>k:icp(integratedcontrolpanel)</t>
  </si>
  <si>
    <t>{"12":"Ahmad Rafli Amirulloh","13":{"d":1791962157524},"14":"Done","36":0,"39":"Ahmad Rafli Amirulloh","41":"Done","42":{"d":1792134327580},"63":0,"90":0}</t>
  </si>
  <si>
    <t>k:ignitionsystem/exciterbox</t>
  </si>
  <si>
    <t>{"12":"Maqolidurrohmatulloh","13":{"d":1792037241281},"14":"Done","15":{"d":1792039724365},"36":0,"39":"Ghifari Gilmansyah Ali Hakim","41":"Done","42":{"d":1792135588513},"63":0}</t>
  </si>
  <si>
    <t>k:industrialgoggles</t>
  </si>
  <si>
    <t>{"12":"Alif Alfirman","13":{"d":1791963580377},"14":"Done","15":{"d":1792030507351},"36":0,"39":"Michael Karel Yansen Gunawan","41":"Done","42":{"d":1792139383672},"63":0}</t>
  </si>
  <si>
    <t>k:isopropylalcohol</t>
  </si>
  <si>
    <t>{"12":"Dhia Azmi Achmadi","13":{"d":1791881857947},"14":"Done","15":{"d":1791883251127},"36":0,"39":"Arif Kurniawan","41":"Done","42":{"d":1792057402034},"63":0}</t>
  </si>
  <si>
    <t>k:jetfuelstarter</t>
  </si>
  <si>
    <t>{"12":"Ghifari Gilmansyah Ali Hakim","13":{"d":1792478223569},"14":"Ongoing"}</t>
  </si>
  <si>
    <t>k:jfsdoorscontrolvalve</t>
  </si>
  <si>
    <t>{"12":"Ghifari Gilmansyah Ali Hakim","13":{"d":1792403456942},"14":"Done","15":{"d":1792465853767},"39":"Ghifari Gilmansyah Ali Hakim","40":{"d":1792465982440},"41":"Done","42":{"d":1792476797074}}</t>
  </si>
  <si>
    <t>k:kabeldatausb</t>
  </si>
  <si>
    <t>{"12":"Maulana Fadhil Ahmad","14":"Done","15":{"d":1792038263587},"36":0,"39":"Maulana Fadhil Ahmad","41":"Done","42":{"d":1792039760130},"63":0}</t>
  </si>
  <si>
    <t>k:kabelgrounding</t>
  </si>
  <si>
    <t>{"12":"Maqolidurrohmatulloh","13":{"d":1792044730052},"14":"Done","15":{"d":1792046445970},"36":0,"39":"Maqolidurrohmatulloh","41":"Done","42":{"d":1792052539591},"63":0}</t>
  </si>
  <si>
    <t>k:kabeljaringanvirtual(lanutp)</t>
  </si>
  <si>
    <t>k:kabeljumper</t>
  </si>
  <si>
    <t>{"12":"Maqolidurrohmatulloh","13":{"d":1791943947869},"14":"Done","15":{"d":1791946563249},"36":0,"39":"Maqolidurrohmatulloh","40":{"d":1791971121206},"41":"Done","42":{"d":1792032122775},"63":0}</t>
  </si>
  <si>
    <t>k:kabellancat6</t>
  </si>
  <si>
    <t>{"12":"Alif Alfirman","13":{"d":1792032375613},"14":"Done","15":{"d":1792036985885},"36":0,"39":"Dhia Azmi Achmadi","41":"Done","42":{"d":1792379477092},"63":0}</t>
  </si>
  <si>
    <t>k:kabelprobeosiloskop</t>
  </si>
  <si>
    <t>{"12":"Kurnia Sandi","14":"Done","15":{"d":1792131900370},"36":0,"39":"Kurnia Sandi","41":"Done","42":{"d":1792137167251},"63":0}</t>
  </si>
  <si>
    <t>k:kacapembesar</t>
  </si>
  <si>
    <t>{"12":"Maulana Fadhil Ahmad","13":{"d":1792131427027},"14":"Done","15":{"d":1792132607071},"39":"Maulana Fadhil Ahmad","40":{"d":1792133638301},"41":"Done","42":{"d":1792135466876}}</t>
  </si>
  <si>
    <t>k:kaincheesecloth</t>
  </si>
  <si>
    <t>{"12":"Bagus Bima Satriawan","14":"Done","15":{"d":1792045861335},"36":0,"39":"Bagus Bima Satriawan","41":"Done","63":0,"90":0}</t>
  </si>
  <si>
    <t>k:kalkulatorbiner</t>
  </si>
  <si>
    <t>{"12":"Asykuri Nabila","13":{"d":1792464880907},"14":"Done","15":{"d":1792483462260},"39":"Asykuri Nabila","40":{"d":1792483629823},"41":"Ongoing"}</t>
  </si>
  <si>
    <t>k:keyboardfull-sizewiredusb</t>
  </si>
  <si>
    <t>{"12":"Arif Kurniawan","13":{"d":1790309174580},"14":"Done","15":{"d":1790327232259},"36":0,"39":"Arif Kurniawan","40":{"d":1790580245416},"41":"Done","42":{"d":1790589610718},"63":0,"90":0}</t>
  </si>
  <si>
    <t>k:kiv-78cryptocomputer</t>
  </si>
  <si>
    <t>{"12":"Kurnia Sandi","13":{"d":1792466604180},"14":"Done","15":{"d":1792489608975},"39":"Kurnia Sandi","40":{"d":1792548865759},"41":"Ongoing"}</t>
  </si>
  <si>
    <t>k:kompasaqu-3/a</t>
  </si>
  <si>
    <t>{"12":"Kurnia Sandi","13":{"d":1791864038615},"14":"Done","15":{"d":1791879714998},"36":0,"39":"Kurnia Sandi","40":{"d":1791946602701},"41":"Done","42":{"d":1791959203086},"63":0,"90":0}</t>
  </si>
  <si>
    <t>k:konektorfisikpesawat(2442j618,2441j1)</t>
  </si>
  <si>
    <t>{"12":"Alfian Noor Ibrahim","13":{"d":1791952294871},"14":"Done","15":{"d":1791960201167},"36":0,"39":"Alfian Noor Ibrahim","40":{"d":1791961607682},"41":"Done","42":{"d":1791964814990},"63":0,"90":0}</t>
  </si>
  <si>
    <t>k:kotakperalatan(toolkit)</t>
  </si>
  <si>
    <t>{"12":"Alif Alfirman","13":{"d":1791786321034},"14":"Done","15":{"d":1791881903995},"36":0,"39":"Bagus Bima Satriawan","41":"Done","63":0,"90":0}</t>
  </si>
  <si>
    <t>k:kuncipas</t>
  </si>
  <si>
    <t>{"12":"Kurnia Sandi","13":{"d":1791796295442},"14":"Done","15":{"d":1791858245343},"36":0,"39":"Kurnia Sandi","40":{"d":1791859420783},"41":"Done","42":{"d":1791861775458},"63":0}</t>
  </si>
  <si>
    <t>k:landinggearhandle</t>
  </si>
  <si>
    <t>{"12":"Adam Al Hafizh Djabumona","13":{"d":1792383688848},"14":"Done","15":{"d":1792395415629},"39":"Adam Al Hafizh Djabumona","40":{"d":1792396436732},"41":"Done","42":{"d":1792399933916}}</t>
  </si>
  <si>
    <t>k:lantester</t>
  </si>
  <si>
    <t>{"12":"Adam Al Hafizh Djabumona","13":{"d":1791878903523},"14":"Done","15":{"d":1791882441052},"36":0,"39":"Adam Al Hafizh Djabumona","40":{"d":1791882823844},"41":"Done","42":{"d":1791946605773},"47":"Adam Al Hafizh Djabumona","49":"Done","51":0.1,"59":"Egi Dwi Septian","60":{"d":1791948358494},"61":"Revision","62":{"d":1791948574998},"63":1}</t>
  </si>
  <si>
    <t>k:lemmodifiedepoxy</t>
  </si>
  <si>
    <t>{"12":"Maulana Fadhil Ahmad","13":{"d":1791963985964},"14":"Done","15":{"d":1791964277528},"36":0,"39":"Michael Karel Yansen Gunawan","41":"Done","42":{"d":1792047162287},"63":0,"90":0}</t>
  </si>
  <si>
    <t>k:logicanalyzer</t>
  </si>
  <si>
    <t>{"12":"Arif Kurniawan","13":{"d":1791963785387},"14":"Done","15":{"d":1792031118277},"36":0,"39":"Arif Kurniawan","40":{"d":1792031313781},"41":"Done","42":{"d":1792052501282},"63":0,"90":0}</t>
  </si>
  <si>
    <t>k:mainoilpumpassy</t>
  </si>
  <si>
    <t>k:maintenanceplatformtypeb-4a</t>
  </si>
  <si>
    <t>{"12":"Alfian Noor Ibrahim","13":{"d":1791874767681},"14":"Done","15":{"d":1791951161834},"36":0,"39":"Bagus Bima Satriawan","41":"Done","42":{"d":1792395072317},"63":0,"90":0}</t>
  </si>
  <si>
    <t>k:maskerrespirator</t>
  </si>
  <si>
    <t>{"12":"Michael Karel Yansen Gunawan","13":{"d":1792030905170},"14":"Done","15":{"d":1792037367333},"36":0,"39":"Michael Karel Yansen Gunawan","41":"Done","42":{"d":1792124960448},"63":0,"90":0}</t>
  </si>
  <si>
    <t>k:mejakerja(berisipaneldcpowerdistribution&amp;modulwiringharness)</t>
  </si>
  <si>
    <t>k:mejauji</t>
  </si>
  <si>
    <t>{"12":"Kurnia Sandi","13":{"d":1791775338023},"14":"Done","15":{"d":1791778516921},"36":0,"39":"Kurnia Sandi","40":{"d":1791779476315},"41":"Done","42":{"d":1791786662912},"47":"Kurnia Sandi","49":"Done","51":0.6,"59":"Egi Dwi Septian","60":{"d":1791862133256},"61":"Revision","62":{"d":1791862254529},"63":1,"90":0}</t>
  </si>
  <si>
    <t>k:mfd(multi-functiondisplay)</t>
  </si>
  <si>
    <t>{"12":"Dimas Bhakti Kurniawan","13":{"d":1791968751774},"14":"Done","15":{"d":1791970593090},"36":0,"39":"Dimas Bhakti Kurniawan","40":{"d":1791970827103},"41":"Done","42":{"d":1792033481984},"63":0,"90":0}</t>
  </si>
  <si>
    <t>k:mikrokontrolerdenganintrinsicsafetybarrier</t>
  </si>
  <si>
    <t>k:missileaim-9x(station8)</t>
  </si>
  <si>
    <t>{"12":"Alfitri Deviani","13":{"d":1792463624175},"14":"Done","15":{"d":1792467164205},"39":"Alfitri Deviani","40":{"d":1792467503673},"41":"Done","42":{"d":1792478359811}}</t>
  </si>
  <si>
    <t>k:missileaim-9x(station9)</t>
  </si>
  <si>
    <t>{"12":"Maulana Fadhil Ahmad","13":{"d":1792403669720},"14":"Done","15":{"d":1792403835392},"39":"Maulana Fadhil Ahmad","40":{"d":1792463413598},"41":"Done","42":{"d":1792466648644}}</t>
  </si>
  <si>
    <t>k:monitor2x32"4kips</t>
  </si>
  <si>
    <t>{"12":"Aditya Warman","13":{"d":1790240716581},"14":"Done","15":{"d":1790243760000},"36":0,"39":"Kurnia Sandi","40":{"d":1790651013748},"41":"Done","42":{"d":1790654400000},"63":0,"90":0}</t>
  </si>
  <si>
    <t>k:motherboard-workstationasusprowswrx90e-sagese</t>
  </si>
  <si>
    <t>{"12":"Aditya Warman","13":{"d":1790136105329},"14":"Done","15":{"d":1790147788077},"36":0,"39":"Aditya Warman","40":{"d":1790655327932},"42":{"d":1790668479228},"59":"Egi Dwi Septian","60":{"d":1791958590782},"61":"Done","62":{"d":1791958662510},"63":1,"90":0}</t>
  </si>
  <si>
    <t>k:mousewiredusb</t>
  </si>
  <si>
    <t>{"12":"Adam Al Hafizh Djabumona","13":{"d":1790304665871},"14":"Done","15":{"d":1790309413874},"36":0,"39":"Aditya Warman","40":{"d":1790649195009},"41":"Done","42":{"d":1790652504783},"63":0,"90":0}</t>
  </si>
  <si>
    <t>k:multimeter&amp;ramptester</t>
  </si>
  <si>
    <t>{"12":"Ahmad Rafli Amirulloh","13":{"d":1791879319611},"14":"Done","15":{"d":1791946323903},"36":0,"39":"Ahmad Rafli Amirulloh","40":{"d":1791947207480},"41":"Done","42":{"d":1791959152316},"63":0,"90":0}</t>
  </si>
  <si>
    <t>k:multimeterdigital(dilengkapiprobehitam&amp;merah)</t>
  </si>
  <si>
    <t>{"12":"Maulana Fadhil Ahmad","13":{"d":1791447525360},"14":"Done","15":{"d":1791450880374},"20":"Maulana Fadhil Ahmad","22":"Done","24":0.5,"32":"Egi Dwi Septian","33":{"d":1791859133352},"34":"Revision","35":{"d":1791859739454},"36":1,"63":0,"90":0}</t>
  </si>
  <si>
    <t>k:networkcard1-onboard10gbe</t>
  </si>
  <si>
    <t>{"12":"Kurnia Sandi","13":{"d":1790154123788},"14":"Done","15":{"d":1790157469817},"36":0,"39":"Kurnia Sandi","40":{"d":1790562788141},"41":"Done","42":{"d":1790566504081},"63":0,"90":0}</t>
  </si>
  <si>
    <t>k:networkcard2-dual/quad-port10gbeethernetnic</t>
  </si>
  <si>
    <t>{"12":"Kurnia Sandi","13":{"d":1790216693701},"14":"Done","15":{"d":1790219837887},"36":0,"39":"Kurnia Sandi","40":{"d":1790568041847},"41":"Done","42":{"d":1790571268269},"63":0,"90":0}</t>
  </si>
  <si>
    <t>k:networkcard3-25gbesfp28nic</t>
  </si>
  <si>
    <t>{"12":"Kurnia Sandi","13":{"d":1790232153996},"14":"Done","15":{"d":1790235512327},"36":0,"39":"Kurnia Sandi","40":{"d":1790576753341},"41":"Done","42":{"d":1790581706685},"63":0,"90":0}</t>
  </si>
  <si>
    <t>k:obengmagnetik</t>
  </si>
  <si>
    <t>{"12":"Alif Alfirman","13":{"d":1792463290663},"14":"Done","15":{"d":1792485064730},"39":"Alif Alfirman","40":{"d":1792487301269},"41":"Pending"}</t>
  </si>
  <si>
    <t>k:obengnonmagnetik</t>
  </si>
  <si>
    <t>{"12":"Maulana Fadhil Ahmad","13":{"d":1791515064128},"14":"Done","15":{"d":1791515655698},"36":0,"39":"Michael Karel Yansen Gunawan","40":{"d":1791774177178},"42":{"d":1791776501669},"59":"Egi Dwi Septian","60":{"d":1791862884841},"61":"Done","62":{"d":1791862916096},"63":1,"90":0}</t>
  </si>
  <si>
    <t>k:obengsetpresisi</t>
  </si>
  <si>
    <t>{"12":"Asykuri Nabila","13":{"d":1791881035481},"14":"Done","15":{"d":1791947839416},"36":0,"39":"Asykuri Nabila","40":{"d":1791948666931},"41":"Done","42":{"d":1791952053997},"63":0}</t>
  </si>
  <si>
    <t>k:obengstandar</t>
  </si>
  <si>
    <t>{"12":"Maulana Fadhil Ahmad","13":{"d":1791516946076},"14":"Done","15":{"d":1791517471432},"36":0,"39":"Michael Karel Yansen Gunawan","40":{"d":1791777523238},"41":"Done","42":{"d":1791779648929},"63":0,"90":0}</t>
  </si>
  <si>
    <t>k:osiloskop</t>
  </si>
  <si>
    <t>{"12":"Alfian Noor Ibrahim","13":{"d":1791451737177},"14":"Done","15":{"d":1791776986879},"36":0,"39":"Alfian Noor Ibrahim","40":{"d":1791777208999},"42":{"d":1791791346677},"59":"Egi Dwi Septian","60":{"d":1791860756546},"61":"Done","62":{"d":1791860867139},"63":1,"90":0}</t>
  </si>
  <si>
    <t>k:pakaiankemejainstruktur</t>
  </si>
  <si>
    <t>{"12":"Ghifari Gilmansyah Ali Hakim","13":{"d":1792137224957},"14":"Done","15":{"d":1792140136668}}</t>
  </si>
  <si>
    <t>k:pakaiankemejainstrukturfemale</t>
  </si>
  <si>
    <t>{"12":"Amir Alqodri","13":{"d":1792403448115},"14":"Done","15":{"d":1792479906528}}</t>
  </si>
  <si>
    <t>k:pakaianmarshaller</t>
  </si>
  <si>
    <t>{"12":"Alfitri Deviani","13":{"d":1792140103963},"14":"Done","15":{"d":1792385854615}}</t>
  </si>
  <si>
    <t>k:pakaianwearpack</t>
  </si>
  <si>
    <t>{"12":"Amir Alqodri","13":{"d":1792138572983},"14":"Done","15":{"d":1792381805474}}</t>
  </si>
  <si>
    <t>k:pcserver/rackmountserver</t>
  </si>
  <si>
    <t>k:pedaladjustmenthandle</t>
  </si>
  <si>
    <t>{"12":"Arif Kurniawan","13":{"d":1792392025501},"14":"Done","15":{"d":1792395327078},"39":"Arif Kurniawan","40":{"d":1792395501382},"41":"Done","42":{"d":1792400053855}}</t>
  </si>
  <si>
    <t>k:pinpunchtool</t>
  </si>
  <si>
    <t>{"12":"Amir Alqodri","13":{"d":1791861147141},"14":"Done","15":{"d":1791865237217},"36":0,"39":"Amir Alqodri","40":{"d":1791865785355},"41":"Done","42":{"d":1791873277445},"63":0,"90":0}</t>
  </si>
  <si>
    <t>k:pintuakses(2202,2204,2318)</t>
  </si>
  <si>
    <t>k:pintuaksesf16(2202,2204,2318)</t>
  </si>
  <si>
    <t>k:plasticscraper</t>
  </si>
  <si>
    <t>{"12":"Maulana Fadhil Ahmad","13":{"d":1791533942704},"14":"Done","15":{"d":1791534402943},"36":0,"39":"Michael Karel Yansen Gunawan","40":{"d":1791789784567},"42":{"d":1791790888101},"59":"Egi Dwi Septian","60":{"d":1791949711421},"61":"Done","62":{"d":1791950026575},"63":1,"90":0}</t>
  </si>
  <si>
    <t>k:plataluminiumshimstock</t>
  </si>
  <si>
    <t>{"12":"Alfitri Deviani","14":"Done","36":0,"63":0,"90":0}</t>
  </si>
  <si>
    <t>k:pneumaticdrillmotor</t>
  </si>
  <si>
    <t>{"12":"Maulana Fadhil Ahmad","13":{"d":1791884690751},"14":"Done","15":{"d":1791952857364},"36":0,"39":"Maqolidurrohmatulloh","41":"Done","42":{"d":1792056687122},"63":0,"90":0}</t>
  </si>
  <si>
    <t>k:psu-1600-2000w,80+platinum/titanium</t>
  </si>
  <si>
    <t>{"12":"Aditya Warman","13":{"d":1790303316374},"14":"Done","15":{"d":1790308148716},"36":0,"39":"Aditya Warman","40":{"d":1790321349137},"41":"Done","42":{"d":1790328264273},"63":0,"90":0}</t>
  </si>
  <si>
    <t>k:radarantenna</t>
  </si>
  <si>
    <t>{"12":"Alfitri Deviani","13":{"d":1792479027164},"14":"Ongoing"}</t>
  </si>
  <si>
    <t>k:rakserver(serverrack)</t>
  </si>
  <si>
    <t>{"36":0,"40":{"d":1792058091287},"41":"Done","63":0}</t>
  </si>
  <si>
    <t>k:ram-256gbddr5eccrdimm8x32gb</t>
  </si>
  <si>
    <t>{"12":"Arif Kurniawan","13":{"d":1790238661940},"14":"Done","15":{"d":1790240408240},"36":0,"39":"Arif Kurniawan","40":{"d":1790562655421},"41":"Done","42":{"d":1790565150796},"47":"Arif Kurniawan","49":"Done","51":0.1,"59":"Egi Dwi Septian","60":{"d":1791958945347},"61":"Revision","62":{"d":1791958975315},"63":1,"90":0}</t>
  </si>
  <si>
    <t>k:remakebodyf16-front</t>
  </si>
  <si>
    <t>k:remakebodyf16-fuselage</t>
  </si>
  <si>
    <t>k:remakebodyf16-rear</t>
  </si>
  <si>
    <t>k:remakebodyf16-wing</t>
  </si>
  <si>
    <t>k:remakef16-cockpitbody</t>
  </si>
  <si>
    <t>{"12":"Daffa Rifki Arbian Yusuf","13":{"d":1792032252964},"14":"Ongoing","36":0,"63":0,"90":0}</t>
  </si>
  <si>
    <t>k:remakef16-instrumentpanelleft</t>
  </si>
  <si>
    <t>k:remakef16-instrumentpanelright</t>
  </si>
  <si>
    <t>k:remakef16-mainlandinggear</t>
  </si>
  <si>
    <t>k:remakef16-noselandinggear</t>
  </si>
  <si>
    <t>{"12":"Michael Karel Yansen Gunawan","14":"Pending","36":0,"63":0,"90":0}</t>
  </si>
  <si>
    <t>k:remakef16-pedal</t>
  </si>
  <si>
    <t>{"12":"Alfian Noor Ibrahim","14":"Done","15":{"d":1792488440582},"36":0,"39":"Alfian Noor Ibrahim","41":"Ongoing","63":0,"90":0}</t>
  </si>
  <si>
    <t>k:remakef16-pylon</t>
  </si>
  <si>
    <t>k:remakef16-seat</t>
  </si>
  <si>
    <t>k:remakef16-stick</t>
  </si>
  <si>
    <t>k:ringwasherlogamkuningan</t>
  </si>
  <si>
    <t>{"12":"Maulana Fadhil Ahmad","13":{"d":1791789268739},"14":"Done","15":{"d":1791789478192},"36":0,"39":"Michael Karel Yansen Gunawan","40":{"d":1791862452510},"41":"Done","42":{"d":1791863787673},"63":0,"90":0}</t>
  </si>
  <si>
    <t>k:rotarytoolmandrel</t>
  </si>
  <si>
    <t>{"12":"Maulana Fadhil Ahmad","13":{"d":1791959775067},"14":"Done","15":{"d":1791962843433},"36":0,"39":"Michael Karel Yansen Gunawan","41":"Done","42":{"d":1792051673164},"63":0,"90":0}</t>
  </si>
  <si>
    <t>k:routerboard(mikrotik)</t>
  </si>
  <si>
    <t>{"12":"Maulana Fadhil Ahmad","13":{"d":1791967414305},"14":"Done","15":{"d":1792034391760},"36":0,"39":"Adam Al Hafizh Djabumona","41":"Done","42":{"d":1792055110462},"63":0}</t>
  </si>
  <si>
    <t>k:routerboard(mikrotik)var2</t>
  </si>
  <si>
    <t>{"12":"Kurnia Sandi","13":{"d":1792031993567},"14":"Done","15":{"d":1792044894100},"36":0,"39":"Kurnia Sandi","41":"Done","63":0}</t>
  </si>
  <si>
    <t>k:routerwifi</t>
  </si>
  <si>
    <t>{"12":"Dhia Azmi Achmadi","13":{"d":1791876745758},"14":"Done","15":{"d":1791880197460},"36":0,"39":"Ghifari Gilmansyah Ali Hakim","41":"Done","42":{"d":1792121042794},"63":0}</t>
  </si>
  <si>
    <t>k:safetygoggles</t>
  </si>
  <si>
    <t>{"12":"Maulana Fadhil Ahmad","13":{"d":1791797764384},"14":"Done","15":{"d":1791861778591},"36":0,"39":"Maulana Fadhil Ahmad","41":"Done","63":0}</t>
  </si>
  <si>
    <t>k:safetyshoes</t>
  </si>
  <si>
    <t>{"12":"Dhia Azmi Achmadi","13":{"d":1791945783218},"14":"Done","15":{"d":1791968938672},"36":0,"39":"Michael Karel Yansen Gunawan","41":"Done","42":{"d":1792056450808},"63":0}</t>
  </si>
  <si>
    <t>k:safetywiretwisterpliers(tangpemilinkawat)</t>
  </si>
  <si>
    <t>{"12":"Alfitri Deviani","14":"Done","36":0,"39":"Alfitri Deviani","41":"Done","63":0}</t>
  </si>
  <si>
    <t>k:sarungtangananti-statis</t>
  </si>
  <si>
    <t>{"12":"Maqolidurrohmatulloh","13":{"d":1791882875256},"14":"Done","15":{"d":1791884408069},"36":0,"39":"Maqolidurrohmatulloh","40":{"d":1792032454116},"41":"Done","63":0}</t>
  </si>
  <si>
    <t>k:sensorasap</t>
  </si>
  <si>
    <t>{"12":"Maqolidurrohmatulloh","13":{"d":1791947323494},"14":"Done","15":{"d":1791949072411},"36":0,"39":"Maqolidurrohmatulloh","40":{"d":1791969378262},"41":"Done","42":{"d":1791970917436},"63":0}</t>
  </si>
  <si>
    <t>k:sensoriot</t>
  </si>
  <si>
    <t>k:sensorsuhuoli(engineoillow-pressureswitch)</t>
  </si>
  <si>
    <t>{"12":"Adam Al Hafizh Djabumona","13":{"d":1791969062731},"14":"Done","15":{"d":1791971750525},"36":0,"39":"Adam Al Hafizh Djabumona","41":"Done","42":{"d":1792045186979},"63":0}</t>
  </si>
  <si>
    <t>k:senterkecil</t>
  </si>
  <si>
    <t>{"12":"Dimas Bhakti Kurniawan","13":{"d":1792133029265},"14":"Done","15":{"d":1792135121275},"39":"Dimas Bhakti Kurniawan","40":{"d":1792135278794},"41":"Done","42":{"d":1792139679285}}</t>
  </si>
  <si>
    <t>k:serverrack</t>
  </si>
  <si>
    <t>k:shortinglead</t>
  </si>
  <si>
    <t>{"12":"Bagus Bima Satriawan","13":{"d":1792032814986},"14":"Done","15":{"d":1792037368546},"36":0,"39":"Bagus Bima Satriawan","41":"Done","63":0}</t>
  </si>
  <si>
    <t>k:ssdos-2tbnvmepcie5.0</t>
  </si>
  <si>
    <t>{"12":"Aditya Warman","13":{"d":1790154158341},"14":"Done","15":{"d":1790157047000},"36":0,"39":"Aditya Warman","40":{"d":1790569668002},"41":"Done","42":{"d":1790576979333},"63":0,"90":0}</t>
  </si>
  <si>
    <t>k:stick</t>
  </si>
  <si>
    <t>{"12":"Dhia Azmi Achmadi","13":{"d":1792380628134},"14":"Done","15":{"d":1792488276864},"39":"Dhia Azmi Achmadi","40":{"d":1792550005453},"41":"Ongoing"}</t>
  </si>
  <si>
    <t>k:storagedata-8tbenterprisehdd</t>
  </si>
  <si>
    <t>{"12":"Kurnia Sandi","13":{"d":1790221320734},"14":"Done","15":{"d":1790224570000},"36":0,"39":"Kurnia Sandi","40":{"d":1790322783437},"41":"Done","42":{"d":1790327753029},"63":0,"90":0}</t>
  </si>
  <si>
    <t>k:switchmanageable</t>
  </si>
  <si>
    <t>{"12":"Adam Al Hafizh Djabumona","13":{"d":1792032411256},"14":"Done","15":{"d":1792036364218},"36":0,"39":"Ghifari Gilmansyah Ali Hakim","41":"Done","42":{"d":1792056127393},"63":0}</t>
  </si>
  <si>
    <t>k:switchmanageable(ciscocatalyst1300)</t>
  </si>
  <si>
    <t>k:tabletlogbookvirtual</t>
  </si>
  <si>
    <t>{"12":"Ghifari Gilmansyah Ali Hakim","13":{"d":1791448102629},"14":"Done","15":{"d":1791451106267},"36":0,"39":"Ghifari Gilmansyah Ali Hakim","40":{"d":1791451553425},"42":{"d":1791515840772},"59":"Egi Dwi Septian","60":{"d":1791860205195},"61":"Done","62":{"d":1791860209747},"63":1,"90":0}</t>
  </si>
  <si>
    <t>k:tactical/militaryflashlight</t>
  </si>
  <si>
    <t>{"12":"Maulana Fadhil Ahmad","13":{"d":1791527416624},"14":"Done","15":{"d":1791529420844},"36":0,"39":"Michael Karel Yansen Gunawan","40":{"d":1791785693670},"42":{"d":1791788732464},"59":"Egi Dwi Septian","60":{"d":1791949004544},"61":"Done","62":{"d":1791949118194},"63":1}</t>
  </si>
  <si>
    <t>k:telescopicinspectionmirror</t>
  </si>
  <si>
    <t>{"12":"Maulana Fadhil Ahmad","13":{"d":1791794822122},"14":"Done","15":{"d":1791796068456},"36":0,"39":"Maulana Fadhil Ahmad","41":"Done","42":{"d":1792055450001},"63":0}</t>
  </si>
  <si>
    <t>k:terminalkonektorintrinsicallysafe</t>
  </si>
  <si>
    <t>k:testadapter</t>
  </si>
  <si>
    <t>{"12":"Bagus Bima Satriawan","14":"Done","15":{"d":1792118765984},"36":0,"39":"Bagus Bima Satriawan","41":"Done","42":{"d":1792124904897},"63":0}</t>
  </si>
  <si>
    <t>k:testsetan/usm-128</t>
  </si>
  <si>
    <t>{"12":"Arif Kurniawan","13":{"d":1792133847329},"14":"Done","15":{"d":1792142251183},"39":"Arif Kurniawan","40":{"d":1792142530343},"41":"Done","42":{"d":1792391505068}}</t>
  </si>
  <si>
    <t>k:throttle</t>
  </si>
  <si>
    <t>{"12":"Dhia Azmi Achmadi","13":{"d":1791971171600},"14":"Done","15":{"d":1792057856096},"36":0,"39":"Dhia Azmi Achmadi","41":"Done","42":{"d":1792141402284},"63":0}</t>
  </si>
  <si>
    <t>k:tombolalarmevakuasi</t>
  </si>
  <si>
    <t>{"12":"Maulana Fadhil Ahmad","13":{"d":1791863724194},"14":"Done","15":{"d":1791864381508},"36":0,"39":"Michael Karel Yansen Gunawan","40":{"d":1791966634193},"41":"Done","42":{"d":1791970990216},"63":0}</t>
  </si>
  <si>
    <t>k:tongkatparkir</t>
  </si>
  <si>
    <t>{"12":"Adam Al Hafizh Djabumona","13":{"d":1792140132559},"14":"Done","15":{"d":1792143962808},"39":"Adam Al Hafizh Djabumona","40":{"d":1792377121388},"41":"Done","42":{"d":1792381373640}}</t>
  </si>
  <si>
    <t>k:torquewrench(kuncitorsi)</t>
  </si>
  <si>
    <t>{"12":"Maulana Fadhil Ahmad","13":{"d":1791518349229},"14":"Done","15":{"d":1791526598630},"36":0,"39":"Michael Karel Yansen Gunawan","40":{"d":1791865839319},"42":{"d":1791872143312},"59":"Egi Dwi Septian","60":{"d":1791949218488},"61":"Done","62":{"d":1791949443214},"63":1}</t>
  </si>
  <si>
    <t>k:trolleymaintenance</t>
  </si>
  <si>
    <t>k:unitkontrolelektronikmesin(digitalelectronicenginecontrol/deec)</t>
  </si>
  <si>
    <t>{"12":"Dimas Bhakti Kurniawan","13":{"d":1792033942292},"14":"Done","15":{"d":1792037285642},"36":0,"39":"Dimas Bhakti Kurniawan","41":"Done","42":{"d":1792045839157},"63":0}</t>
  </si>
  <si>
    <t>k:ups-2200-3000vapuresinewave</t>
  </si>
  <si>
    <t>{"12":"Arif Kurniawan","13":{"d":1790304485843},"14":"Done","15":{"d":1790308480742},"36":0,"39":"Arif Kurniawan","40":{"d":1790570551851},"41":"Done","42":{"d":1790579857992},"63":0,"90":0}</t>
  </si>
  <si>
    <t>k:verticalvelocityindicator</t>
  </si>
  <si>
    <t>{"12":"Ghifari Gilmansyah Ali Hakim","13":{"d":1792385081562},"14":"Done","15":{"d":1792391867078},"39":"Ghifari Gilmansyah Ali Hakim","40":{"d":1792393474659},"41":"Done","42":{"d":1792400685667}}</t>
  </si>
  <si>
    <t>k:vor/ilsreceiver</t>
  </si>
  <si>
    <t>{"12":"Kurnia Sandi","13":{"d":1792139521816},"14":"Done","15":{"d":1792383299186},"39":"Kurnia Sandi","40":{"d":1792384436860},"41":"Done","42":{"d":1792392195994}}</t>
  </si>
  <si>
    <t>k:wheelchocks</t>
  </si>
  <si>
    <t>{"12":"Maulana Fadhil Ahmad","13":{"d":1791785293860},"14":"Done","15":{"d":1791787331721},"36":0,"39":"Michael Karel Yansen Gunawan","40":{"d":1791875145636},"42":{"d":1791877121634},"59":"Egi Dwi Septian","60":{"d":1791948905825},"61":"Done","62":{"d":1791948963510},"63":1}</t>
  </si>
  <si>
    <t>k:wi-fi7enterprise-classadapter</t>
  </si>
  <si>
    <t>{"12":"Arif Kurniawan","13":{"d":1790241693822},"14":"Done","15":{"d":1790243889583},"36":0,"39":"Arif Kurniawan","40":{"d":1790566317779},"41":"Done","42":{"d":1790569706666},"63":0,"90":0}</t>
  </si>
  <si>
    <t>k:wirestripper</t>
  </si>
  <si>
    <t>{"12":"Maqolidurrohmatulloh","13":{"d":1791949773111},"14":"Done","15":{"d":1791962312133},"36":0,"39":"Maqolidurrohmatulloh","40":{"d":1791963521962},"41":"Done","42":{"d":1791968119514},"63":0}</t>
  </si>
  <si>
    <t>k:workstationpc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</si>
</sst>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 h:mm:ss"/>
    <numFmt numFmtId="166" formatCode="dd&quot;/&quot;mm&quot;/&quot;yyyy&quot; (&quot;hh&quot;:&quot;mm&quot;:&quot;ss&quot;)&quot;"/>
  </numFmts>
  <fonts count="23">
    <font>
      <sz val="10.0"/>
      <color rgb="FF000000"/>
      <name val="Arial"/>
      <scheme val="minor"/>
    </font>
    <font>
      <b/>
      <sz val="11.0"/>
      <color rgb="FF000000"/>
      <name val="Comfortaa"/>
    </font>
    <font>
      <color theme="1"/>
      <name val="Comfortaa"/>
    </font>
    <font>
      <b/>
      <sz val="11.0"/>
      <color theme="1"/>
      <name val="Comfortaa"/>
    </font>
    <font>
      <sz val="11.0"/>
      <color theme="1"/>
      <name val="Comfortaa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Comfortaa"/>
    </font>
    <font>
      <color theme="1"/>
      <name val="Arial"/>
    </font>
    <font>
      <color rgb="FF000000"/>
      <name val="Comfortaa"/>
    </font>
    <font>
      <color rgb="FF000000"/>
      <name val="Arial"/>
      <scheme val="minor"/>
    </font>
    <font>
      <b/>
      <sz val="11.0"/>
      <color rgb="FFFFFFFF"/>
      <name val="Comfortaa"/>
    </font>
    <font>
      <color theme="1"/>
      <name val="Times New Roman"/>
    </font>
    <font>
      <b/>
      <color rgb="FF000000"/>
      <name val="Times New Roman"/>
    </font>
    <font>
      <b/>
      <color theme="1"/>
      <name val="Lexend"/>
    </font>
    <font>
      <b/>
      <color theme="1"/>
      <name val="Arial"/>
    </font>
    <font/>
    <font>
      <color theme="1"/>
      <name val="Lexend"/>
    </font>
    <font>
      <b/>
      <color rgb="FFFFFFFF"/>
      <name val="Arial"/>
    </font>
    <font>
      <b/>
      <color rgb="FFFFFFFF"/>
      <name val="Arial"/>
      <scheme val="minor"/>
    </font>
    <font>
      <u/>
      <color rgb="FF0000FF"/>
    </font>
    <font>
      <color rgb="FFFFFFFF"/>
      <name val="Arial"/>
      <scheme val="minor"/>
    </font>
    <font>
      <color rgb="FFFFFFFF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134F5C"/>
        <bgColor rgb="FF134F5C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FF6D01"/>
        <bgColor rgb="FFFF6D01"/>
      </patternFill>
    </fill>
    <fill>
      <patternFill patternType="solid">
        <fgColor rgb="FF073763"/>
        <bgColor rgb="FF07376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6D01"/>
      </left>
      <right style="thin">
        <color rgb="FFFF6D01"/>
      </right>
      <bottom style="thin">
        <color rgb="FFFF6D01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0" fillId="4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vertical="center"/>
    </xf>
    <xf borderId="0" fillId="6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vertical="center"/>
    </xf>
    <xf borderId="0" fillId="4" fontId="1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vertical="center"/>
    </xf>
    <xf borderId="0" fillId="2" fontId="3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left" readingOrder="0" shrinkToFit="0" vertical="center" wrapText="0"/>
    </xf>
    <xf borderId="0" fillId="7" fontId="1" numFmtId="0" xfId="0" applyAlignment="1" applyFill="1" applyFont="1">
      <alignment horizontal="center" vertical="center"/>
    </xf>
    <xf borderId="0" fillId="7" fontId="1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0" fillId="7" fontId="1" numFmtId="0" xfId="0" applyAlignment="1" applyFill="1" applyFont="1">
      <alignment horizontal="center" readingOrder="0" vertical="center"/>
    </xf>
    <xf borderId="0" fillId="4" fontId="1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8" fontId="6" numFmtId="0" xfId="0" applyAlignment="1" applyFill="1" applyFont="1">
      <alignment horizontal="center" readingOrder="0" shrinkToFit="0" vertical="center" wrapText="1"/>
    </xf>
    <xf borderId="0" fillId="0" fontId="2" numFmtId="2" xfId="0" applyAlignment="1" applyFont="1" applyNumberFormat="1">
      <alignment horizontal="center" vertical="center"/>
    </xf>
    <xf borderId="0" fillId="8" fontId="6" numFmtId="0" xfId="0" applyAlignment="1" applyFill="1" applyFont="1">
      <alignment readingOrder="0" shrinkToFit="0" vertical="center" wrapText="1"/>
    </xf>
    <xf borderId="0" fillId="8" fontId="6" numFmtId="0" xfId="0" applyAlignment="1" applyFill="1" applyFont="1">
      <alignment shrinkToFit="0" vertical="center" wrapText="1"/>
    </xf>
    <xf borderId="0" fillId="5" fontId="1" numFmtId="0" xfId="0" applyAlignment="1" applyFill="1" applyFont="1">
      <alignment horizontal="center" shrinkToFit="0" vertical="center" wrapText="1"/>
    </xf>
    <xf borderId="0" fillId="5" fontId="5" numFmtId="0" xfId="0" applyAlignment="1" applyFill="1" applyFon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9" xfId="0" applyAlignment="1" applyFont="1" applyNumberFormat="1">
      <alignment readingOrder="0" vertical="center"/>
    </xf>
    <xf borderId="0" fillId="8" fontId="3" numFmtId="0" xfId="0" applyAlignment="1" applyFill="1" applyFont="1">
      <alignment readingOrder="0" shrinkToFit="0" vertical="center" wrapText="1"/>
    </xf>
    <xf borderId="0" fillId="8" fontId="7" numFmtId="0" xfId="0" applyAlignment="1" applyFill="1" applyFont="1">
      <alignment shrinkToFit="0" vertical="center" wrapText="1"/>
    </xf>
    <xf borderId="0" fillId="8" fontId="3" numFmtId="0" xfId="0" applyAlignment="1" applyFill="1" applyFont="1">
      <alignment horizontal="center" readingOrder="0" shrinkToFit="0" vertical="center" wrapText="1"/>
    </xf>
    <xf borderId="0" fillId="9" fontId="6" numFmtId="0" xfId="0" applyAlignment="1" applyFill="1" applyFont="1">
      <alignment horizontal="center" readingOrder="0" shrinkToFit="0" vertical="center" wrapText="1"/>
    </xf>
    <xf borderId="0" fillId="0" fontId="2" numFmtId="165" xfId="0" applyAlignment="1" applyFont="1" applyNumberFormat="1">
      <alignment shrinkToFit="0" vertical="center" wrapText="1"/>
    </xf>
    <xf borderId="0" fillId="9" fontId="6" numFmtId="0" xfId="0" applyAlignment="1" applyFill="1" applyFont="1">
      <alignment readingOrder="0" shrinkToFit="0" vertical="center" wrapText="1"/>
    </xf>
    <xf borderId="0" fillId="9" fontId="6" numFmtId="0" xfId="0" applyAlignment="1" applyFill="1" applyFont="1">
      <alignment shrinkToFit="0" vertical="center" wrapText="1"/>
    </xf>
    <xf borderId="0" fillId="5" fontId="6" numFmtId="0" xfId="0" applyAlignment="1" applyFill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10" fontId="2" numFmtId="0" xfId="0" applyAlignment="1" applyFill="1" applyFont="1">
      <alignment horizontal="center" readingOrder="0" vertical="center"/>
    </xf>
    <xf borderId="0" fillId="0" fontId="2" numFmtId="165" xfId="0" applyAlignment="1" applyFont="1" applyNumberFormat="1">
      <alignment readingOrder="0" shrinkToFit="0" vertical="center" wrapText="1"/>
    </xf>
    <xf borderId="0" fillId="0" fontId="2" numFmtId="9" xfId="0" applyAlignment="1" applyFont="1" applyNumberFormat="1">
      <alignment vertical="center"/>
    </xf>
    <xf borderId="0" fillId="0" fontId="4" numFmtId="0" xfId="0" applyAlignment="1" applyFont="1">
      <alignment shrinkToFit="0" vertical="center" wrapText="1"/>
    </xf>
    <xf borderId="0" fillId="11" fontId="4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4" fontId="1" numFmtId="0" xfId="0" applyAlignment="1" applyFill="1" applyFont="1">
      <alignment horizontal="center" readingOrder="0" vertical="center"/>
    </xf>
    <xf borderId="0" fillId="4" fontId="9" numFmtId="0" xfId="0" applyAlignment="1" applyFill="1" applyFont="1">
      <alignment vertical="center"/>
    </xf>
    <xf borderId="0" fillId="4" fontId="1" numFmtId="0" xfId="0" applyAlignment="1" applyFill="1" applyFont="1">
      <alignment horizontal="center" vertical="center"/>
    </xf>
    <xf borderId="0" fillId="4" fontId="10" numFmtId="0" xfId="0" applyFill="1" applyFont="1"/>
    <xf borderId="0" fillId="0" fontId="5" numFmtId="0" xfId="0" applyAlignment="1" applyFont="1">
      <alignment readingOrder="0"/>
    </xf>
    <xf borderId="0" fillId="4" fontId="2" numFmtId="0" xfId="0" applyAlignment="1" applyFill="1" applyFont="1">
      <alignment vertical="center"/>
    </xf>
    <xf borderId="0" fillId="4" fontId="11" numFmtId="0" xfId="0" applyAlignment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0" fillId="12" fontId="5" numFmtId="0" xfId="0" applyAlignment="1" applyFill="1" applyFont="1">
      <alignment horizontal="center" readingOrder="0" shrinkToFit="0" vertical="center" wrapText="1"/>
    </xf>
    <xf borderId="0" fillId="12" fontId="5" numFmtId="0" xfId="0" applyAlignment="1" applyFill="1" applyFont="1">
      <alignment readingOrder="0" shrinkToFit="0" vertical="center" wrapText="1"/>
    </xf>
    <xf borderId="0" fillId="12" fontId="5" numFmtId="0" xfId="0" applyAlignment="1" applyFill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12" fontId="6" numFmtId="0" xfId="0" applyAlignment="1" applyFill="1" applyFont="1">
      <alignment horizontal="center" readingOrder="0" shrinkToFit="0" vertical="center" wrapText="1"/>
    </xf>
    <xf borderId="0" fillId="12" fontId="6" numFmtId="0" xfId="0" applyAlignment="1" applyFill="1" applyFont="1">
      <alignment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13" fontId="6" numFmtId="0" xfId="0" applyAlignment="1" applyFill="1" applyFont="1">
      <alignment shrinkToFit="0" vertical="center" wrapText="1"/>
    </xf>
    <xf borderId="0" fillId="13" fontId="3" numFmtId="0" xfId="0" applyAlignment="1" applyFill="1" applyFont="1">
      <alignment readingOrder="0" shrinkToFit="0" vertical="center" wrapText="1"/>
    </xf>
    <xf borderId="0" fillId="13" fontId="7" numFmtId="0" xfId="0" applyAlignment="1" applyFill="1" applyFont="1">
      <alignment shrinkToFit="0" vertical="center" wrapText="1"/>
    </xf>
    <xf borderId="0" fillId="13" fontId="3" numFmtId="0" xfId="0" applyAlignment="1" applyFill="1" applyFont="1">
      <alignment horizontal="center" readingOrder="0" shrinkToFit="0" vertical="center" wrapText="1"/>
    </xf>
    <xf borderId="0" fillId="13" fontId="6" numFmtId="0" xfId="0" applyAlignment="1" applyFill="1" applyFont="1">
      <alignment horizontal="center" readingOrder="0" shrinkToFit="0" vertical="center" wrapText="1"/>
    </xf>
    <xf borderId="0" fillId="13" fontId="5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1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9" fontId="6" numFmtId="0" xfId="0" applyAlignment="1" applyFill="1" applyFont="1">
      <alignment horizontal="left" readingOrder="0" shrinkToFit="0" vertical="center" wrapText="1"/>
    </xf>
    <xf borderId="0" fillId="4" fontId="13" numFmtId="0" xfId="0" applyAlignment="1" applyFill="1" applyFont="1">
      <alignment horizontal="center" readingOrder="0" vertical="center"/>
    </xf>
    <xf borderId="0" fillId="4" fontId="13" numFmtId="0" xfId="0" applyAlignment="1" applyFill="1" applyFont="1">
      <alignment horizontal="center" readingOrder="0" shrinkToFit="0" vertical="center" wrapText="1"/>
    </xf>
    <xf borderId="0" fillId="4" fontId="13" numFmtId="0" xfId="0" applyAlignment="1" applyFill="1" applyFont="1">
      <alignment horizontal="center" vertical="center"/>
    </xf>
    <xf borderId="0" fillId="0" fontId="12" numFmtId="0" xfId="0" applyFont="1"/>
    <xf borderId="0" fillId="0" fontId="12" numFmtId="0" xfId="0" applyAlignment="1" applyFont="1">
      <alignment horizontal="center"/>
    </xf>
    <xf borderId="0" fillId="0" fontId="12" numFmtId="166" xfId="0" applyAlignment="1" applyFont="1" applyNumberFormat="1">
      <alignment horizontal="left" shrinkToFit="0" vertical="center" wrapText="1"/>
    </xf>
    <xf borderId="0" fillId="0" fontId="12" numFmtId="0" xfId="0" applyAlignment="1" applyFont="1">
      <alignment horizontal="center" readingOrder="0" shrinkToFit="0" wrapText="0"/>
    </xf>
    <xf borderId="0" fillId="0" fontId="5" numFmtId="164" xfId="0" applyAlignment="1" applyFont="1" applyNumberFormat="1">
      <alignment shrinkToFit="0" vertical="center" wrapText="1"/>
    </xf>
    <xf borderId="0" fillId="0" fontId="12" numFmtId="3" xfId="0" applyAlignment="1" applyFont="1" applyNumberFormat="1">
      <alignment horizontal="center" shrinkToFit="0" vertical="center" wrapText="1"/>
    </xf>
    <xf borderId="0" fillId="0" fontId="12" numFmtId="3" xfId="0" applyAlignment="1" applyFont="1" applyNumberFormat="1">
      <alignment horizontal="center" readingOrder="0" shrinkToFit="0" vertical="center" wrapText="1"/>
    </xf>
    <xf borderId="0" fillId="0" fontId="12" numFmtId="4" xfId="0" applyAlignment="1" applyFont="1" applyNumberFormat="1">
      <alignment horizontal="center" shrinkToFit="0" vertical="center" wrapText="1"/>
    </xf>
    <xf borderId="0" fillId="0" fontId="12" numFmtId="9" xfId="0" applyAlignment="1" applyFont="1" applyNumberFormat="1">
      <alignment readingOrder="0" shrinkToFit="0" wrapText="0"/>
    </xf>
    <xf borderId="0" fillId="5" fontId="12" numFmtId="0" xfId="0" applyFill="1" applyFont="1"/>
    <xf borderId="0" fillId="14" fontId="11" numFmtId="0" xfId="0" applyAlignment="1" applyFill="1" applyFont="1">
      <alignment horizontal="center" readingOrder="0" vertical="center"/>
    </xf>
    <xf borderId="0" fillId="14" fontId="11" numFmtId="0" xfId="0" applyAlignment="1" applyFill="1" applyFont="1">
      <alignment horizontal="center" readingOrder="0" shrinkToFit="0" vertical="center" wrapText="1"/>
    </xf>
    <xf borderId="0" fillId="14" fontId="11" numFmtId="0" xfId="0" applyAlignment="1" applyFill="1" applyFont="1">
      <alignment horizontal="center" vertical="center"/>
    </xf>
    <xf borderId="0" fillId="14" fontId="1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15" fontId="11" numFmtId="0" xfId="0" applyAlignment="1" applyFill="1" applyFont="1">
      <alignment horizontal="center" vertical="center"/>
    </xf>
    <xf borderId="0" fillId="15" fontId="11" numFmtId="0" xfId="0" applyAlignment="1" applyFill="1" applyFont="1">
      <alignment horizontal="center" readingOrder="0" vertical="center"/>
    </xf>
    <xf borderId="0" fillId="15" fontId="11" numFmtId="0" xfId="0" applyAlignment="1" applyFill="1" applyFont="1">
      <alignment horizontal="center" readingOrder="0" shrinkToFit="0" vertical="center" wrapText="1"/>
    </xf>
    <xf borderId="0" fillId="0" fontId="5" numFmtId="0" xfId="0" applyFont="1"/>
    <xf borderId="0" fillId="15" fontId="11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/>
    </xf>
    <xf borderId="1" fillId="0" fontId="14" numFmtId="0" xfId="0" applyAlignment="1" applyBorder="1" applyFont="1">
      <alignment horizontal="center" vertical="bottom"/>
    </xf>
    <xf borderId="2" fillId="16" fontId="15" numFmtId="0" xfId="0" applyAlignment="1" applyBorder="1" applyFill="1" applyFont="1">
      <alignment horizontal="center" vertical="bottom"/>
    </xf>
    <xf borderId="3" fillId="0" fontId="16" numFmtId="0" xfId="0" applyBorder="1" applyFont="1"/>
    <xf borderId="4" fillId="0" fontId="16" numFmtId="0" xfId="0" applyBorder="1" applyFont="1"/>
    <xf borderId="1" fillId="0" fontId="17" numFmtId="0" xfId="0" applyAlignment="1" applyBorder="1" applyFont="1">
      <alignment vertical="bottom"/>
    </xf>
    <xf borderId="5" fillId="17" fontId="18" numFmtId="0" xfId="0" applyAlignment="1" applyBorder="1" applyFill="1" applyFont="1">
      <alignment horizontal="center" shrinkToFit="0" wrapText="1"/>
    </xf>
    <xf borderId="6" fillId="10" fontId="8" numFmtId="0" xfId="0" applyAlignment="1" applyBorder="1" applyFill="1" applyFont="1">
      <alignment vertical="bottom"/>
    </xf>
    <xf borderId="6" fillId="10" fontId="8" numFmtId="0" xfId="0" applyAlignment="1" applyBorder="1" applyFill="1" applyFont="1">
      <alignment horizontal="center" vertical="bottom"/>
    </xf>
    <xf borderId="7" fillId="0" fontId="8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center"/>
    </xf>
    <xf borderId="8" fillId="5" fontId="8" numFmtId="0" xfId="0" applyAlignment="1" applyBorder="1" applyFill="1" applyFont="1">
      <alignment vertical="bottom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9" fillId="10" fontId="8" numFmtId="0" xfId="0" applyAlignment="1" applyBorder="1" applyFill="1" applyFont="1">
      <alignment readingOrder="0" vertical="bottom"/>
    </xf>
    <xf borderId="10" fillId="0" fontId="8" numFmtId="0" xfId="0" applyAlignment="1" applyBorder="1" applyFont="1">
      <alignment horizontal="center" vertical="bottom"/>
    </xf>
    <xf borderId="11" fillId="0" fontId="8" numFmtId="0" xfId="0" applyAlignment="1" applyBorder="1" applyFont="1">
      <alignment horizontal="center" vertical="bottom"/>
    </xf>
    <xf borderId="11" fillId="5" fontId="8" numFmtId="0" xfId="0" applyAlignment="1" applyBorder="1" applyFill="1" applyFont="1">
      <alignment vertical="bottom"/>
    </xf>
    <xf borderId="9" fillId="10" fontId="8" numFmtId="0" xfId="0" applyAlignment="1" applyBorder="1" applyFill="1" applyFont="1">
      <alignment vertical="bottom"/>
    </xf>
    <xf borderId="9" fillId="10" fontId="8" numFmtId="0" xfId="0" applyAlignment="1" applyBorder="1" applyFill="1" applyFont="1">
      <alignment horizontal="center" vertical="bottom"/>
    </xf>
    <xf borderId="10" fillId="0" fontId="8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2" fillId="18" fontId="18" numFmtId="0" xfId="0" applyAlignment="1" applyBorder="1" applyFill="1" applyFont="1">
      <alignment horizontal="right" vertical="bottom"/>
    </xf>
    <xf borderId="0" fillId="18" fontId="18" numFmtId="10" xfId="0" applyAlignment="1" applyFill="1" applyFont="1" applyNumberFormat="1">
      <alignment horizontal="center" vertical="bottom"/>
    </xf>
    <xf borderId="13" fillId="0" fontId="8" numFmtId="0" xfId="0" applyAlignment="1" applyBorder="1" applyFont="1">
      <alignment vertical="bottom"/>
    </xf>
    <xf borderId="13" fillId="0" fontId="16" numFmtId="0" xfId="0" applyBorder="1" applyFont="1"/>
    <xf borderId="10" fillId="0" fontId="16" numFmtId="0" xfId="0" applyBorder="1" applyFont="1"/>
    <xf borderId="1" fillId="0" fontId="17" numFmtId="0" xfId="0" applyAlignment="1" applyBorder="1" applyFont="1">
      <alignment readingOrder="0" vertical="bottom"/>
    </xf>
    <xf borderId="1" fillId="19" fontId="18" numFmtId="0" xfId="0" applyAlignment="1" applyBorder="1" applyFill="1" applyFont="1">
      <alignment horizontal="center" vertical="bottom"/>
    </xf>
    <xf borderId="1" fillId="19" fontId="18" numFmtId="1" xfId="0" applyAlignment="1" applyBorder="1" applyFill="1" applyFont="1" applyNumberFormat="1">
      <alignment horizontal="center" vertical="bottom"/>
    </xf>
    <xf borderId="1" fillId="19" fontId="18" numFmtId="0" xfId="0" applyAlignment="1" applyBorder="1" applyFill="1" applyFont="1">
      <alignment horizontal="center" readingOrder="0" vertical="bottom"/>
    </xf>
    <xf borderId="1" fillId="19" fontId="18" numFmtId="0" xfId="0" applyAlignment="1" applyBorder="1" applyFill="1" applyFont="1">
      <alignment horizontal="center" shrinkToFit="0" vertical="bottom" wrapText="1"/>
    </xf>
    <xf borderId="1" fillId="19" fontId="19" numFmtId="0" xfId="0" applyAlignment="1" applyBorder="1" applyFill="1" applyFont="1">
      <alignment horizontal="center" readingOrder="0" shrinkToFit="0" wrapText="1"/>
    </xf>
    <xf borderId="1" fillId="19" fontId="18" numFmtId="0" xfId="0" applyAlignment="1" applyBorder="1" applyFill="1" applyFont="1">
      <alignment horizontal="center" shrinkToFit="0" vertical="bottom" wrapText="1"/>
    </xf>
    <xf borderId="1" fillId="0" fontId="8" numFmtId="0" xfId="0" applyAlignment="1" applyBorder="1" applyFont="1">
      <alignment horizontal="right" vertical="bottom"/>
    </xf>
    <xf borderId="1" fillId="0" fontId="8" numFmtId="0" xfId="0" applyAlignment="1" applyBorder="1" applyFont="1">
      <alignment vertical="bottom"/>
    </xf>
    <xf borderId="1" fillId="0" fontId="8" numFmtId="1" xfId="0" applyAlignment="1" applyBorder="1" applyFont="1" applyNumberFormat="1">
      <alignment horizontal="center" readingOrder="0"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right" vertical="bottom"/>
    </xf>
    <xf borderId="1" fillId="0" fontId="8" numFmtId="9" xfId="0" applyAlignment="1" applyBorder="1" applyFont="1" applyNumberFormat="1">
      <alignment horizontal="right" vertical="bottom"/>
    </xf>
    <xf borderId="1" fillId="0" fontId="8" numFmtId="4" xfId="0" applyAlignment="1" applyBorder="1" applyFont="1" applyNumberFormat="1">
      <alignment horizontal="right" vertical="bottom"/>
    </xf>
    <xf borderId="1" fillId="0" fontId="8" numFmtId="10" xfId="0" applyAlignment="1" applyBorder="1" applyFont="1" applyNumberFormat="1">
      <alignment vertical="bottom"/>
    </xf>
    <xf borderId="1" fillId="0" fontId="8" numFmtId="10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3" xfId="0" applyAlignment="1" applyBorder="1" applyFont="1" applyNumberFormat="1">
      <alignment vertical="bottom"/>
    </xf>
    <xf borderId="1" fillId="0" fontId="20" numFmtId="0" xfId="0" applyAlignment="1" applyBorder="1" applyFont="1">
      <alignment readingOrder="0"/>
    </xf>
    <xf borderId="1" fillId="0" fontId="8" numFmtId="0" xfId="0" applyAlignment="1" applyBorder="1" applyFont="1">
      <alignment readingOrder="0" vertical="bottom"/>
    </xf>
    <xf borderId="0" fillId="0" fontId="12" numFmtId="0" xfId="0" applyAlignment="1" applyFont="1">
      <alignment horizontal="center" vertical="bottom"/>
    </xf>
    <xf borderId="1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1" fillId="0" fontId="8" numFmtId="4" xfId="0" applyAlignment="1" applyBorder="1" applyFont="1" applyNumberFormat="1">
      <alignment vertical="bottom"/>
    </xf>
    <xf borderId="1" fillId="19" fontId="21" numFmtId="0" xfId="0" applyAlignment="1" applyBorder="1" applyFill="1" applyFont="1">
      <alignment horizontal="center" readingOrder="0"/>
    </xf>
    <xf borderId="1" fillId="19" fontId="22" numFmtId="0" xfId="0" applyAlignment="1" applyBorder="1" applyFill="1" applyFont="1">
      <alignment horizontal="center" vertical="bottom"/>
    </xf>
    <xf borderId="1" fillId="19" fontId="22" numFmtId="0" xfId="0" applyAlignment="1" applyBorder="1" applyFill="1" applyFont="1">
      <alignment horizontal="center" readingOrder="0" vertical="bottom"/>
    </xf>
    <xf borderId="1" fillId="19" fontId="21" numFmtId="0" xfId="0" applyAlignment="1" applyBorder="1" applyFill="1" applyFont="1">
      <alignment horizontal="center" readingOrder="0" shrinkToFit="0" wrapText="1"/>
    </xf>
    <xf borderId="1" fillId="19" fontId="22" numFmtId="0" xfId="0" applyAlignment="1" applyBorder="1" applyFill="1" applyFont="1">
      <alignment horizontal="center" shrinkToFit="0" vertical="bottom" wrapText="1"/>
    </xf>
    <xf borderId="1" fillId="0" fontId="15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vertical="bottom"/>
    </xf>
    <xf borderId="1" fillId="0" fontId="8" numFmtId="9" xfId="0" applyAlignment="1" applyBorder="1" applyFont="1" applyNumberFormat="1">
      <alignment vertical="bottom"/>
    </xf>
    <xf borderId="1" fillId="0" fontId="5" numFmtId="10" xfId="0" applyAlignment="1" applyBorder="1" applyFont="1" applyNumberFormat="1">
      <alignment readingOrder="0"/>
    </xf>
    <xf borderId="1" fillId="0" fontId="8" numFmtId="0" xfId="0" applyAlignment="1" applyBorder="1" applyFont="1">
      <alignment horizontal="right" readingOrder="0" vertical="bottom"/>
    </xf>
    <xf borderId="1" fillId="0" fontId="8" numFmtId="1" xfId="0" applyAlignment="1" applyBorder="1" applyFont="1" applyNumberFormat="1">
      <alignment horizontal="center" vertical="bottom"/>
    </xf>
    <xf borderId="0" fillId="0" fontId="8" numFmtId="0" xfId="0" applyAlignment="1" applyFont="1">
      <alignment horizontal="right" vertical="bottom"/>
    </xf>
    <xf borderId="0" fillId="0" fontId="8" numFmtId="1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right" vertical="bottom"/>
    </xf>
    <xf borderId="0" fillId="0" fontId="8" numFmtId="9" xfId="0" applyAlignment="1" applyFont="1" applyNumberFormat="1">
      <alignment horizontal="right" vertical="bottom"/>
    </xf>
    <xf borderId="0" fillId="0" fontId="8" numFmtId="4" xfId="0" applyAlignment="1" applyFont="1" applyNumberFormat="1">
      <alignment vertical="bottom"/>
    </xf>
    <xf borderId="0" fillId="0" fontId="8" numFmtId="10" xfId="0" applyAlignment="1" applyFont="1" applyNumberFormat="1">
      <alignment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371475</xdr:colOff>
      <xdr:row>2</xdr:row>
      <xdr:rowOff>180975</xdr:rowOff>
    </xdr:from>
    <xdr:ext cx="3771900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371475</xdr:colOff>
      <xdr:row>2</xdr:row>
      <xdr:rowOff>180975</xdr:rowOff>
    </xdr:from>
    <xdr:ext cx="3771900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z3xfRyVNDOI7HYPkq5HqiKvIpZWdYnpqe6Vv3u5n3g/edit?gid=1915915212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Col="1"/>
  <cols>
    <col customWidth="1" min="1" max="1" width="5.88"/>
    <col customWidth="1" min="2" max="2" width="22.75"/>
    <col customWidth="1" min="3" max="3" width="15.38"/>
    <col customWidth="1" min="4" max="4" width="18.5"/>
    <col customWidth="1" min="5" max="5" width="19.13"/>
    <col customWidth="1" min="6" max="6" width="19.75"/>
    <col customWidth="1" min="7" max="7" width="3.5"/>
    <col customWidth="1" min="9" max="9" width="22.5"/>
    <col customWidth="1" min="10" max="10" width="20.88"/>
    <col collapsed="1" customWidth="1" min="12" max="12" width="19.13"/>
    <col hidden="1" min="13" max="15" width="12.63" outlineLevel="1"/>
    <col collapsed="1" min="16" max="16" width="12.63"/>
    <col hidden="1" min="17" max="21" width="12.63" outlineLevel="1"/>
    <col collapsed="1" min="22" max="22" width="12.63"/>
    <col hidden="1" min="23" max="27" width="12.63" outlineLevel="1"/>
    <col collapsed="1" min="28" max="28" width="12.63"/>
    <col hidden="1" min="29" max="33" width="12.63" outlineLevel="1"/>
    <col customWidth="1" min="34" max="34" width="3.63"/>
    <col customWidth="1" min="36" max="36" width="22.5"/>
    <col customWidth="1" min="37" max="37" width="20.88"/>
    <col collapsed="1" customWidth="1" min="39" max="39" width="19.13"/>
    <col hidden="1" min="40" max="42" width="12.63" outlineLevel="1"/>
    <col min="44" max="48" width="12.63" outlineLevel="1"/>
    <col collapsed="1" min="49" max="49" width="12.63"/>
    <col hidden="1" min="50" max="54" width="12.63" outlineLevel="1"/>
    <col collapsed="1" min="55" max="55" width="12.63"/>
    <col hidden="1" min="56" max="60" width="12.63" outlineLevel="1"/>
  </cols>
  <sheetData>
    <row r="1">
      <c r="A1" s="2" t="s">
        <v>0</v>
      </c>
      <c r="D1" s="6" t="s">
        <v>2</v>
      </c>
      <c r="G1" s="5"/>
      <c r="H1" s="9"/>
      <c r="I1" s="11" t="s">
        <v>7</v>
      </c>
      <c r="P1" s="12" t="s">
        <v>8</v>
      </c>
      <c r="Q1" s="12" t="s">
        <v>8</v>
      </c>
      <c r="V1" s="12" t="s">
        <v>10</v>
      </c>
      <c r="W1" s="12" t="s">
        <v>10</v>
      </c>
      <c r="AB1" s="13" t="s">
        <v>11</v>
      </c>
      <c r="AC1" s="1" t="s">
        <v>14</v>
      </c>
      <c r="AH1" s="5"/>
      <c r="AI1" s="7"/>
      <c r="AJ1" s="10" t="s">
        <v>18</v>
      </c>
      <c r="AQ1" s="12" t="s">
        <v>8</v>
      </c>
      <c r="AR1" s="12" t="s">
        <v>8</v>
      </c>
      <c r="AW1" s="12" t="s">
        <v>10</v>
      </c>
      <c r="AX1" s="12" t="s">
        <v>10</v>
      </c>
      <c r="BC1" s="13" t="s">
        <v>21</v>
      </c>
      <c r="BD1" s="4" t="s">
        <v>23</v>
      </c>
    </row>
    <row r="2">
      <c r="A2" s="15" t="s">
        <v>24</v>
      </c>
      <c r="B2" s="16" t="s">
        <v>25</v>
      </c>
      <c r="C2" s="16" t="s">
        <v>26</v>
      </c>
      <c r="D2" s="16" t="s">
        <v>27</v>
      </c>
      <c r="E2" s="16" t="s">
        <v>29</v>
      </c>
      <c r="F2" s="17" t="s">
        <v>31</v>
      </c>
      <c r="H2" s="15" t="s">
        <v>35</v>
      </c>
      <c r="I2" s="15" t="s">
        <v>36</v>
      </c>
      <c r="J2" s="17" t="s">
        <v>38</v>
      </c>
      <c r="K2" s="17" t="s">
        <v>39</v>
      </c>
      <c r="L2" s="17" t="s">
        <v>40</v>
      </c>
      <c r="M2" s="17" t="s">
        <v>42</v>
      </c>
      <c r="N2" s="17" t="s">
        <v>44</v>
      </c>
      <c r="O2" s="17" t="s">
        <v>45</v>
      </c>
      <c r="Q2" s="15" t="s">
        <v>46</v>
      </c>
      <c r="R2" s="15" t="s">
        <v>38</v>
      </c>
      <c r="S2" s="15" t="s">
        <v>39</v>
      </c>
      <c r="T2" s="15" t="s">
        <v>40</v>
      </c>
      <c r="U2" s="17" t="s">
        <v>47</v>
      </c>
      <c r="W2" s="15" t="s">
        <v>48</v>
      </c>
      <c r="X2" s="15" t="s">
        <v>38</v>
      </c>
      <c r="Y2" s="15" t="s">
        <v>39</v>
      </c>
      <c r="Z2" s="15" t="s">
        <v>40</v>
      </c>
      <c r="AA2" s="17" t="s">
        <v>47</v>
      </c>
      <c r="AC2" s="15" t="s">
        <v>49</v>
      </c>
      <c r="AD2" s="15" t="s">
        <v>38</v>
      </c>
      <c r="AE2" s="15" t="s">
        <v>39</v>
      </c>
      <c r="AF2" s="15" t="s">
        <v>40</v>
      </c>
      <c r="AG2" s="18" t="s">
        <v>51</v>
      </c>
      <c r="AI2" s="15" t="s">
        <v>35</v>
      </c>
      <c r="AJ2" s="15" t="s">
        <v>36</v>
      </c>
      <c r="AK2" s="17" t="s">
        <v>38</v>
      </c>
      <c r="AL2" s="17" t="s">
        <v>39</v>
      </c>
      <c r="AM2" s="17" t="s">
        <v>40</v>
      </c>
      <c r="AN2" s="17" t="s">
        <v>42</v>
      </c>
      <c r="AO2" s="17" t="s">
        <v>44</v>
      </c>
      <c r="AP2" s="17" t="s">
        <v>45</v>
      </c>
      <c r="AR2" s="15" t="s">
        <v>46</v>
      </c>
      <c r="AS2" s="15" t="s">
        <v>38</v>
      </c>
      <c r="AT2" s="15" t="s">
        <v>39</v>
      </c>
      <c r="AU2" s="15" t="s">
        <v>40</v>
      </c>
      <c r="AV2" s="17" t="s">
        <v>47</v>
      </c>
      <c r="AX2" s="15" t="s">
        <v>48</v>
      </c>
      <c r="AY2" s="15" t="s">
        <v>38</v>
      </c>
      <c r="AZ2" s="15" t="s">
        <v>39</v>
      </c>
      <c r="BA2" s="15" t="s">
        <v>40</v>
      </c>
      <c r="BB2" s="17" t="s">
        <v>47</v>
      </c>
      <c r="BD2" s="15" t="s">
        <v>49</v>
      </c>
      <c r="BE2" s="15" t="s">
        <v>38</v>
      </c>
      <c r="BF2" s="15" t="s">
        <v>39</v>
      </c>
      <c r="BG2" s="15" t="s">
        <v>40</v>
      </c>
      <c r="BH2" s="18" t="s">
        <v>51</v>
      </c>
    </row>
    <row r="3">
      <c r="A3" s="20">
        <f t="shared" ref="A3:A30" si="1">IF(B3="","",COUNTA($B$3:B3))</f>
        <v>1</v>
      </c>
      <c r="B3" s="21" t="s">
        <v>63</v>
      </c>
      <c r="C3" s="22" t="str">
        <f t="shared" ref="C3:C30" si="2">IF(B3="","",
"PDSSVP"&amp;TEXT(COUNTA($B$3:B3),"000"))</f>
        <v>PDSSVP001</v>
      </c>
      <c r="D3" s="20">
        <v>2.0</v>
      </c>
      <c r="E3" s="20">
        <v>2.0</v>
      </c>
      <c r="F3" s="23" t="s">
        <v>66</v>
      </c>
      <c r="G3" s="5"/>
      <c r="H3" s="22">
        <f t="shared" ref="H3:H30" si="3">D3</f>
        <v>2</v>
      </c>
      <c r="I3" s="23" t="s">
        <v>67</v>
      </c>
      <c r="J3" s="24">
        <v>46135.49248842592</v>
      </c>
      <c r="K3" s="25" t="s">
        <v>69</v>
      </c>
      <c r="L3" s="24">
        <v>46136.70637731482</v>
      </c>
      <c r="M3" s="29">
        <f t="shared" ref="M3:M30" si="4">IF(AND(J3&lt;&gt;"",L3&lt;&gt;""),(L3-J3)*1440,"")</f>
        <v>1748</v>
      </c>
      <c r="N3" s="29">
        <f t="shared" ref="N3:N30" si="5">IF(
  INT(J3)=INT(L3),
  IF(
    AND(MOD(J3,1)&lt;TIME(12,0,0), MOD(L3,1)&gt;TIME(12,0,0)),
    60,
    0
  ),
  IF(
    MOD(L3,1)&lt;=TIME(12,0,0),
    (INT(L3)-INT(J3))*960,
    (INT(L3)-INT(J3))*1020
  )
)</f>
        <v>1020</v>
      </c>
      <c r="O3" s="29">
        <f t="shared" ref="O3:O30" si="6">(M3-N3)/60</f>
        <v>12.13333333</v>
      </c>
      <c r="P3" s="22" t="str">
        <f t="shared" ref="P3:P30" si="7">S3</f>
        <v>Done</v>
      </c>
      <c r="Q3" s="23" t="s">
        <v>67</v>
      </c>
      <c r="R3" s="40">
        <f t="shared" ref="R3:R30" si="8">if(Q3&lt;&gt;"", if(R3="",NOW(),R3),"")</f>
        <v>46148.45747</v>
      </c>
      <c r="S3" s="25" t="s">
        <v>69</v>
      </c>
      <c r="T3" s="40">
        <f t="shared" ref="T3:T30" si="9">if(S3="Done", if(T3="",NOW(),T3),"")</f>
        <v>46148.69725</v>
      </c>
      <c r="U3" s="47"/>
      <c r="V3" s="22" t="str">
        <f t="shared" ref="V3:V30" si="10">Y3</f>
        <v/>
      </c>
      <c r="W3" s="23"/>
      <c r="X3" s="45" t="str">
        <f t="shared" ref="X3:X30" si="11">if(W3&lt;&gt;"", if(X3="",NOW(),X3),"")</f>
        <v/>
      </c>
      <c r="Y3" s="25"/>
      <c r="Z3" s="45" t="str">
        <f t="shared" ref="Z3:Z30" si="12">if(Y3="Done", if(Z3="",NOW(),Z3),"")</f>
        <v/>
      </c>
      <c r="AA3" s="47"/>
      <c r="AB3" s="22" t="str">
        <f t="shared" ref="AB3:AB30" si="13">AE3</f>
        <v/>
      </c>
      <c r="AC3" s="23"/>
      <c r="AD3" s="45" t="str">
        <f t="shared" ref="AD3:AD30" si="14">if(AC3&lt;&gt;"", if(AD3="",NOW(),AD3),"")</f>
        <v/>
      </c>
      <c r="AE3" s="25"/>
      <c r="AF3" s="45" t="str">
        <f t="shared" ref="AF3:AF30" si="15">if(AE3="Done", if(AF3="",NOW(),AF3),"")</f>
        <v/>
      </c>
      <c r="AG3" s="20">
        <v>0.0</v>
      </c>
      <c r="AH3" s="5"/>
      <c r="AI3" s="22">
        <f t="shared" ref="AI3:AI30" si="16">E3</f>
        <v>2</v>
      </c>
      <c r="AJ3" s="23" t="s">
        <v>78</v>
      </c>
      <c r="AK3" s="53">
        <v>46136.42071759259</v>
      </c>
      <c r="AL3" s="25" t="s">
        <v>69</v>
      </c>
      <c r="AM3" s="53">
        <v>46139.70429398148</v>
      </c>
      <c r="AN3" s="29">
        <f t="shared" ref="AN3:AN30" si="17">IF(AND(AK3&lt;&gt;"",AM3&lt;&gt;""),(AM3-AK3)*1440,"")</f>
        <v>4728.35</v>
      </c>
      <c r="AO3" s="29">
        <f t="shared" ref="AO3:AO30" si="18">IF(
  INT(AK3)=INT(AM3),
  IF(
    AND(MOD(AK3,1)&lt;TIME(12,0,0), MOD(AM3,1)&gt;TIME(12,0,0)),
    60,
    0
  ),
  IF(
    MOD(AM3,1)&lt;=TIME(12,0,0),
    (INT(AM3)-INT(AK3))*960,
    (INT(AM3)-INT(AK3))*1020
  )
)</f>
        <v>3060</v>
      </c>
      <c r="AP3" s="29">
        <f t="shared" ref="AP3:AP30" si="19">(AN3-AO3)/60</f>
        <v>27.80583333</v>
      </c>
      <c r="AQ3" s="22" t="str">
        <f t="shared" ref="AQ3:AQ30" si="20">AT3</f>
        <v>Done</v>
      </c>
      <c r="AR3" s="23" t="s">
        <v>78</v>
      </c>
      <c r="AS3" s="40">
        <f t="shared" ref="AS3:AS30" si="21">if(AR3&lt;&gt;"", if(AS3="",NOW(),AS3),"")</f>
        <v>46148.63318</v>
      </c>
      <c r="AT3" s="25" t="s">
        <v>69</v>
      </c>
      <c r="AU3" s="40">
        <f t="shared" ref="AU3:AU30" si="22">if(AT3="Done", if(AU3="",NOW(),AU3),"")</f>
        <v>46148.70512</v>
      </c>
      <c r="AV3" s="47"/>
      <c r="AW3" s="22" t="str">
        <f t="shared" ref="AW3:AW30" si="23">AZ3</f>
        <v/>
      </c>
      <c r="AX3" s="23"/>
      <c r="AY3" s="45" t="str">
        <f t="shared" ref="AY3:AY30" si="24">if(AX3&lt;&gt;"", if(AY3="",NOW(),AY3),"")</f>
        <v/>
      </c>
      <c r="AZ3" s="25"/>
      <c r="BA3" s="45" t="str">
        <f t="shared" ref="BA3:BA30" si="25">if(AZ3="Done", if(BA3="",NOW(),BA3),"")</f>
        <v/>
      </c>
      <c r="BB3" s="47"/>
      <c r="BC3" s="22" t="str">
        <f t="shared" ref="BC3:BC30" si="26">BF3</f>
        <v/>
      </c>
      <c r="BD3" s="23"/>
      <c r="BE3" s="45" t="str">
        <f t="shared" ref="BE3:BE30" si="27">if(BD3&lt;&gt;"", if(BE3="",NOW(),BE3),"")</f>
        <v/>
      </c>
      <c r="BF3" s="25"/>
      <c r="BG3" s="45" t="str">
        <f t="shared" ref="BG3:BG30" si="28">if(BF3="Done", if(BG3="",NOW(),BG3),"")</f>
        <v/>
      </c>
      <c r="BH3" s="20">
        <v>1.0</v>
      </c>
    </row>
    <row r="4">
      <c r="A4" s="20">
        <f t="shared" si="1"/>
        <v>2</v>
      </c>
      <c r="B4" s="21" t="s">
        <v>81</v>
      </c>
      <c r="C4" s="22" t="str">
        <f t="shared" si="2"/>
        <v>PDSSVP002</v>
      </c>
      <c r="D4" s="20">
        <v>2.0</v>
      </c>
      <c r="E4" s="20">
        <v>2.0</v>
      </c>
      <c r="F4" s="23" t="s">
        <v>66</v>
      </c>
      <c r="G4" s="5"/>
      <c r="H4" s="22">
        <f t="shared" si="3"/>
        <v>2</v>
      </c>
      <c r="I4" s="23" t="s">
        <v>67</v>
      </c>
      <c r="J4" s="24">
        <v>46139.40212962963</v>
      </c>
      <c r="K4" s="25" t="s">
        <v>69</v>
      </c>
      <c r="L4" s="24">
        <v>46140.708333333336</v>
      </c>
      <c r="M4" s="29">
        <f t="shared" si="4"/>
        <v>1880.933333</v>
      </c>
      <c r="N4" s="29">
        <f t="shared" si="5"/>
        <v>1020</v>
      </c>
      <c r="O4" s="29">
        <f t="shared" si="6"/>
        <v>14.34888889</v>
      </c>
      <c r="P4" s="22" t="str">
        <f t="shared" si="7"/>
        <v>Done</v>
      </c>
      <c r="Q4" s="23" t="s">
        <v>67</v>
      </c>
      <c r="R4" s="40">
        <f t="shared" si="8"/>
        <v>46149.38614</v>
      </c>
      <c r="S4" s="25" t="s">
        <v>69</v>
      </c>
      <c r="T4" s="40">
        <f t="shared" si="9"/>
        <v>46149.61319</v>
      </c>
      <c r="U4" s="47"/>
      <c r="V4" s="22" t="str">
        <f t="shared" si="10"/>
        <v/>
      </c>
      <c r="W4" s="23"/>
      <c r="X4" s="45" t="str">
        <f t="shared" si="11"/>
        <v/>
      </c>
      <c r="Y4" s="25"/>
      <c r="Z4" s="45" t="str">
        <f t="shared" si="12"/>
        <v/>
      </c>
      <c r="AA4" s="47"/>
      <c r="AB4" s="22" t="str">
        <f t="shared" si="13"/>
        <v/>
      </c>
      <c r="AC4" s="23"/>
      <c r="AD4" s="45" t="str">
        <f t="shared" si="14"/>
        <v/>
      </c>
      <c r="AE4" s="25"/>
      <c r="AF4" s="45" t="str">
        <f t="shared" si="15"/>
        <v/>
      </c>
      <c r="AG4" s="20">
        <v>0.0</v>
      </c>
      <c r="AH4" s="5"/>
      <c r="AI4" s="22">
        <f t="shared" si="16"/>
        <v>2</v>
      </c>
      <c r="AJ4" s="23" t="s">
        <v>78</v>
      </c>
      <c r="AK4" s="53">
        <v>46140.37893518519</v>
      </c>
      <c r="AL4" s="25" t="s">
        <v>69</v>
      </c>
      <c r="AM4" s="53">
        <v>46141.706458333334</v>
      </c>
      <c r="AN4" s="29">
        <f t="shared" si="17"/>
        <v>1911.633333</v>
      </c>
      <c r="AO4" s="29">
        <f t="shared" si="18"/>
        <v>1020</v>
      </c>
      <c r="AP4" s="29">
        <f t="shared" si="19"/>
        <v>14.86055556</v>
      </c>
      <c r="AQ4" s="22" t="str">
        <f t="shared" si="20"/>
        <v>Done</v>
      </c>
      <c r="AR4" s="23" t="s">
        <v>78</v>
      </c>
      <c r="AS4" s="40">
        <f t="shared" si="21"/>
        <v>46149.64863</v>
      </c>
      <c r="AT4" s="25" t="s">
        <v>69</v>
      </c>
      <c r="AU4" s="40">
        <f t="shared" si="22"/>
        <v>46149.69369</v>
      </c>
      <c r="AV4" s="47"/>
      <c r="AW4" s="22" t="str">
        <f t="shared" si="23"/>
        <v/>
      </c>
      <c r="AX4" s="23"/>
      <c r="AY4" s="45" t="str">
        <f t="shared" si="24"/>
        <v/>
      </c>
      <c r="AZ4" s="25"/>
      <c r="BA4" s="45" t="str">
        <f t="shared" si="25"/>
        <v/>
      </c>
      <c r="BB4" s="47"/>
      <c r="BC4" s="22" t="str">
        <f t="shared" si="26"/>
        <v/>
      </c>
      <c r="BD4" s="23"/>
      <c r="BE4" s="45" t="str">
        <f t="shared" si="27"/>
        <v/>
      </c>
      <c r="BF4" s="25"/>
      <c r="BG4" s="45" t="str">
        <f t="shared" si="28"/>
        <v/>
      </c>
      <c r="BH4" s="20">
        <v>0.0</v>
      </c>
    </row>
    <row r="5">
      <c r="A5" s="20">
        <f t="shared" si="1"/>
        <v>3</v>
      </c>
      <c r="B5" s="21" t="s">
        <v>85</v>
      </c>
      <c r="C5" s="22" t="str">
        <f t="shared" si="2"/>
        <v>PDSSVP003</v>
      </c>
      <c r="D5" s="20">
        <v>2.0</v>
      </c>
      <c r="E5" s="20">
        <v>2.0</v>
      </c>
      <c r="F5" s="23" t="s">
        <v>66</v>
      </c>
      <c r="G5" s="5"/>
      <c r="H5" s="22">
        <f t="shared" si="3"/>
        <v>2</v>
      </c>
      <c r="I5" s="23" t="s">
        <v>67</v>
      </c>
      <c r="J5" s="53">
        <v>46146.375</v>
      </c>
      <c r="K5" s="25" t="s">
        <v>69</v>
      </c>
      <c r="L5" s="40">
        <f>if(K5="Done", if(L5="",NOW(),L5),"")</f>
        <v>46148.37933</v>
      </c>
      <c r="M5" s="29">
        <f t="shared" si="4"/>
        <v>2886.228667</v>
      </c>
      <c r="N5" s="29">
        <f t="shared" si="5"/>
        <v>1920</v>
      </c>
      <c r="O5" s="29">
        <f t="shared" si="6"/>
        <v>16.10381111</v>
      </c>
      <c r="P5" s="22" t="str">
        <f t="shared" si="7"/>
        <v>Done</v>
      </c>
      <c r="Q5" s="23" t="s">
        <v>67</v>
      </c>
      <c r="R5" s="40">
        <f t="shared" si="8"/>
        <v>46150.41835</v>
      </c>
      <c r="S5" s="25" t="s">
        <v>69</v>
      </c>
      <c r="T5" s="40">
        <f t="shared" si="9"/>
        <v>46150.595</v>
      </c>
      <c r="U5" s="47"/>
      <c r="V5" s="22" t="str">
        <f t="shared" si="10"/>
        <v/>
      </c>
      <c r="W5" s="23"/>
      <c r="X5" s="45" t="str">
        <f t="shared" si="11"/>
        <v/>
      </c>
      <c r="Y5" s="25"/>
      <c r="Z5" s="45" t="str">
        <f t="shared" si="12"/>
        <v/>
      </c>
      <c r="AA5" s="47"/>
      <c r="AB5" s="22" t="str">
        <f t="shared" si="13"/>
        <v/>
      </c>
      <c r="AC5" s="23"/>
      <c r="AD5" s="45" t="str">
        <f t="shared" si="14"/>
        <v/>
      </c>
      <c r="AE5" s="25"/>
      <c r="AF5" s="45" t="str">
        <f t="shared" si="15"/>
        <v/>
      </c>
      <c r="AG5" s="20">
        <v>0.0</v>
      </c>
      <c r="AH5" s="5"/>
      <c r="AI5" s="22">
        <f t="shared" si="16"/>
        <v>2</v>
      </c>
      <c r="AJ5" s="23" t="s">
        <v>78</v>
      </c>
      <c r="AK5" s="53">
        <v>46147.375</v>
      </c>
      <c r="AL5" s="25" t="s">
        <v>69</v>
      </c>
      <c r="AM5" s="40">
        <f>if(AL5="Done", if(AM5="",NOW(),AM5),"")</f>
        <v>46147.70909</v>
      </c>
      <c r="AN5" s="29">
        <f t="shared" si="17"/>
        <v>481.0888833</v>
      </c>
      <c r="AO5" s="29">
        <f t="shared" si="18"/>
        <v>60</v>
      </c>
      <c r="AP5" s="29">
        <f t="shared" si="19"/>
        <v>7.018148056</v>
      </c>
      <c r="AQ5" s="22" t="str">
        <f t="shared" si="20"/>
        <v>Done</v>
      </c>
      <c r="AR5" s="23" t="s">
        <v>78</v>
      </c>
      <c r="AS5" s="40">
        <f t="shared" si="21"/>
        <v>46150.6126</v>
      </c>
      <c r="AT5" s="25" t="s">
        <v>69</v>
      </c>
      <c r="AU5" s="40">
        <f t="shared" si="22"/>
        <v>46150.6836</v>
      </c>
      <c r="AV5" s="47"/>
      <c r="AW5" s="22" t="str">
        <f t="shared" si="23"/>
        <v/>
      </c>
      <c r="AX5" s="23"/>
      <c r="AY5" s="45" t="str">
        <f t="shared" si="24"/>
        <v/>
      </c>
      <c r="AZ5" s="25"/>
      <c r="BA5" s="45" t="str">
        <f t="shared" si="25"/>
        <v/>
      </c>
      <c r="BB5" s="47"/>
      <c r="BC5" s="22" t="str">
        <f t="shared" si="26"/>
        <v/>
      </c>
      <c r="BD5" s="23"/>
      <c r="BE5" s="45" t="str">
        <f t="shared" si="27"/>
        <v/>
      </c>
      <c r="BF5" s="25"/>
      <c r="BG5" s="45" t="str">
        <f t="shared" si="28"/>
        <v/>
      </c>
      <c r="BH5" s="20">
        <v>0.0</v>
      </c>
    </row>
    <row r="6">
      <c r="A6" s="20">
        <f t="shared" si="1"/>
        <v>4</v>
      </c>
      <c r="B6" s="21" t="s">
        <v>88</v>
      </c>
      <c r="C6" s="22" t="str">
        <f t="shared" si="2"/>
        <v>PDSSVP004</v>
      </c>
      <c r="D6" s="20">
        <v>2.0</v>
      </c>
      <c r="E6" s="20">
        <v>2.0</v>
      </c>
      <c r="F6" s="23" t="s">
        <v>66</v>
      </c>
      <c r="G6" s="5"/>
      <c r="H6" s="22">
        <f t="shared" si="3"/>
        <v>2</v>
      </c>
      <c r="I6" s="23" t="s">
        <v>67</v>
      </c>
      <c r="J6" s="53">
        <v>46141.37940972222</v>
      </c>
      <c r="K6" s="25" t="s">
        <v>69</v>
      </c>
      <c r="L6" s="53">
        <v>46142.68577546296</v>
      </c>
      <c r="M6" s="29">
        <f t="shared" si="4"/>
        <v>1881.166667</v>
      </c>
      <c r="N6" s="29">
        <f t="shared" si="5"/>
        <v>1020</v>
      </c>
      <c r="O6" s="29">
        <f t="shared" si="6"/>
        <v>14.35277778</v>
      </c>
      <c r="P6" s="22" t="str">
        <f t="shared" si="7"/>
        <v>Done</v>
      </c>
      <c r="Q6" s="23" t="s">
        <v>67</v>
      </c>
      <c r="R6" s="40">
        <f t="shared" si="8"/>
        <v>46149.61432</v>
      </c>
      <c r="S6" s="25" t="s">
        <v>69</v>
      </c>
      <c r="T6" s="40">
        <f t="shared" si="9"/>
        <v>46149.69823</v>
      </c>
      <c r="U6" s="47"/>
      <c r="V6" s="22" t="str">
        <f t="shared" si="10"/>
        <v/>
      </c>
      <c r="W6" s="23"/>
      <c r="X6" s="45" t="str">
        <f t="shared" si="11"/>
        <v/>
      </c>
      <c r="Y6" s="25"/>
      <c r="Z6" s="45" t="str">
        <f t="shared" si="12"/>
        <v/>
      </c>
      <c r="AA6" s="47"/>
      <c r="AB6" s="22" t="str">
        <f t="shared" si="13"/>
        <v/>
      </c>
      <c r="AC6" s="23"/>
      <c r="AD6" s="45" t="str">
        <f t="shared" si="14"/>
        <v/>
      </c>
      <c r="AE6" s="25"/>
      <c r="AF6" s="45" t="str">
        <f t="shared" si="15"/>
        <v/>
      </c>
      <c r="AG6" s="20">
        <v>0.0</v>
      </c>
      <c r="AH6" s="5"/>
      <c r="AI6" s="22">
        <f t="shared" si="16"/>
        <v>2</v>
      </c>
      <c r="AJ6" s="23" t="s">
        <v>78</v>
      </c>
      <c r="AK6" s="53">
        <v>46142.37768518519</v>
      </c>
      <c r="AL6" s="25" t="s">
        <v>69</v>
      </c>
      <c r="AM6" s="53">
        <v>46146.70511574074</v>
      </c>
      <c r="AN6" s="29">
        <f t="shared" si="17"/>
        <v>6231.5</v>
      </c>
      <c r="AO6" s="29">
        <f t="shared" si="18"/>
        <v>4080</v>
      </c>
      <c r="AP6" s="29">
        <f t="shared" si="19"/>
        <v>35.85833333</v>
      </c>
      <c r="AQ6" s="22" t="str">
        <f t="shared" si="20"/>
        <v>Done</v>
      </c>
      <c r="AR6" s="23" t="s">
        <v>78</v>
      </c>
      <c r="AS6" s="40">
        <f t="shared" si="21"/>
        <v>46150.39482</v>
      </c>
      <c r="AT6" s="25" t="s">
        <v>69</v>
      </c>
      <c r="AU6" s="40">
        <f t="shared" si="22"/>
        <v>46150.58817</v>
      </c>
      <c r="AV6" s="47"/>
      <c r="AW6" s="22" t="str">
        <f t="shared" si="23"/>
        <v/>
      </c>
      <c r="AX6" s="23"/>
      <c r="AY6" s="45" t="str">
        <f t="shared" si="24"/>
        <v/>
      </c>
      <c r="AZ6" s="25"/>
      <c r="BA6" s="45" t="str">
        <f t="shared" si="25"/>
        <v/>
      </c>
      <c r="BB6" s="47"/>
      <c r="BC6" s="22" t="str">
        <f t="shared" si="26"/>
        <v/>
      </c>
      <c r="BD6" s="23"/>
      <c r="BE6" s="45" t="str">
        <f t="shared" si="27"/>
        <v/>
      </c>
      <c r="BF6" s="25"/>
      <c r="BG6" s="45" t="str">
        <f t="shared" si="28"/>
        <v/>
      </c>
      <c r="BH6" s="20">
        <v>0.0</v>
      </c>
    </row>
    <row r="7">
      <c r="A7" s="20">
        <f t="shared" si="1"/>
        <v>5</v>
      </c>
      <c r="B7" s="21" t="s">
        <v>92</v>
      </c>
      <c r="C7" s="22" t="str">
        <f t="shared" si="2"/>
        <v>PDSSVP005</v>
      </c>
      <c r="D7" s="20"/>
      <c r="E7" s="20"/>
      <c r="F7" s="23"/>
      <c r="G7" s="5"/>
      <c r="H7" s="22" t="str">
        <f t="shared" si="3"/>
        <v/>
      </c>
      <c r="I7" s="23"/>
      <c r="J7" s="45" t="str">
        <f t="shared" ref="J7:J30" si="29">if(I7&lt;&gt;"", if(J7="",NOW(),J7),"")</f>
        <v/>
      </c>
      <c r="K7" s="25"/>
      <c r="L7" s="45" t="str">
        <f t="shared" ref="L7:L30" si="30">if(K7="Done", if(L7="",NOW(),L7),"")</f>
        <v/>
      </c>
      <c r="M7" s="29" t="str">
        <f t="shared" si="4"/>
        <v/>
      </c>
      <c r="N7" s="29">
        <f t="shared" si="5"/>
        <v>0</v>
      </c>
      <c r="O7" s="29">
        <f t="shared" si="6"/>
        <v>0</v>
      </c>
      <c r="P7" s="22" t="str">
        <f t="shared" si="7"/>
        <v/>
      </c>
      <c r="Q7" s="23"/>
      <c r="R7" s="45" t="str">
        <f t="shared" si="8"/>
        <v/>
      </c>
      <c r="S7" s="25"/>
      <c r="T7" s="45" t="str">
        <f t="shared" si="9"/>
        <v/>
      </c>
      <c r="U7" s="47"/>
      <c r="V7" s="22" t="str">
        <f t="shared" si="10"/>
        <v/>
      </c>
      <c r="W7" s="23"/>
      <c r="X7" s="45" t="str">
        <f t="shared" si="11"/>
        <v/>
      </c>
      <c r="Y7" s="25"/>
      <c r="Z7" s="45" t="str">
        <f t="shared" si="12"/>
        <v/>
      </c>
      <c r="AA7" s="47"/>
      <c r="AB7" s="22" t="str">
        <f t="shared" si="13"/>
        <v/>
      </c>
      <c r="AC7" s="23"/>
      <c r="AD7" s="45" t="str">
        <f t="shared" si="14"/>
        <v/>
      </c>
      <c r="AE7" s="25"/>
      <c r="AF7" s="45" t="str">
        <f t="shared" si="15"/>
        <v/>
      </c>
      <c r="AG7" s="20">
        <v>0.0</v>
      </c>
      <c r="AH7" s="5"/>
      <c r="AI7" s="22" t="str">
        <f t="shared" si="16"/>
        <v/>
      </c>
      <c r="AJ7" s="23"/>
      <c r="AK7" s="45" t="str">
        <f t="shared" ref="AK7:AK30" si="31">if(AJ7&lt;&gt;"", if(AK7="",NOW(),AK7),"")</f>
        <v/>
      </c>
      <c r="AL7" s="25"/>
      <c r="AM7" s="45" t="str">
        <f t="shared" ref="AM7:AM30" si="32">if(AL7="Done", if(AM7="",NOW(),AM7),"")</f>
        <v/>
      </c>
      <c r="AN7" s="29" t="str">
        <f t="shared" si="17"/>
        <v/>
      </c>
      <c r="AO7" s="29">
        <f t="shared" si="18"/>
        <v>0</v>
      </c>
      <c r="AP7" s="29">
        <f t="shared" si="19"/>
        <v>0</v>
      </c>
      <c r="AQ7" s="22" t="str">
        <f t="shared" si="20"/>
        <v/>
      </c>
      <c r="AR7" s="23"/>
      <c r="AS7" s="45" t="str">
        <f t="shared" si="21"/>
        <v/>
      </c>
      <c r="AT7" s="25"/>
      <c r="AU7" s="45" t="str">
        <f t="shared" si="22"/>
        <v/>
      </c>
      <c r="AV7" s="47"/>
      <c r="AW7" s="22" t="str">
        <f t="shared" si="23"/>
        <v/>
      </c>
      <c r="AX7" s="23"/>
      <c r="AY7" s="45" t="str">
        <f t="shared" si="24"/>
        <v/>
      </c>
      <c r="AZ7" s="25"/>
      <c r="BA7" s="45" t="str">
        <f t="shared" si="25"/>
        <v/>
      </c>
      <c r="BB7" s="47"/>
      <c r="BC7" s="22" t="str">
        <f t="shared" si="26"/>
        <v/>
      </c>
      <c r="BD7" s="23"/>
      <c r="BE7" s="45" t="str">
        <f t="shared" si="27"/>
        <v/>
      </c>
      <c r="BF7" s="25"/>
      <c r="BG7" s="45" t="str">
        <f t="shared" si="28"/>
        <v/>
      </c>
      <c r="BH7" s="20">
        <v>0.0</v>
      </c>
    </row>
    <row r="8">
      <c r="A8" s="20">
        <f t="shared" si="1"/>
        <v>6</v>
      </c>
      <c r="B8" s="21" t="s">
        <v>96</v>
      </c>
      <c r="C8" s="22" t="str">
        <f t="shared" si="2"/>
        <v>PDSSVP006</v>
      </c>
      <c r="D8" s="20"/>
      <c r="E8" s="20"/>
      <c r="F8" s="55"/>
      <c r="G8" s="5"/>
      <c r="H8" s="22" t="str">
        <f t="shared" si="3"/>
        <v/>
      </c>
      <c r="I8" s="23"/>
      <c r="J8" s="45" t="str">
        <f t="shared" si="29"/>
        <v/>
      </c>
      <c r="K8" s="25"/>
      <c r="L8" s="45" t="str">
        <f t="shared" si="30"/>
        <v/>
      </c>
      <c r="M8" s="29" t="str">
        <f t="shared" si="4"/>
        <v/>
      </c>
      <c r="N8" s="29">
        <f t="shared" si="5"/>
        <v>0</v>
      </c>
      <c r="O8" s="29">
        <f t="shared" si="6"/>
        <v>0</v>
      </c>
      <c r="P8" s="22" t="str">
        <f t="shared" si="7"/>
        <v/>
      </c>
      <c r="Q8" s="23"/>
      <c r="R8" s="45" t="str">
        <f t="shared" si="8"/>
        <v/>
      </c>
      <c r="S8" s="25"/>
      <c r="T8" s="45" t="str">
        <f t="shared" si="9"/>
        <v/>
      </c>
      <c r="U8" s="47"/>
      <c r="V8" s="22" t="str">
        <f t="shared" si="10"/>
        <v/>
      </c>
      <c r="W8" s="23"/>
      <c r="X8" s="45" t="str">
        <f t="shared" si="11"/>
        <v/>
      </c>
      <c r="Y8" s="25"/>
      <c r="Z8" s="45" t="str">
        <f t="shared" si="12"/>
        <v/>
      </c>
      <c r="AA8" s="47"/>
      <c r="AB8" s="22" t="str">
        <f t="shared" si="13"/>
        <v/>
      </c>
      <c r="AC8" s="23"/>
      <c r="AD8" s="45" t="str">
        <f t="shared" si="14"/>
        <v/>
      </c>
      <c r="AE8" s="25"/>
      <c r="AF8" s="45" t="str">
        <f t="shared" si="15"/>
        <v/>
      </c>
      <c r="AG8" s="20">
        <v>0.0</v>
      </c>
      <c r="AH8" s="5"/>
      <c r="AI8" s="22" t="str">
        <f t="shared" si="16"/>
        <v/>
      </c>
      <c r="AJ8" s="23"/>
      <c r="AK8" s="45" t="str">
        <f t="shared" si="31"/>
        <v/>
      </c>
      <c r="AL8" s="25"/>
      <c r="AM8" s="45" t="str">
        <f t="shared" si="32"/>
        <v/>
      </c>
      <c r="AN8" s="29" t="str">
        <f t="shared" si="17"/>
        <v/>
      </c>
      <c r="AO8" s="29">
        <f t="shared" si="18"/>
        <v>0</v>
      </c>
      <c r="AP8" s="29">
        <f t="shared" si="19"/>
        <v>0</v>
      </c>
      <c r="AQ8" s="22" t="str">
        <f t="shared" si="20"/>
        <v/>
      </c>
      <c r="AR8" s="23"/>
      <c r="AS8" s="45" t="str">
        <f t="shared" si="21"/>
        <v/>
      </c>
      <c r="AT8" s="25"/>
      <c r="AU8" s="45" t="str">
        <f t="shared" si="22"/>
        <v/>
      </c>
      <c r="AV8" s="47"/>
      <c r="AW8" s="22" t="str">
        <f t="shared" si="23"/>
        <v/>
      </c>
      <c r="AX8" s="23"/>
      <c r="AY8" s="45" t="str">
        <f t="shared" si="24"/>
        <v/>
      </c>
      <c r="AZ8" s="25"/>
      <c r="BA8" s="45" t="str">
        <f t="shared" si="25"/>
        <v/>
      </c>
      <c r="BB8" s="47"/>
      <c r="BC8" s="22" t="str">
        <f t="shared" si="26"/>
        <v/>
      </c>
      <c r="BD8" s="23"/>
      <c r="BE8" s="45" t="str">
        <f t="shared" si="27"/>
        <v/>
      </c>
      <c r="BF8" s="25"/>
      <c r="BG8" s="45" t="str">
        <f t="shared" si="28"/>
        <v/>
      </c>
      <c r="BH8" s="20">
        <v>0.0</v>
      </c>
    </row>
    <row r="9">
      <c r="A9" s="20" t="str">
        <f t="shared" si="1"/>
        <v/>
      </c>
      <c r="B9" s="21"/>
      <c r="C9" s="22" t="str">
        <f t="shared" si="2"/>
        <v/>
      </c>
      <c r="D9" s="20"/>
      <c r="E9" s="20"/>
      <c r="F9" s="55"/>
      <c r="G9" s="5"/>
      <c r="H9" s="22" t="str">
        <f t="shared" si="3"/>
        <v/>
      </c>
      <c r="I9" s="23"/>
      <c r="J9" s="45" t="str">
        <f t="shared" si="29"/>
        <v/>
      </c>
      <c r="K9" s="25"/>
      <c r="L9" s="45" t="str">
        <f t="shared" si="30"/>
        <v/>
      </c>
      <c r="M9" s="29" t="str">
        <f t="shared" si="4"/>
        <v/>
      </c>
      <c r="N9" s="29">
        <f t="shared" si="5"/>
        <v>0</v>
      </c>
      <c r="O9" s="29">
        <f t="shared" si="6"/>
        <v>0</v>
      </c>
      <c r="P9" s="22" t="str">
        <f t="shared" si="7"/>
        <v/>
      </c>
      <c r="Q9" s="23"/>
      <c r="R9" s="45" t="str">
        <f t="shared" si="8"/>
        <v/>
      </c>
      <c r="S9" s="25"/>
      <c r="T9" s="45" t="str">
        <f t="shared" si="9"/>
        <v/>
      </c>
      <c r="U9" s="47"/>
      <c r="V9" s="22" t="str">
        <f t="shared" si="10"/>
        <v/>
      </c>
      <c r="W9" s="23"/>
      <c r="X9" s="45" t="str">
        <f t="shared" si="11"/>
        <v/>
      </c>
      <c r="Y9" s="25"/>
      <c r="Z9" s="45" t="str">
        <f t="shared" si="12"/>
        <v/>
      </c>
      <c r="AA9" s="47"/>
      <c r="AB9" s="22" t="str">
        <f t="shared" si="13"/>
        <v/>
      </c>
      <c r="AC9" s="23"/>
      <c r="AD9" s="45" t="str">
        <f t="shared" si="14"/>
        <v/>
      </c>
      <c r="AE9" s="25"/>
      <c r="AF9" s="45" t="str">
        <f t="shared" si="15"/>
        <v/>
      </c>
      <c r="AG9" s="20">
        <v>0.0</v>
      </c>
      <c r="AH9" s="5"/>
      <c r="AI9" s="22" t="str">
        <f t="shared" si="16"/>
        <v/>
      </c>
      <c r="AJ9" s="23"/>
      <c r="AK9" s="45" t="str">
        <f t="shared" si="31"/>
        <v/>
      </c>
      <c r="AL9" s="25"/>
      <c r="AM9" s="45" t="str">
        <f t="shared" si="32"/>
        <v/>
      </c>
      <c r="AN9" s="29" t="str">
        <f t="shared" si="17"/>
        <v/>
      </c>
      <c r="AO9" s="29">
        <f t="shared" si="18"/>
        <v>0</v>
      </c>
      <c r="AP9" s="29">
        <f t="shared" si="19"/>
        <v>0</v>
      </c>
      <c r="AQ9" s="22" t="str">
        <f t="shared" si="20"/>
        <v/>
      </c>
      <c r="AR9" s="23"/>
      <c r="AS9" s="45" t="str">
        <f t="shared" si="21"/>
        <v/>
      </c>
      <c r="AT9" s="25"/>
      <c r="AU9" s="45" t="str">
        <f t="shared" si="22"/>
        <v/>
      </c>
      <c r="AV9" s="47"/>
      <c r="AW9" s="22" t="str">
        <f t="shared" si="23"/>
        <v/>
      </c>
      <c r="AX9" s="23"/>
      <c r="AY9" s="45" t="str">
        <f t="shared" si="24"/>
        <v/>
      </c>
      <c r="AZ9" s="25"/>
      <c r="BA9" s="45" t="str">
        <f t="shared" si="25"/>
        <v/>
      </c>
      <c r="BB9" s="47"/>
      <c r="BC9" s="22" t="str">
        <f t="shared" si="26"/>
        <v/>
      </c>
      <c r="BD9" s="23"/>
      <c r="BE9" s="45" t="str">
        <f t="shared" si="27"/>
        <v/>
      </c>
      <c r="BF9" s="25"/>
      <c r="BG9" s="45" t="str">
        <f t="shared" si="28"/>
        <v/>
      </c>
      <c r="BH9" s="20">
        <v>0.0</v>
      </c>
    </row>
    <row r="10">
      <c r="A10" s="20" t="str">
        <f t="shared" si="1"/>
        <v/>
      </c>
      <c r="B10" s="21"/>
      <c r="C10" s="22" t="str">
        <f t="shared" si="2"/>
        <v/>
      </c>
      <c r="D10" s="20"/>
      <c r="E10" s="20"/>
      <c r="F10" s="55"/>
      <c r="G10" s="5"/>
      <c r="H10" s="22" t="str">
        <f t="shared" si="3"/>
        <v/>
      </c>
      <c r="I10" s="23"/>
      <c r="J10" s="45" t="str">
        <f t="shared" si="29"/>
        <v/>
      </c>
      <c r="K10" s="25"/>
      <c r="L10" s="45" t="str">
        <f t="shared" si="30"/>
        <v/>
      </c>
      <c r="M10" s="29" t="str">
        <f t="shared" si="4"/>
        <v/>
      </c>
      <c r="N10" s="29">
        <f t="shared" si="5"/>
        <v>0</v>
      </c>
      <c r="O10" s="29">
        <f t="shared" si="6"/>
        <v>0</v>
      </c>
      <c r="P10" s="22" t="str">
        <f t="shared" si="7"/>
        <v/>
      </c>
      <c r="Q10" s="23"/>
      <c r="R10" s="45" t="str">
        <f t="shared" si="8"/>
        <v/>
      </c>
      <c r="S10" s="25"/>
      <c r="T10" s="45" t="str">
        <f t="shared" si="9"/>
        <v/>
      </c>
      <c r="U10" s="47"/>
      <c r="V10" s="22" t="str">
        <f t="shared" si="10"/>
        <v/>
      </c>
      <c r="W10" s="23"/>
      <c r="X10" s="45" t="str">
        <f t="shared" si="11"/>
        <v/>
      </c>
      <c r="Y10" s="25"/>
      <c r="Z10" s="45" t="str">
        <f t="shared" si="12"/>
        <v/>
      </c>
      <c r="AA10" s="47"/>
      <c r="AB10" s="22" t="str">
        <f t="shared" si="13"/>
        <v/>
      </c>
      <c r="AC10" s="23"/>
      <c r="AD10" s="45" t="str">
        <f t="shared" si="14"/>
        <v/>
      </c>
      <c r="AE10" s="25"/>
      <c r="AF10" s="45" t="str">
        <f t="shared" si="15"/>
        <v/>
      </c>
      <c r="AG10" s="20">
        <v>0.0</v>
      </c>
      <c r="AH10" s="5"/>
      <c r="AI10" s="22" t="str">
        <f t="shared" si="16"/>
        <v/>
      </c>
      <c r="AJ10" s="23"/>
      <c r="AK10" s="45" t="str">
        <f t="shared" si="31"/>
        <v/>
      </c>
      <c r="AL10" s="25"/>
      <c r="AM10" s="45" t="str">
        <f t="shared" si="32"/>
        <v/>
      </c>
      <c r="AN10" s="29" t="str">
        <f t="shared" si="17"/>
        <v/>
      </c>
      <c r="AO10" s="29">
        <f t="shared" si="18"/>
        <v>0</v>
      </c>
      <c r="AP10" s="29">
        <f t="shared" si="19"/>
        <v>0</v>
      </c>
      <c r="AQ10" s="22" t="str">
        <f t="shared" si="20"/>
        <v/>
      </c>
      <c r="AR10" s="23"/>
      <c r="AS10" s="45" t="str">
        <f t="shared" si="21"/>
        <v/>
      </c>
      <c r="AT10" s="25"/>
      <c r="AU10" s="45" t="str">
        <f t="shared" si="22"/>
        <v/>
      </c>
      <c r="AV10" s="47"/>
      <c r="AW10" s="22" t="str">
        <f t="shared" si="23"/>
        <v/>
      </c>
      <c r="AX10" s="23"/>
      <c r="AY10" s="45" t="str">
        <f t="shared" si="24"/>
        <v/>
      </c>
      <c r="AZ10" s="25"/>
      <c r="BA10" s="45" t="str">
        <f t="shared" si="25"/>
        <v/>
      </c>
      <c r="BB10" s="47"/>
      <c r="BC10" s="22" t="str">
        <f t="shared" si="26"/>
        <v/>
      </c>
      <c r="BD10" s="23"/>
      <c r="BE10" s="45" t="str">
        <f t="shared" si="27"/>
        <v/>
      </c>
      <c r="BF10" s="25"/>
      <c r="BG10" s="45" t="str">
        <f t="shared" si="28"/>
        <v/>
      </c>
      <c r="BH10" s="20">
        <v>0.0</v>
      </c>
    </row>
    <row r="11">
      <c r="A11" s="20" t="str">
        <f t="shared" si="1"/>
        <v/>
      </c>
      <c r="B11" s="21"/>
      <c r="C11" s="22" t="str">
        <f t="shared" si="2"/>
        <v/>
      </c>
      <c r="D11" s="20"/>
      <c r="E11" s="20"/>
      <c r="F11" s="55"/>
      <c r="G11" s="5"/>
      <c r="H11" s="22" t="str">
        <f t="shared" si="3"/>
        <v/>
      </c>
      <c r="I11" s="23"/>
      <c r="J11" s="45" t="str">
        <f t="shared" si="29"/>
        <v/>
      </c>
      <c r="K11" s="25"/>
      <c r="L11" s="45" t="str">
        <f t="shared" si="30"/>
        <v/>
      </c>
      <c r="M11" s="29" t="str">
        <f t="shared" si="4"/>
        <v/>
      </c>
      <c r="N11" s="29">
        <f t="shared" si="5"/>
        <v>0</v>
      </c>
      <c r="O11" s="29">
        <f t="shared" si="6"/>
        <v>0</v>
      </c>
      <c r="P11" s="22" t="str">
        <f t="shared" si="7"/>
        <v/>
      </c>
      <c r="Q11" s="23"/>
      <c r="R11" s="45" t="str">
        <f t="shared" si="8"/>
        <v/>
      </c>
      <c r="S11" s="25"/>
      <c r="T11" s="45" t="str">
        <f t="shared" si="9"/>
        <v/>
      </c>
      <c r="U11" s="47"/>
      <c r="V11" s="22" t="str">
        <f t="shared" si="10"/>
        <v/>
      </c>
      <c r="W11" s="23"/>
      <c r="X11" s="45" t="str">
        <f t="shared" si="11"/>
        <v/>
      </c>
      <c r="Y11" s="25"/>
      <c r="Z11" s="45" t="str">
        <f t="shared" si="12"/>
        <v/>
      </c>
      <c r="AA11" s="47"/>
      <c r="AB11" s="22" t="str">
        <f t="shared" si="13"/>
        <v/>
      </c>
      <c r="AC11" s="23"/>
      <c r="AD11" s="45" t="str">
        <f t="shared" si="14"/>
        <v/>
      </c>
      <c r="AE11" s="25"/>
      <c r="AF11" s="45" t="str">
        <f t="shared" si="15"/>
        <v/>
      </c>
      <c r="AG11" s="20">
        <v>0.0</v>
      </c>
      <c r="AH11" s="5"/>
      <c r="AI11" s="22" t="str">
        <f t="shared" si="16"/>
        <v/>
      </c>
      <c r="AJ11" s="23"/>
      <c r="AK11" s="45" t="str">
        <f t="shared" si="31"/>
        <v/>
      </c>
      <c r="AL11" s="25"/>
      <c r="AM11" s="45" t="str">
        <f t="shared" si="32"/>
        <v/>
      </c>
      <c r="AN11" s="29" t="str">
        <f t="shared" si="17"/>
        <v/>
      </c>
      <c r="AO11" s="29">
        <f t="shared" si="18"/>
        <v>0</v>
      </c>
      <c r="AP11" s="29">
        <f t="shared" si="19"/>
        <v>0</v>
      </c>
      <c r="AQ11" s="22" t="str">
        <f t="shared" si="20"/>
        <v/>
      </c>
      <c r="AR11" s="23"/>
      <c r="AS11" s="45" t="str">
        <f t="shared" si="21"/>
        <v/>
      </c>
      <c r="AT11" s="25"/>
      <c r="AU11" s="45" t="str">
        <f t="shared" si="22"/>
        <v/>
      </c>
      <c r="AV11" s="47"/>
      <c r="AW11" s="22" t="str">
        <f t="shared" si="23"/>
        <v/>
      </c>
      <c r="AX11" s="23"/>
      <c r="AY11" s="45" t="str">
        <f t="shared" si="24"/>
        <v/>
      </c>
      <c r="AZ11" s="25"/>
      <c r="BA11" s="45" t="str">
        <f t="shared" si="25"/>
        <v/>
      </c>
      <c r="BB11" s="47"/>
      <c r="BC11" s="22" t="str">
        <f t="shared" si="26"/>
        <v/>
      </c>
      <c r="BD11" s="23"/>
      <c r="BE11" s="45" t="str">
        <f t="shared" si="27"/>
        <v/>
      </c>
      <c r="BF11" s="25"/>
      <c r="BG11" s="45" t="str">
        <f t="shared" si="28"/>
        <v/>
      </c>
      <c r="BH11" s="20">
        <v>0.0</v>
      </c>
    </row>
    <row r="12">
      <c r="A12" s="20" t="str">
        <f t="shared" si="1"/>
        <v/>
      </c>
      <c r="B12" s="21"/>
      <c r="C12" s="22" t="str">
        <f t="shared" si="2"/>
        <v/>
      </c>
      <c r="D12" s="20"/>
      <c r="E12" s="20"/>
      <c r="F12" s="55"/>
      <c r="G12" s="5"/>
      <c r="H12" s="22" t="str">
        <f t="shared" si="3"/>
        <v/>
      </c>
      <c r="I12" s="23"/>
      <c r="J12" s="45" t="str">
        <f t="shared" si="29"/>
        <v/>
      </c>
      <c r="K12" s="25"/>
      <c r="L12" s="45" t="str">
        <f t="shared" si="30"/>
        <v/>
      </c>
      <c r="M12" s="29" t="str">
        <f t="shared" si="4"/>
        <v/>
      </c>
      <c r="N12" s="29">
        <f t="shared" si="5"/>
        <v>0</v>
      </c>
      <c r="O12" s="29">
        <f t="shared" si="6"/>
        <v>0</v>
      </c>
      <c r="P12" s="22" t="str">
        <f t="shared" si="7"/>
        <v/>
      </c>
      <c r="Q12" s="23"/>
      <c r="R12" s="45" t="str">
        <f t="shared" si="8"/>
        <v/>
      </c>
      <c r="S12" s="25"/>
      <c r="T12" s="45" t="str">
        <f t="shared" si="9"/>
        <v/>
      </c>
      <c r="U12" s="47"/>
      <c r="V12" s="22" t="str">
        <f t="shared" si="10"/>
        <v/>
      </c>
      <c r="W12" s="23"/>
      <c r="X12" s="45" t="str">
        <f t="shared" si="11"/>
        <v/>
      </c>
      <c r="Y12" s="25"/>
      <c r="Z12" s="45" t="str">
        <f t="shared" si="12"/>
        <v/>
      </c>
      <c r="AA12" s="47"/>
      <c r="AB12" s="22" t="str">
        <f t="shared" si="13"/>
        <v/>
      </c>
      <c r="AC12" s="23"/>
      <c r="AD12" s="45" t="str">
        <f t="shared" si="14"/>
        <v/>
      </c>
      <c r="AE12" s="25"/>
      <c r="AF12" s="45" t="str">
        <f t="shared" si="15"/>
        <v/>
      </c>
      <c r="AG12" s="20">
        <v>0.0</v>
      </c>
      <c r="AH12" s="5"/>
      <c r="AI12" s="22" t="str">
        <f t="shared" si="16"/>
        <v/>
      </c>
      <c r="AJ12" s="23"/>
      <c r="AK12" s="45" t="str">
        <f t="shared" si="31"/>
        <v/>
      </c>
      <c r="AL12" s="25"/>
      <c r="AM12" s="45" t="str">
        <f t="shared" si="32"/>
        <v/>
      </c>
      <c r="AN12" s="29" t="str">
        <f t="shared" si="17"/>
        <v/>
      </c>
      <c r="AO12" s="29">
        <f t="shared" si="18"/>
        <v>0</v>
      </c>
      <c r="AP12" s="29">
        <f t="shared" si="19"/>
        <v>0</v>
      </c>
      <c r="AQ12" s="22" t="str">
        <f t="shared" si="20"/>
        <v/>
      </c>
      <c r="AR12" s="23"/>
      <c r="AS12" s="45" t="str">
        <f t="shared" si="21"/>
        <v/>
      </c>
      <c r="AT12" s="25"/>
      <c r="AU12" s="45" t="str">
        <f t="shared" si="22"/>
        <v/>
      </c>
      <c r="AV12" s="47"/>
      <c r="AW12" s="22" t="str">
        <f t="shared" si="23"/>
        <v/>
      </c>
      <c r="AX12" s="23"/>
      <c r="AY12" s="45" t="str">
        <f t="shared" si="24"/>
        <v/>
      </c>
      <c r="AZ12" s="25"/>
      <c r="BA12" s="45" t="str">
        <f t="shared" si="25"/>
        <v/>
      </c>
      <c r="BB12" s="47"/>
      <c r="BC12" s="22" t="str">
        <f t="shared" si="26"/>
        <v/>
      </c>
      <c r="BD12" s="23"/>
      <c r="BE12" s="45" t="str">
        <f t="shared" si="27"/>
        <v/>
      </c>
      <c r="BF12" s="25"/>
      <c r="BG12" s="45" t="str">
        <f t="shared" si="28"/>
        <v/>
      </c>
      <c r="BH12" s="20">
        <v>0.0</v>
      </c>
    </row>
    <row r="13">
      <c r="A13" s="20" t="str">
        <f t="shared" si="1"/>
        <v/>
      </c>
      <c r="B13" s="21"/>
      <c r="C13" s="22" t="str">
        <f t="shared" si="2"/>
        <v/>
      </c>
      <c r="D13" s="20"/>
      <c r="E13" s="20"/>
      <c r="F13" s="55"/>
      <c r="G13" s="5"/>
      <c r="H13" s="22" t="str">
        <f t="shared" si="3"/>
        <v/>
      </c>
      <c r="I13" s="23"/>
      <c r="J13" s="45" t="str">
        <f t="shared" si="29"/>
        <v/>
      </c>
      <c r="K13" s="25"/>
      <c r="L13" s="45" t="str">
        <f t="shared" si="30"/>
        <v/>
      </c>
      <c r="M13" s="29" t="str">
        <f t="shared" si="4"/>
        <v/>
      </c>
      <c r="N13" s="29">
        <f t="shared" si="5"/>
        <v>0</v>
      </c>
      <c r="O13" s="29">
        <f t="shared" si="6"/>
        <v>0</v>
      </c>
      <c r="P13" s="22" t="str">
        <f t="shared" si="7"/>
        <v/>
      </c>
      <c r="Q13" s="23"/>
      <c r="R13" s="45" t="str">
        <f t="shared" si="8"/>
        <v/>
      </c>
      <c r="S13" s="25"/>
      <c r="T13" s="45" t="str">
        <f t="shared" si="9"/>
        <v/>
      </c>
      <c r="U13" s="47"/>
      <c r="V13" s="22" t="str">
        <f t="shared" si="10"/>
        <v/>
      </c>
      <c r="W13" s="23"/>
      <c r="X13" s="45" t="str">
        <f t="shared" si="11"/>
        <v/>
      </c>
      <c r="Y13" s="25"/>
      <c r="Z13" s="45" t="str">
        <f t="shared" si="12"/>
        <v/>
      </c>
      <c r="AA13" s="47"/>
      <c r="AB13" s="22" t="str">
        <f t="shared" si="13"/>
        <v/>
      </c>
      <c r="AC13" s="23"/>
      <c r="AD13" s="45" t="str">
        <f t="shared" si="14"/>
        <v/>
      </c>
      <c r="AE13" s="25"/>
      <c r="AF13" s="45" t="str">
        <f t="shared" si="15"/>
        <v/>
      </c>
      <c r="AG13" s="20">
        <v>0.0</v>
      </c>
      <c r="AH13" s="5"/>
      <c r="AI13" s="22" t="str">
        <f t="shared" si="16"/>
        <v/>
      </c>
      <c r="AJ13" s="23"/>
      <c r="AK13" s="45" t="str">
        <f t="shared" si="31"/>
        <v/>
      </c>
      <c r="AL13" s="25"/>
      <c r="AM13" s="45" t="str">
        <f t="shared" si="32"/>
        <v/>
      </c>
      <c r="AN13" s="29" t="str">
        <f t="shared" si="17"/>
        <v/>
      </c>
      <c r="AO13" s="29">
        <f t="shared" si="18"/>
        <v>0</v>
      </c>
      <c r="AP13" s="29">
        <f t="shared" si="19"/>
        <v>0</v>
      </c>
      <c r="AQ13" s="22" t="str">
        <f t="shared" si="20"/>
        <v/>
      </c>
      <c r="AR13" s="23"/>
      <c r="AS13" s="45" t="str">
        <f t="shared" si="21"/>
        <v/>
      </c>
      <c r="AT13" s="25"/>
      <c r="AU13" s="45" t="str">
        <f t="shared" si="22"/>
        <v/>
      </c>
      <c r="AV13" s="47"/>
      <c r="AW13" s="22" t="str">
        <f t="shared" si="23"/>
        <v/>
      </c>
      <c r="AX13" s="23"/>
      <c r="AY13" s="45" t="str">
        <f t="shared" si="24"/>
        <v/>
      </c>
      <c r="AZ13" s="25"/>
      <c r="BA13" s="45" t="str">
        <f t="shared" si="25"/>
        <v/>
      </c>
      <c r="BB13" s="47"/>
      <c r="BC13" s="22" t="str">
        <f t="shared" si="26"/>
        <v/>
      </c>
      <c r="BD13" s="23"/>
      <c r="BE13" s="45" t="str">
        <f t="shared" si="27"/>
        <v/>
      </c>
      <c r="BF13" s="25"/>
      <c r="BG13" s="45" t="str">
        <f t="shared" si="28"/>
        <v/>
      </c>
      <c r="BH13" s="20">
        <v>0.0</v>
      </c>
    </row>
    <row r="14">
      <c r="A14" s="20" t="str">
        <f t="shared" si="1"/>
        <v/>
      </c>
      <c r="B14" s="21"/>
      <c r="C14" s="22" t="str">
        <f t="shared" si="2"/>
        <v/>
      </c>
      <c r="D14" s="20"/>
      <c r="E14" s="20"/>
      <c r="F14" s="55"/>
      <c r="G14" s="5"/>
      <c r="H14" s="22" t="str">
        <f t="shared" si="3"/>
        <v/>
      </c>
      <c r="I14" s="23"/>
      <c r="J14" s="45" t="str">
        <f t="shared" si="29"/>
        <v/>
      </c>
      <c r="K14" s="25"/>
      <c r="L14" s="45" t="str">
        <f t="shared" si="30"/>
        <v/>
      </c>
      <c r="M14" s="29" t="str">
        <f t="shared" si="4"/>
        <v/>
      </c>
      <c r="N14" s="29">
        <f t="shared" si="5"/>
        <v>0</v>
      </c>
      <c r="O14" s="29">
        <f t="shared" si="6"/>
        <v>0</v>
      </c>
      <c r="P14" s="22" t="str">
        <f t="shared" si="7"/>
        <v/>
      </c>
      <c r="Q14" s="23"/>
      <c r="R14" s="45" t="str">
        <f t="shared" si="8"/>
        <v/>
      </c>
      <c r="S14" s="25"/>
      <c r="T14" s="45" t="str">
        <f t="shared" si="9"/>
        <v/>
      </c>
      <c r="U14" s="47"/>
      <c r="V14" s="22" t="str">
        <f t="shared" si="10"/>
        <v/>
      </c>
      <c r="W14" s="23"/>
      <c r="X14" s="45" t="str">
        <f t="shared" si="11"/>
        <v/>
      </c>
      <c r="Y14" s="25"/>
      <c r="Z14" s="45" t="str">
        <f t="shared" si="12"/>
        <v/>
      </c>
      <c r="AA14" s="47"/>
      <c r="AB14" s="22" t="str">
        <f t="shared" si="13"/>
        <v/>
      </c>
      <c r="AC14" s="23"/>
      <c r="AD14" s="45" t="str">
        <f t="shared" si="14"/>
        <v/>
      </c>
      <c r="AE14" s="25"/>
      <c r="AF14" s="45" t="str">
        <f t="shared" si="15"/>
        <v/>
      </c>
      <c r="AG14" s="20">
        <v>0.0</v>
      </c>
      <c r="AH14" s="5"/>
      <c r="AI14" s="22" t="str">
        <f t="shared" si="16"/>
        <v/>
      </c>
      <c r="AJ14" s="23"/>
      <c r="AK14" s="45" t="str">
        <f t="shared" si="31"/>
        <v/>
      </c>
      <c r="AL14" s="25"/>
      <c r="AM14" s="45" t="str">
        <f t="shared" si="32"/>
        <v/>
      </c>
      <c r="AN14" s="29" t="str">
        <f t="shared" si="17"/>
        <v/>
      </c>
      <c r="AO14" s="29">
        <f t="shared" si="18"/>
        <v>0</v>
      </c>
      <c r="AP14" s="29">
        <f t="shared" si="19"/>
        <v>0</v>
      </c>
      <c r="AQ14" s="22" t="str">
        <f t="shared" si="20"/>
        <v/>
      </c>
      <c r="AR14" s="23"/>
      <c r="AS14" s="45" t="str">
        <f t="shared" si="21"/>
        <v/>
      </c>
      <c r="AT14" s="25"/>
      <c r="AU14" s="45" t="str">
        <f t="shared" si="22"/>
        <v/>
      </c>
      <c r="AV14" s="47"/>
      <c r="AW14" s="22" t="str">
        <f t="shared" si="23"/>
        <v/>
      </c>
      <c r="AX14" s="23"/>
      <c r="AY14" s="45" t="str">
        <f t="shared" si="24"/>
        <v/>
      </c>
      <c r="AZ14" s="25"/>
      <c r="BA14" s="45" t="str">
        <f t="shared" si="25"/>
        <v/>
      </c>
      <c r="BB14" s="47"/>
      <c r="BC14" s="22" t="str">
        <f t="shared" si="26"/>
        <v/>
      </c>
      <c r="BD14" s="23"/>
      <c r="BE14" s="45" t="str">
        <f t="shared" si="27"/>
        <v/>
      </c>
      <c r="BF14" s="25"/>
      <c r="BG14" s="45" t="str">
        <f t="shared" si="28"/>
        <v/>
      </c>
      <c r="BH14" s="20">
        <v>0.0</v>
      </c>
    </row>
    <row r="15">
      <c r="A15" s="20" t="str">
        <f t="shared" si="1"/>
        <v/>
      </c>
      <c r="B15" s="21"/>
      <c r="C15" s="22" t="str">
        <f t="shared" si="2"/>
        <v/>
      </c>
      <c r="D15" s="20"/>
      <c r="E15" s="20"/>
      <c r="F15" s="55"/>
      <c r="G15" s="5"/>
      <c r="H15" s="22" t="str">
        <f t="shared" si="3"/>
        <v/>
      </c>
      <c r="I15" s="23"/>
      <c r="J15" s="45" t="str">
        <f t="shared" si="29"/>
        <v/>
      </c>
      <c r="K15" s="25"/>
      <c r="L15" s="45" t="str">
        <f t="shared" si="30"/>
        <v/>
      </c>
      <c r="M15" s="29" t="str">
        <f t="shared" si="4"/>
        <v/>
      </c>
      <c r="N15" s="29">
        <f t="shared" si="5"/>
        <v>0</v>
      </c>
      <c r="O15" s="29">
        <f t="shared" si="6"/>
        <v>0</v>
      </c>
      <c r="P15" s="22" t="str">
        <f t="shared" si="7"/>
        <v/>
      </c>
      <c r="Q15" s="23"/>
      <c r="R15" s="45" t="str">
        <f t="shared" si="8"/>
        <v/>
      </c>
      <c r="S15" s="25"/>
      <c r="T15" s="45" t="str">
        <f t="shared" si="9"/>
        <v/>
      </c>
      <c r="U15" s="47"/>
      <c r="V15" s="22" t="str">
        <f t="shared" si="10"/>
        <v/>
      </c>
      <c r="W15" s="23"/>
      <c r="X15" s="45" t="str">
        <f t="shared" si="11"/>
        <v/>
      </c>
      <c r="Y15" s="25"/>
      <c r="Z15" s="45" t="str">
        <f t="shared" si="12"/>
        <v/>
      </c>
      <c r="AA15" s="47"/>
      <c r="AB15" s="22" t="str">
        <f t="shared" si="13"/>
        <v/>
      </c>
      <c r="AC15" s="23"/>
      <c r="AD15" s="45" t="str">
        <f t="shared" si="14"/>
        <v/>
      </c>
      <c r="AE15" s="25"/>
      <c r="AF15" s="45" t="str">
        <f t="shared" si="15"/>
        <v/>
      </c>
      <c r="AG15" s="20">
        <v>0.0</v>
      </c>
      <c r="AH15" s="5"/>
      <c r="AI15" s="22" t="str">
        <f t="shared" si="16"/>
        <v/>
      </c>
      <c r="AJ15" s="23"/>
      <c r="AK15" s="45" t="str">
        <f t="shared" si="31"/>
        <v/>
      </c>
      <c r="AL15" s="25"/>
      <c r="AM15" s="45" t="str">
        <f t="shared" si="32"/>
        <v/>
      </c>
      <c r="AN15" s="29" t="str">
        <f t="shared" si="17"/>
        <v/>
      </c>
      <c r="AO15" s="29">
        <f t="shared" si="18"/>
        <v>0</v>
      </c>
      <c r="AP15" s="29">
        <f t="shared" si="19"/>
        <v>0</v>
      </c>
      <c r="AQ15" s="22" t="str">
        <f t="shared" si="20"/>
        <v/>
      </c>
      <c r="AR15" s="23"/>
      <c r="AS15" s="45" t="str">
        <f t="shared" si="21"/>
        <v/>
      </c>
      <c r="AT15" s="25"/>
      <c r="AU15" s="45" t="str">
        <f t="shared" si="22"/>
        <v/>
      </c>
      <c r="AV15" s="47"/>
      <c r="AW15" s="22" t="str">
        <f t="shared" si="23"/>
        <v/>
      </c>
      <c r="AX15" s="23"/>
      <c r="AY15" s="45" t="str">
        <f t="shared" si="24"/>
        <v/>
      </c>
      <c r="AZ15" s="25"/>
      <c r="BA15" s="45" t="str">
        <f t="shared" si="25"/>
        <v/>
      </c>
      <c r="BB15" s="47"/>
      <c r="BC15" s="22" t="str">
        <f t="shared" si="26"/>
        <v/>
      </c>
      <c r="BD15" s="23"/>
      <c r="BE15" s="45" t="str">
        <f t="shared" si="27"/>
        <v/>
      </c>
      <c r="BF15" s="25"/>
      <c r="BG15" s="45" t="str">
        <f t="shared" si="28"/>
        <v/>
      </c>
      <c r="BH15" s="20">
        <v>0.0</v>
      </c>
    </row>
    <row r="16">
      <c r="A16" s="20" t="str">
        <f t="shared" si="1"/>
        <v/>
      </c>
      <c r="B16" s="21"/>
      <c r="C16" s="22" t="str">
        <f t="shared" si="2"/>
        <v/>
      </c>
      <c r="D16" s="20"/>
      <c r="E16" s="20"/>
      <c r="F16" s="55"/>
      <c r="G16" s="5"/>
      <c r="H16" s="22" t="str">
        <f t="shared" si="3"/>
        <v/>
      </c>
      <c r="I16" s="23"/>
      <c r="J16" s="45" t="str">
        <f t="shared" si="29"/>
        <v/>
      </c>
      <c r="K16" s="25"/>
      <c r="L16" s="45" t="str">
        <f t="shared" si="30"/>
        <v/>
      </c>
      <c r="M16" s="29" t="str">
        <f t="shared" si="4"/>
        <v/>
      </c>
      <c r="N16" s="29">
        <f t="shared" si="5"/>
        <v>0</v>
      </c>
      <c r="O16" s="29">
        <f t="shared" si="6"/>
        <v>0</v>
      </c>
      <c r="P16" s="22" t="str">
        <f t="shared" si="7"/>
        <v/>
      </c>
      <c r="Q16" s="23"/>
      <c r="R16" s="45" t="str">
        <f t="shared" si="8"/>
        <v/>
      </c>
      <c r="S16" s="25"/>
      <c r="T16" s="45" t="str">
        <f t="shared" si="9"/>
        <v/>
      </c>
      <c r="U16" s="47"/>
      <c r="V16" s="22" t="str">
        <f t="shared" si="10"/>
        <v/>
      </c>
      <c r="W16" s="23"/>
      <c r="X16" s="45" t="str">
        <f t="shared" si="11"/>
        <v/>
      </c>
      <c r="Y16" s="25"/>
      <c r="Z16" s="45" t="str">
        <f t="shared" si="12"/>
        <v/>
      </c>
      <c r="AA16" s="47"/>
      <c r="AB16" s="22" t="str">
        <f t="shared" si="13"/>
        <v/>
      </c>
      <c r="AC16" s="23"/>
      <c r="AD16" s="45" t="str">
        <f t="shared" si="14"/>
        <v/>
      </c>
      <c r="AE16" s="25"/>
      <c r="AF16" s="45" t="str">
        <f t="shared" si="15"/>
        <v/>
      </c>
      <c r="AG16" s="20">
        <v>0.0</v>
      </c>
      <c r="AH16" s="5"/>
      <c r="AI16" s="22" t="str">
        <f t="shared" si="16"/>
        <v/>
      </c>
      <c r="AJ16" s="23"/>
      <c r="AK16" s="45" t="str">
        <f t="shared" si="31"/>
        <v/>
      </c>
      <c r="AL16" s="25"/>
      <c r="AM16" s="45" t="str">
        <f t="shared" si="32"/>
        <v/>
      </c>
      <c r="AN16" s="29" t="str">
        <f t="shared" si="17"/>
        <v/>
      </c>
      <c r="AO16" s="29">
        <f t="shared" si="18"/>
        <v>0</v>
      </c>
      <c r="AP16" s="29">
        <f t="shared" si="19"/>
        <v>0</v>
      </c>
      <c r="AQ16" s="22" t="str">
        <f t="shared" si="20"/>
        <v/>
      </c>
      <c r="AR16" s="23"/>
      <c r="AS16" s="45" t="str">
        <f t="shared" si="21"/>
        <v/>
      </c>
      <c r="AT16" s="25"/>
      <c r="AU16" s="45" t="str">
        <f t="shared" si="22"/>
        <v/>
      </c>
      <c r="AV16" s="47"/>
      <c r="AW16" s="22" t="str">
        <f t="shared" si="23"/>
        <v/>
      </c>
      <c r="AX16" s="23"/>
      <c r="AY16" s="45" t="str">
        <f t="shared" si="24"/>
        <v/>
      </c>
      <c r="AZ16" s="25"/>
      <c r="BA16" s="45" t="str">
        <f t="shared" si="25"/>
        <v/>
      </c>
      <c r="BB16" s="47"/>
      <c r="BC16" s="22" t="str">
        <f t="shared" si="26"/>
        <v/>
      </c>
      <c r="BD16" s="23"/>
      <c r="BE16" s="45" t="str">
        <f t="shared" si="27"/>
        <v/>
      </c>
      <c r="BF16" s="25"/>
      <c r="BG16" s="45" t="str">
        <f t="shared" si="28"/>
        <v/>
      </c>
      <c r="BH16" s="20">
        <v>0.0</v>
      </c>
    </row>
    <row r="17">
      <c r="A17" s="20" t="str">
        <f t="shared" si="1"/>
        <v/>
      </c>
      <c r="B17" s="21"/>
      <c r="C17" s="22" t="str">
        <f t="shared" si="2"/>
        <v/>
      </c>
      <c r="D17" s="20"/>
      <c r="E17" s="20"/>
      <c r="F17" s="55"/>
      <c r="G17" s="5"/>
      <c r="H17" s="22" t="str">
        <f t="shared" si="3"/>
        <v/>
      </c>
      <c r="I17" s="23"/>
      <c r="J17" s="45" t="str">
        <f t="shared" si="29"/>
        <v/>
      </c>
      <c r="K17" s="25"/>
      <c r="L17" s="45" t="str">
        <f t="shared" si="30"/>
        <v/>
      </c>
      <c r="M17" s="29" t="str">
        <f t="shared" si="4"/>
        <v/>
      </c>
      <c r="N17" s="29">
        <f t="shared" si="5"/>
        <v>0</v>
      </c>
      <c r="O17" s="29">
        <f t="shared" si="6"/>
        <v>0</v>
      </c>
      <c r="P17" s="22" t="str">
        <f t="shared" si="7"/>
        <v/>
      </c>
      <c r="Q17" s="23"/>
      <c r="R17" s="45" t="str">
        <f t="shared" si="8"/>
        <v/>
      </c>
      <c r="S17" s="25"/>
      <c r="T17" s="45" t="str">
        <f t="shared" si="9"/>
        <v/>
      </c>
      <c r="U17" s="47"/>
      <c r="V17" s="22" t="str">
        <f t="shared" si="10"/>
        <v/>
      </c>
      <c r="W17" s="23"/>
      <c r="X17" s="45" t="str">
        <f t="shared" si="11"/>
        <v/>
      </c>
      <c r="Y17" s="25"/>
      <c r="Z17" s="45" t="str">
        <f t="shared" si="12"/>
        <v/>
      </c>
      <c r="AA17" s="47"/>
      <c r="AB17" s="22" t="str">
        <f t="shared" si="13"/>
        <v/>
      </c>
      <c r="AC17" s="23"/>
      <c r="AD17" s="45" t="str">
        <f t="shared" si="14"/>
        <v/>
      </c>
      <c r="AE17" s="25"/>
      <c r="AF17" s="45" t="str">
        <f t="shared" si="15"/>
        <v/>
      </c>
      <c r="AG17" s="20">
        <v>0.0</v>
      </c>
      <c r="AH17" s="5"/>
      <c r="AI17" s="22" t="str">
        <f t="shared" si="16"/>
        <v/>
      </c>
      <c r="AJ17" s="23"/>
      <c r="AK17" s="45" t="str">
        <f t="shared" si="31"/>
        <v/>
      </c>
      <c r="AL17" s="25"/>
      <c r="AM17" s="45" t="str">
        <f t="shared" si="32"/>
        <v/>
      </c>
      <c r="AN17" s="29" t="str">
        <f t="shared" si="17"/>
        <v/>
      </c>
      <c r="AO17" s="29">
        <f t="shared" si="18"/>
        <v>0</v>
      </c>
      <c r="AP17" s="29">
        <f t="shared" si="19"/>
        <v>0</v>
      </c>
      <c r="AQ17" s="22" t="str">
        <f t="shared" si="20"/>
        <v/>
      </c>
      <c r="AR17" s="23"/>
      <c r="AS17" s="45" t="str">
        <f t="shared" si="21"/>
        <v/>
      </c>
      <c r="AT17" s="25"/>
      <c r="AU17" s="45" t="str">
        <f t="shared" si="22"/>
        <v/>
      </c>
      <c r="AV17" s="47"/>
      <c r="AW17" s="22" t="str">
        <f t="shared" si="23"/>
        <v/>
      </c>
      <c r="AX17" s="23"/>
      <c r="AY17" s="45" t="str">
        <f t="shared" si="24"/>
        <v/>
      </c>
      <c r="AZ17" s="25"/>
      <c r="BA17" s="45" t="str">
        <f t="shared" si="25"/>
        <v/>
      </c>
      <c r="BB17" s="47"/>
      <c r="BC17" s="22" t="str">
        <f t="shared" si="26"/>
        <v/>
      </c>
      <c r="BD17" s="23"/>
      <c r="BE17" s="45" t="str">
        <f t="shared" si="27"/>
        <v/>
      </c>
      <c r="BF17" s="25"/>
      <c r="BG17" s="45" t="str">
        <f t="shared" si="28"/>
        <v/>
      </c>
      <c r="BH17" s="20">
        <v>0.0</v>
      </c>
    </row>
    <row r="18">
      <c r="A18" s="20" t="str">
        <f t="shared" si="1"/>
        <v/>
      </c>
      <c r="B18" s="21"/>
      <c r="C18" s="22" t="str">
        <f t="shared" si="2"/>
        <v/>
      </c>
      <c r="D18" s="20"/>
      <c r="E18" s="20"/>
      <c r="F18" s="55"/>
      <c r="G18" s="5"/>
      <c r="H18" s="22" t="str">
        <f t="shared" si="3"/>
        <v/>
      </c>
      <c r="I18" s="23"/>
      <c r="J18" s="45" t="str">
        <f t="shared" si="29"/>
        <v/>
      </c>
      <c r="K18" s="25"/>
      <c r="L18" s="45" t="str">
        <f t="shared" si="30"/>
        <v/>
      </c>
      <c r="M18" s="29" t="str">
        <f t="shared" si="4"/>
        <v/>
      </c>
      <c r="N18" s="29">
        <f t="shared" si="5"/>
        <v>0</v>
      </c>
      <c r="O18" s="29">
        <f t="shared" si="6"/>
        <v>0</v>
      </c>
      <c r="P18" s="22" t="str">
        <f t="shared" si="7"/>
        <v/>
      </c>
      <c r="Q18" s="23"/>
      <c r="R18" s="45" t="str">
        <f t="shared" si="8"/>
        <v/>
      </c>
      <c r="S18" s="25"/>
      <c r="T18" s="45" t="str">
        <f t="shared" si="9"/>
        <v/>
      </c>
      <c r="U18" s="47"/>
      <c r="V18" s="22" t="str">
        <f t="shared" si="10"/>
        <v/>
      </c>
      <c r="W18" s="23"/>
      <c r="X18" s="45" t="str">
        <f t="shared" si="11"/>
        <v/>
      </c>
      <c r="Y18" s="25"/>
      <c r="Z18" s="45" t="str">
        <f t="shared" si="12"/>
        <v/>
      </c>
      <c r="AA18" s="47"/>
      <c r="AB18" s="22" t="str">
        <f t="shared" si="13"/>
        <v/>
      </c>
      <c r="AC18" s="23"/>
      <c r="AD18" s="45" t="str">
        <f t="shared" si="14"/>
        <v/>
      </c>
      <c r="AE18" s="25"/>
      <c r="AF18" s="45" t="str">
        <f t="shared" si="15"/>
        <v/>
      </c>
      <c r="AG18" s="20">
        <v>0.0</v>
      </c>
      <c r="AH18" s="5"/>
      <c r="AI18" s="22" t="str">
        <f t="shared" si="16"/>
        <v/>
      </c>
      <c r="AJ18" s="23"/>
      <c r="AK18" s="45" t="str">
        <f t="shared" si="31"/>
        <v/>
      </c>
      <c r="AL18" s="25"/>
      <c r="AM18" s="45" t="str">
        <f t="shared" si="32"/>
        <v/>
      </c>
      <c r="AN18" s="29" t="str">
        <f t="shared" si="17"/>
        <v/>
      </c>
      <c r="AO18" s="29">
        <f t="shared" si="18"/>
        <v>0</v>
      </c>
      <c r="AP18" s="29">
        <f t="shared" si="19"/>
        <v>0</v>
      </c>
      <c r="AQ18" s="22" t="str">
        <f t="shared" si="20"/>
        <v/>
      </c>
      <c r="AR18" s="23"/>
      <c r="AS18" s="45" t="str">
        <f t="shared" si="21"/>
        <v/>
      </c>
      <c r="AT18" s="25"/>
      <c r="AU18" s="45" t="str">
        <f t="shared" si="22"/>
        <v/>
      </c>
      <c r="AV18" s="47"/>
      <c r="AW18" s="22" t="str">
        <f t="shared" si="23"/>
        <v/>
      </c>
      <c r="AX18" s="23"/>
      <c r="AY18" s="45" t="str">
        <f t="shared" si="24"/>
        <v/>
      </c>
      <c r="AZ18" s="25"/>
      <c r="BA18" s="45" t="str">
        <f t="shared" si="25"/>
        <v/>
      </c>
      <c r="BB18" s="47"/>
      <c r="BC18" s="22" t="str">
        <f t="shared" si="26"/>
        <v/>
      </c>
      <c r="BD18" s="23"/>
      <c r="BE18" s="45" t="str">
        <f t="shared" si="27"/>
        <v/>
      </c>
      <c r="BF18" s="25"/>
      <c r="BG18" s="45" t="str">
        <f t="shared" si="28"/>
        <v/>
      </c>
      <c r="BH18" s="20">
        <v>0.0</v>
      </c>
    </row>
    <row r="19">
      <c r="A19" s="20" t="str">
        <f t="shared" si="1"/>
        <v/>
      </c>
      <c r="B19" s="21"/>
      <c r="C19" s="22" t="str">
        <f t="shared" si="2"/>
        <v/>
      </c>
      <c r="D19" s="20"/>
      <c r="E19" s="20"/>
      <c r="F19" s="55"/>
      <c r="G19" s="5"/>
      <c r="H19" s="22" t="str">
        <f t="shared" si="3"/>
        <v/>
      </c>
      <c r="I19" s="23"/>
      <c r="J19" s="45" t="str">
        <f t="shared" si="29"/>
        <v/>
      </c>
      <c r="K19" s="25"/>
      <c r="L19" s="45" t="str">
        <f t="shared" si="30"/>
        <v/>
      </c>
      <c r="M19" s="29" t="str">
        <f t="shared" si="4"/>
        <v/>
      </c>
      <c r="N19" s="29">
        <f t="shared" si="5"/>
        <v>0</v>
      </c>
      <c r="O19" s="29">
        <f t="shared" si="6"/>
        <v>0</v>
      </c>
      <c r="P19" s="22" t="str">
        <f t="shared" si="7"/>
        <v/>
      </c>
      <c r="Q19" s="23"/>
      <c r="R19" s="45" t="str">
        <f t="shared" si="8"/>
        <v/>
      </c>
      <c r="S19" s="25"/>
      <c r="T19" s="45" t="str">
        <f t="shared" si="9"/>
        <v/>
      </c>
      <c r="U19" s="47"/>
      <c r="V19" s="22" t="str">
        <f t="shared" si="10"/>
        <v/>
      </c>
      <c r="W19" s="23"/>
      <c r="X19" s="45" t="str">
        <f t="shared" si="11"/>
        <v/>
      </c>
      <c r="Y19" s="25"/>
      <c r="Z19" s="45" t="str">
        <f t="shared" si="12"/>
        <v/>
      </c>
      <c r="AA19" s="47"/>
      <c r="AB19" s="22" t="str">
        <f t="shared" si="13"/>
        <v/>
      </c>
      <c r="AC19" s="23"/>
      <c r="AD19" s="45" t="str">
        <f t="shared" si="14"/>
        <v/>
      </c>
      <c r="AE19" s="25"/>
      <c r="AF19" s="45" t="str">
        <f t="shared" si="15"/>
        <v/>
      </c>
      <c r="AG19" s="20">
        <v>0.0</v>
      </c>
      <c r="AH19" s="5"/>
      <c r="AI19" s="22" t="str">
        <f t="shared" si="16"/>
        <v/>
      </c>
      <c r="AJ19" s="23"/>
      <c r="AK19" s="45" t="str">
        <f t="shared" si="31"/>
        <v/>
      </c>
      <c r="AL19" s="25"/>
      <c r="AM19" s="45" t="str">
        <f t="shared" si="32"/>
        <v/>
      </c>
      <c r="AN19" s="29" t="str">
        <f t="shared" si="17"/>
        <v/>
      </c>
      <c r="AO19" s="29">
        <f t="shared" si="18"/>
        <v>0</v>
      </c>
      <c r="AP19" s="29">
        <f t="shared" si="19"/>
        <v>0</v>
      </c>
      <c r="AQ19" s="22" t="str">
        <f t="shared" si="20"/>
        <v/>
      </c>
      <c r="AR19" s="23"/>
      <c r="AS19" s="45" t="str">
        <f t="shared" si="21"/>
        <v/>
      </c>
      <c r="AT19" s="25"/>
      <c r="AU19" s="45" t="str">
        <f t="shared" si="22"/>
        <v/>
      </c>
      <c r="AV19" s="47"/>
      <c r="AW19" s="22" t="str">
        <f t="shared" si="23"/>
        <v/>
      </c>
      <c r="AX19" s="23"/>
      <c r="AY19" s="45" t="str">
        <f t="shared" si="24"/>
        <v/>
      </c>
      <c r="AZ19" s="25"/>
      <c r="BA19" s="45" t="str">
        <f t="shared" si="25"/>
        <v/>
      </c>
      <c r="BB19" s="47"/>
      <c r="BC19" s="22" t="str">
        <f t="shared" si="26"/>
        <v/>
      </c>
      <c r="BD19" s="23"/>
      <c r="BE19" s="45" t="str">
        <f t="shared" si="27"/>
        <v/>
      </c>
      <c r="BF19" s="25"/>
      <c r="BG19" s="45" t="str">
        <f t="shared" si="28"/>
        <v/>
      </c>
      <c r="BH19" s="20">
        <v>0.0</v>
      </c>
    </row>
    <row r="20">
      <c r="A20" s="20" t="str">
        <f t="shared" si="1"/>
        <v/>
      </c>
      <c r="B20" s="21"/>
      <c r="C20" s="22" t="str">
        <f t="shared" si="2"/>
        <v/>
      </c>
      <c r="D20" s="20"/>
      <c r="E20" s="20"/>
      <c r="F20" s="55"/>
      <c r="G20" s="5"/>
      <c r="H20" s="22" t="str">
        <f t="shared" si="3"/>
        <v/>
      </c>
      <c r="I20" s="23"/>
      <c r="J20" s="45" t="str">
        <f t="shared" si="29"/>
        <v/>
      </c>
      <c r="K20" s="25"/>
      <c r="L20" s="45" t="str">
        <f t="shared" si="30"/>
        <v/>
      </c>
      <c r="M20" s="29" t="str">
        <f t="shared" si="4"/>
        <v/>
      </c>
      <c r="N20" s="29">
        <f t="shared" si="5"/>
        <v>0</v>
      </c>
      <c r="O20" s="29">
        <f t="shared" si="6"/>
        <v>0</v>
      </c>
      <c r="P20" s="22" t="str">
        <f t="shared" si="7"/>
        <v/>
      </c>
      <c r="Q20" s="23"/>
      <c r="R20" s="45" t="str">
        <f t="shared" si="8"/>
        <v/>
      </c>
      <c r="S20" s="25"/>
      <c r="T20" s="45" t="str">
        <f t="shared" si="9"/>
        <v/>
      </c>
      <c r="U20" s="47"/>
      <c r="V20" s="22" t="str">
        <f t="shared" si="10"/>
        <v/>
      </c>
      <c r="W20" s="23"/>
      <c r="X20" s="45" t="str">
        <f t="shared" si="11"/>
        <v/>
      </c>
      <c r="Y20" s="25"/>
      <c r="Z20" s="45" t="str">
        <f t="shared" si="12"/>
        <v/>
      </c>
      <c r="AA20" s="47"/>
      <c r="AB20" s="22" t="str">
        <f t="shared" si="13"/>
        <v/>
      </c>
      <c r="AC20" s="23"/>
      <c r="AD20" s="45" t="str">
        <f t="shared" si="14"/>
        <v/>
      </c>
      <c r="AE20" s="25"/>
      <c r="AF20" s="45" t="str">
        <f t="shared" si="15"/>
        <v/>
      </c>
      <c r="AG20" s="20">
        <v>0.0</v>
      </c>
      <c r="AH20" s="5"/>
      <c r="AI20" s="22" t="str">
        <f t="shared" si="16"/>
        <v/>
      </c>
      <c r="AJ20" s="23"/>
      <c r="AK20" s="45" t="str">
        <f t="shared" si="31"/>
        <v/>
      </c>
      <c r="AL20" s="25"/>
      <c r="AM20" s="45" t="str">
        <f t="shared" si="32"/>
        <v/>
      </c>
      <c r="AN20" s="29" t="str">
        <f t="shared" si="17"/>
        <v/>
      </c>
      <c r="AO20" s="29">
        <f t="shared" si="18"/>
        <v>0</v>
      </c>
      <c r="AP20" s="29">
        <f t="shared" si="19"/>
        <v>0</v>
      </c>
      <c r="AQ20" s="22" t="str">
        <f t="shared" si="20"/>
        <v/>
      </c>
      <c r="AR20" s="23"/>
      <c r="AS20" s="45" t="str">
        <f t="shared" si="21"/>
        <v/>
      </c>
      <c r="AT20" s="25"/>
      <c r="AU20" s="45" t="str">
        <f t="shared" si="22"/>
        <v/>
      </c>
      <c r="AV20" s="47"/>
      <c r="AW20" s="22" t="str">
        <f t="shared" si="23"/>
        <v/>
      </c>
      <c r="AX20" s="23"/>
      <c r="AY20" s="45" t="str">
        <f t="shared" si="24"/>
        <v/>
      </c>
      <c r="AZ20" s="25"/>
      <c r="BA20" s="45" t="str">
        <f t="shared" si="25"/>
        <v/>
      </c>
      <c r="BB20" s="47"/>
      <c r="BC20" s="22" t="str">
        <f t="shared" si="26"/>
        <v/>
      </c>
      <c r="BD20" s="23"/>
      <c r="BE20" s="45" t="str">
        <f t="shared" si="27"/>
        <v/>
      </c>
      <c r="BF20" s="25"/>
      <c r="BG20" s="45" t="str">
        <f t="shared" si="28"/>
        <v/>
      </c>
      <c r="BH20" s="20">
        <v>0.0</v>
      </c>
    </row>
    <row r="21">
      <c r="A21" s="20" t="str">
        <f t="shared" si="1"/>
        <v/>
      </c>
      <c r="B21" s="21"/>
      <c r="C21" s="22" t="str">
        <f t="shared" si="2"/>
        <v/>
      </c>
      <c r="D21" s="20"/>
      <c r="E21" s="20"/>
      <c r="F21" s="55"/>
      <c r="G21" s="5"/>
      <c r="H21" s="22" t="str">
        <f t="shared" si="3"/>
        <v/>
      </c>
      <c r="I21" s="23"/>
      <c r="J21" s="45" t="str">
        <f t="shared" si="29"/>
        <v/>
      </c>
      <c r="K21" s="25"/>
      <c r="L21" s="45" t="str">
        <f t="shared" si="30"/>
        <v/>
      </c>
      <c r="M21" s="29" t="str">
        <f t="shared" si="4"/>
        <v/>
      </c>
      <c r="N21" s="29">
        <f t="shared" si="5"/>
        <v>0</v>
      </c>
      <c r="O21" s="29">
        <f t="shared" si="6"/>
        <v>0</v>
      </c>
      <c r="P21" s="22" t="str">
        <f t="shared" si="7"/>
        <v/>
      </c>
      <c r="Q21" s="23"/>
      <c r="R21" s="45" t="str">
        <f t="shared" si="8"/>
        <v/>
      </c>
      <c r="S21" s="25"/>
      <c r="T21" s="45" t="str">
        <f t="shared" si="9"/>
        <v/>
      </c>
      <c r="U21" s="47"/>
      <c r="V21" s="22" t="str">
        <f t="shared" si="10"/>
        <v/>
      </c>
      <c r="W21" s="23"/>
      <c r="X21" s="45" t="str">
        <f t="shared" si="11"/>
        <v/>
      </c>
      <c r="Y21" s="25"/>
      <c r="Z21" s="45" t="str">
        <f t="shared" si="12"/>
        <v/>
      </c>
      <c r="AA21" s="47"/>
      <c r="AB21" s="22" t="str">
        <f t="shared" si="13"/>
        <v/>
      </c>
      <c r="AC21" s="23"/>
      <c r="AD21" s="45" t="str">
        <f t="shared" si="14"/>
        <v/>
      </c>
      <c r="AE21" s="25"/>
      <c r="AF21" s="45" t="str">
        <f t="shared" si="15"/>
        <v/>
      </c>
      <c r="AG21" s="20">
        <v>0.0</v>
      </c>
      <c r="AH21" s="5"/>
      <c r="AI21" s="22" t="str">
        <f t="shared" si="16"/>
        <v/>
      </c>
      <c r="AJ21" s="23"/>
      <c r="AK21" s="45" t="str">
        <f t="shared" si="31"/>
        <v/>
      </c>
      <c r="AL21" s="25"/>
      <c r="AM21" s="45" t="str">
        <f t="shared" si="32"/>
        <v/>
      </c>
      <c r="AN21" s="29" t="str">
        <f t="shared" si="17"/>
        <v/>
      </c>
      <c r="AO21" s="29">
        <f t="shared" si="18"/>
        <v>0</v>
      </c>
      <c r="AP21" s="29">
        <f t="shared" si="19"/>
        <v>0</v>
      </c>
      <c r="AQ21" s="22" t="str">
        <f t="shared" si="20"/>
        <v/>
      </c>
      <c r="AR21" s="23"/>
      <c r="AS21" s="45" t="str">
        <f t="shared" si="21"/>
        <v/>
      </c>
      <c r="AT21" s="25"/>
      <c r="AU21" s="45" t="str">
        <f t="shared" si="22"/>
        <v/>
      </c>
      <c r="AV21" s="47"/>
      <c r="AW21" s="22" t="str">
        <f t="shared" si="23"/>
        <v/>
      </c>
      <c r="AX21" s="23"/>
      <c r="AY21" s="45" t="str">
        <f t="shared" si="24"/>
        <v/>
      </c>
      <c r="AZ21" s="25"/>
      <c r="BA21" s="45" t="str">
        <f t="shared" si="25"/>
        <v/>
      </c>
      <c r="BB21" s="47"/>
      <c r="BC21" s="22" t="str">
        <f t="shared" si="26"/>
        <v/>
      </c>
      <c r="BD21" s="23"/>
      <c r="BE21" s="45" t="str">
        <f t="shared" si="27"/>
        <v/>
      </c>
      <c r="BF21" s="25"/>
      <c r="BG21" s="45" t="str">
        <f t="shared" si="28"/>
        <v/>
      </c>
      <c r="BH21" s="20">
        <v>0.0</v>
      </c>
    </row>
    <row r="22">
      <c r="A22" s="20" t="str">
        <f t="shared" si="1"/>
        <v/>
      </c>
      <c r="B22" s="21"/>
      <c r="C22" s="22" t="str">
        <f t="shared" si="2"/>
        <v/>
      </c>
      <c r="D22" s="20"/>
      <c r="E22" s="20"/>
      <c r="F22" s="55"/>
      <c r="G22" s="5"/>
      <c r="H22" s="22" t="str">
        <f t="shared" si="3"/>
        <v/>
      </c>
      <c r="I22" s="23"/>
      <c r="J22" s="45" t="str">
        <f t="shared" si="29"/>
        <v/>
      </c>
      <c r="K22" s="25"/>
      <c r="L22" s="45" t="str">
        <f t="shared" si="30"/>
        <v/>
      </c>
      <c r="M22" s="29" t="str">
        <f t="shared" si="4"/>
        <v/>
      </c>
      <c r="N22" s="29">
        <f t="shared" si="5"/>
        <v>0</v>
      </c>
      <c r="O22" s="29">
        <f t="shared" si="6"/>
        <v>0</v>
      </c>
      <c r="P22" s="22" t="str">
        <f t="shared" si="7"/>
        <v/>
      </c>
      <c r="Q22" s="23"/>
      <c r="R22" s="45" t="str">
        <f t="shared" si="8"/>
        <v/>
      </c>
      <c r="S22" s="25"/>
      <c r="T22" s="45" t="str">
        <f t="shared" si="9"/>
        <v/>
      </c>
      <c r="U22" s="47"/>
      <c r="V22" s="22" t="str">
        <f t="shared" si="10"/>
        <v/>
      </c>
      <c r="W22" s="23"/>
      <c r="X22" s="45" t="str">
        <f t="shared" si="11"/>
        <v/>
      </c>
      <c r="Y22" s="25"/>
      <c r="Z22" s="45" t="str">
        <f t="shared" si="12"/>
        <v/>
      </c>
      <c r="AA22" s="47"/>
      <c r="AB22" s="22" t="str">
        <f t="shared" si="13"/>
        <v/>
      </c>
      <c r="AC22" s="23"/>
      <c r="AD22" s="45" t="str">
        <f t="shared" si="14"/>
        <v/>
      </c>
      <c r="AE22" s="25"/>
      <c r="AF22" s="45" t="str">
        <f t="shared" si="15"/>
        <v/>
      </c>
      <c r="AG22" s="20">
        <v>0.0</v>
      </c>
      <c r="AH22" s="5"/>
      <c r="AI22" s="22" t="str">
        <f t="shared" si="16"/>
        <v/>
      </c>
      <c r="AJ22" s="23"/>
      <c r="AK22" s="45" t="str">
        <f t="shared" si="31"/>
        <v/>
      </c>
      <c r="AL22" s="25"/>
      <c r="AM22" s="45" t="str">
        <f t="shared" si="32"/>
        <v/>
      </c>
      <c r="AN22" s="29" t="str">
        <f t="shared" si="17"/>
        <v/>
      </c>
      <c r="AO22" s="29">
        <f t="shared" si="18"/>
        <v>0</v>
      </c>
      <c r="AP22" s="29">
        <f t="shared" si="19"/>
        <v>0</v>
      </c>
      <c r="AQ22" s="22" t="str">
        <f t="shared" si="20"/>
        <v/>
      </c>
      <c r="AR22" s="23"/>
      <c r="AS22" s="45" t="str">
        <f t="shared" si="21"/>
        <v/>
      </c>
      <c r="AT22" s="25"/>
      <c r="AU22" s="45" t="str">
        <f t="shared" si="22"/>
        <v/>
      </c>
      <c r="AV22" s="47"/>
      <c r="AW22" s="22" t="str">
        <f t="shared" si="23"/>
        <v/>
      </c>
      <c r="AX22" s="23"/>
      <c r="AY22" s="45" t="str">
        <f t="shared" si="24"/>
        <v/>
      </c>
      <c r="AZ22" s="25"/>
      <c r="BA22" s="45" t="str">
        <f t="shared" si="25"/>
        <v/>
      </c>
      <c r="BB22" s="47"/>
      <c r="BC22" s="22" t="str">
        <f t="shared" si="26"/>
        <v/>
      </c>
      <c r="BD22" s="23"/>
      <c r="BE22" s="45" t="str">
        <f t="shared" si="27"/>
        <v/>
      </c>
      <c r="BF22" s="25"/>
      <c r="BG22" s="45" t="str">
        <f t="shared" si="28"/>
        <v/>
      </c>
      <c r="BH22" s="20">
        <v>0.0</v>
      </c>
    </row>
    <row r="23">
      <c r="A23" s="20" t="str">
        <f t="shared" si="1"/>
        <v/>
      </c>
      <c r="B23" s="21"/>
      <c r="C23" s="22" t="str">
        <f t="shared" si="2"/>
        <v/>
      </c>
      <c r="D23" s="20"/>
      <c r="E23" s="20"/>
      <c r="F23" s="55"/>
      <c r="G23" s="5"/>
      <c r="H23" s="22" t="str">
        <f t="shared" si="3"/>
        <v/>
      </c>
      <c r="I23" s="23"/>
      <c r="J23" s="45" t="str">
        <f t="shared" si="29"/>
        <v/>
      </c>
      <c r="K23" s="25"/>
      <c r="L23" s="45" t="str">
        <f t="shared" si="30"/>
        <v/>
      </c>
      <c r="M23" s="29" t="str">
        <f t="shared" si="4"/>
        <v/>
      </c>
      <c r="N23" s="29">
        <f t="shared" si="5"/>
        <v>0</v>
      </c>
      <c r="O23" s="29">
        <f t="shared" si="6"/>
        <v>0</v>
      </c>
      <c r="P23" s="22" t="str">
        <f t="shared" si="7"/>
        <v/>
      </c>
      <c r="Q23" s="23"/>
      <c r="R23" s="45" t="str">
        <f t="shared" si="8"/>
        <v/>
      </c>
      <c r="S23" s="25"/>
      <c r="T23" s="45" t="str">
        <f t="shared" si="9"/>
        <v/>
      </c>
      <c r="U23" s="47"/>
      <c r="V23" s="22" t="str">
        <f t="shared" si="10"/>
        <v/>
      </c>
      <c r="W23" s="23"/>
      <c r="X23" s="45" t="str">
        <f t="shared" si="11"/>
        <v/>
      </c>
      <c r="Y23" s="25"/>
      <c r="Z23" s="45" t="str">
        <f t="shared" si="12"/>
        <v/>
      </c>
      <c r="AA23" s="47"/>
      <c r="AB23" s="22" t="str">
        <f t="shared" si="13"/>
        <v/>
      </c>
      <c r="AC23" s="23"/>
      <c r="AD23" s="45" t="str">
        <f t="shared" si="14"/>
        <v/>
      </c>
      <c r="AE23" s="25"/>
      <c r="AF23" s="45" t="str">
        <f t="shared" si="15"/>
        <v/>
      </c>
      <c r="AG23" s="20">
        <v>0.0</v>
      </c>
      <c r="AH23" s="5"/>
      <c r="AI23" s="22" t="str">
        <f t="shared" si="16"/>
        <v/>
      </c>
      <c r="AJ23" s="23"/>
      <c r="AK23" s="45" t="str">
        <f t="shared" si="31"/>
        <v/>
      </c>
      <c r="AL23" s="25"/>
      <c r="AM23" s="45" t="str">
        <f t="shared" si="32"/>
        <v/>
      </c>
      <c r="AN23" s="29" t="str">
        <f t="shared" si="17"/>
        <v/>
      </c>
      <c r="AO23" s="29">
        <f t="shared" si="18"/>
        <v>0</v>
      </c>
      <c r="AP23" s="29">
        <f t="shared" si="19"/>
        <v>0</v>
      </c>
      <c r="AQ23" s="22" t="str">
        <f t="shared" si="20"/>
        <v/>
      </c>
      <c r="AR23" s="23"/>
      <c r="AS23" s="45" t="str">
        <f t="shared" si="21"/>
        <v/>
      </c>
      <c r="AT23" s="25"/>
      <c r="AU23" s="45" t="str">
        <f t="shared" si="22"/>
        <v/>
      </c>
      <c r="AV23" s="47"/>
      <c r="AW23" s="22" t="str">
        <f t="shared" si="23"/>
        <v/>
      </c>
      <c r="AX23" s="23"/>
      <c r="AY23" s="45" t="str">
        <f t="shared" si="24"/>
        <v/>
      </c>
      <c r="AZ23" s="25"/>
      <c r="BA23" s="45" t="str">
        <f t="shared" si="25"/>
        <v/>
      </c>
      <c r="BB23" s="47"/>
      <c r="BC23" s="22" t="str">
        <f t="shared" si="26"/>
        <v/>
      </c>
      <c r="BD23" s="23"/>
      <c r="BE23" s="45" t="str">
        <f t="shared" si="27"/>
        <v/>
      </c>
      <c r="BF23" s="25"/>
      <c r="BG23" s="45" t="str">
        <f t="shared" si="28"/>
        <v/>
      </c>
      <c r="BH23" s="20">
        <v>0.0</v>
      </c>
    </row>
    <row r="24">
      <c r="A24" s="20" t="str">
        <f t="shared" si="1"/>
        <v/>
      </c>
      <c r="B24" s="21"/>
      <c r="C24" s="22" t="str">
        <f t="shared" si="2"/>
        <v/>
      </c>
      <c r="D24" s="20"/>
      <c r="E24" s="20"/>
      <c r="F24" s="55"/>
      <c r="G24" s="5"/>
      <c r="H24" s="22" t="str">
        <f t="shared" si="3"/>
        <v/>
      </c>
      <c r="I24" s="23"/>
      <c r="J24" s="45" t="str">
        <f t="shared" si="29"/>
        <v/>
      </c>
      <c r="K24" s="25"/>
      <c r="L24" s="45" t="str">
        <f t="shared" si="30"/>
        <v/>
      </c>
      <c r="M24" s="29" t="str">
        <f t="shared" si="4"/>
        <v/>
      </c>
      <c r="N24" s="29">
        <f t="shared" si="5"/>
        <v>0</v>
      </c>
      <c r="O24" s="29">
        <f t="shared" si="6"/>
        <v>0</v>
      </c>
      <c r="P24" s="22" t="str">
        <f t="shared" si="7"/>
        <v/>
      </c>
      <c r="Q24" s="23"/>
      <c r="R24" s="45" t="str">
        <f t="shared" si="8"/>
        <v/>
      </c>
      <c r="S24" s="25"/>
      <c r="T24" s="45" t="str">
        <f t="shared" si="9"/>
        <v/>
      </c>
      <c r="U24" s="47"/>
      <c r="V24" s="22" t="str">
        <f t="shared" si="10"/>
        <v/>
      </c>
      <c r="W24" s="23"/>
      <c r="X24" s="45" t="str">
        <f t="shared" si="11"/>
        <v/>
      </c>
      <c r="Y24" s="25"/>
      <c r="Z24" s="45" t="str">
        <f t="shared" si="12"/>
        <v/>
      </c>
      <c r="AA24" s="47"/>
      <c r="AB24" s="22" t="str">
        <f t="shared" si="13"/>
        <v/>
      </c>
      <c r="AC24" s="23"/>
      <c r="AD24" s="45" t="str">
        <f t="shared" si="14"/>
        <v/>
      </c>
      <c r="AE24" s="25"/>
      <c r="AF24" s="45" t="str">
        <f t="shared" si="15"/>
        <v/>
      </c>
      <c r="AG24" s="20">
        <v>0.0</v>
      </c>
      <c r="AH24" s="5"/>
      <c r="AI24" s="22" t="str">
        <f t="shared" si="16"/>
        <v/>
      </c>
      <c r="AJ24" s="23"/>
      <c r="AK24" s="45" t="str">
        <f t="shared" si="31"/>
        <v/>
      </c>
      <c r="AL24" s="25"/>
      <c r="AM24" s="45" t="str">
        <f t="shared" si="32"/>
        <v/>
      </c>
      <c r="AN24" s="29" t="str">
        <f t="shared" si="17"/>
        <v/>
      </c>
      <c r="AO24" s="29">
        <f t="shared" si="18"/>
        <v>0</v>
      </c>
      <c r="AP24" s="29">
        <f t="shared" si="19"/>
        <v>0</v>
      </c>
      <c r="AQ24" s="22" t="str">
        <f t="shared" si="20"/>
        <v/>
      </c>
      <c r="AR24" s="23"/>
      <c r="AS24" s="45" t="str">
        <f t="shared" si="21"/>
        <v/>
      </c>
      <c r="AT24" s="25"/>
      <c r="AU24" s="45" t="str">
        <f t="shared" si="22"/>
        <v/>
      </c>
      <c r="AV24" s="47"/>
      <c r="AW24" s="22" t="str">
        <f t="shared" si="23"/>
        <v/>
      </c>
      <c r="AX24" s="23"/>
      <c r="AY24" s="45" t="str">
        <f t="shared" si="24"/>
        <v/>
      </c>
      <c r="AZ24" s="25"/>
      <c r="BA24" s="45" t="str">
        <f t="shared" si="25"/>
        <v/>
      </c>
      <c r="BB24" s="47"/>
      <c r="BC24" s="22" t="str">
        <f t="shared" si="26"/>
        <v/>
      </c>
      <c r="BD24" s="23"/>
      <c r="BE24" s="45" t="str">
        <f t="shared" si="27"/>
        <v/>
      </c>
      <c r="BF24" s="25"/>
      <c r="BG24" s="45" t="str">
        <f t="shared" si="28"/>
        <v/>
      </c>
      <c r="BH24" s="20">
        <v>0.0</v>
      </c>
    </row>
    <row r="25">
      <c r="A25" s="20" t="str">
        <f t="shared" si="1"/>
        <v/>
      </c>
      <c r="B25" s="21"/>
      <c r="C25" s="22" t="str">
        <f t="shared" si="2"/>
        <v/>
      </c>
      <c r="D25" s="20"/>
      <c r="E25" s="20"/>
      <c r="F25" s="55"/>
      <c r="G25" s="5"/>
      <c r="H25" s="22" t="str">
        <f t="shared" si="3"/>
        <v/>
      </c>
      <c r="I25" s="23"/>
      <c r="J25" s="45" t="str">
        <f t="shared" si="29"/>
        <v/>
      </c>
      <c r="K25" s="25"/>
      <c r="L25" s="45" t="str">
        <f t="shared" si="30"/>
        <v/>
      </c>
      <c r="M25" s="29" t="str">
        <f t="shared" si="4"/>
        <v/>
      </c>
      <c r="N25" s="29">
        <f t="shared" si="5"/>
        <v>0</v>
      </c>
      <c r="O25" s="29">
        <f t="shared" si="6"/>
        <v>0</v>
      </c>
      <c r="P25" s="22" t="str">
        <f t="shared" si="7"/>
        <v/>
      </c>
      <c r="Q25" s="23"/>
      <c r="R25" s="45" t="str">
        <f t="shared" si="8"/>
        <v/>
      </c>
      <c r="S25" s="25"/>
      <c r="T25" s="45" t="str">
        <f t="shared" si="9"/>
        <v/>
      </c>
      <c r="U25" s="47"/>
      <c r="V25" s="22" t="str">
        <f t="shared" si="10"/>
        <v/>
      </c>
      <c r="W25" s="23"/>
      <c r="X25" s="45" t="str">
        <f t="shared" si="11"/>
        <v/>
      </c>
      <c r="Y25" s="25"/>
      <c r="Z25" s="45" t="str">
        <f t="shared" si="12"/>
        <v/>
      </c>
      <c r="AA25" s="47"/>
      <c r="AB25" s="22" t="str">
        <f t="shared" si="13"/>
        <v/>
      </c>
      <c r="AC25" s="23"/>
      <c r="AD25" s="45" t="str">
        <f t="shared" si="14"/>
        <v/>
      </c>
      <c r="AE25" s="25"/>
      <c r="AF25" s="45" t="str">
        <f t="shared" si="15"/>
        <v/>
      </c>
      <c r="AG25" s="20">
        <v>0.0</v>
      </c>
      <c r="AH25" s="5"/>
      <c r="AI25" s="22" t="str">
        <f t="shared" si="16"/>
        <v/>
      </c>
      <c r="AJ25" s="23"/>
      <c r="AK25" s="45" t="str">
        <f t="shared" si="31"/>
        <v/>
      </c>
      <c r="AL25" s="25"/>
      <c r="AM25" s="45" t="str">
        <f t="shared" si="32"/>
        <v/>
      </c>
      <c r="AN25" s="29" t="str">
        <f t="shared" si="17"/>
        <v/>
      </c>
      <c r="AO25" s="29">
        <f t="shared" si="18"/>
        <v>0</v>
      </c>
      <c r="AP25" s="29">
        <f t="shared" si="19"/>
        <v>0</v>
      </c>
      <c r="AQ25" s="22" t="str">
        <f t="shared" si="20"/>
        <v/>
      </c>
      <c r="AR25" s="23"/>
      <c r="AS25" s="45" t="str">
        <f t="shared" si="21"/>
        <v/>
      </c>
      <c r="AT25" s="25"/>
      <c r="AU25" s="45" t="str">
        <f t="shared" si="22"/>
        <v/>
      </c>
      <c r="AV25" s="47"/>
      <c r="AW25" s="22" t="str">
        <f t="shared" si="23"/>
        <v/>
      </c>
      <c r="AX25" s="23"/>
      <c r="AY25" s="45" t="str">
        <f t="shared" si="24"/>
        <v/>
      </c>
      <c r="AZ25" s="25"/>
      <c r="BA25" s="45" t="str">
        <f t="shared" si="25"/>
        <v/>
      </c>
      <c r="BB25" s="47"/>
      <c r="BC25" s="22" t="str">
        <f t="shared" si="26"/>
        <v/>
      </c>
      <c r="BD25" s="23"/>
      <c r="BE25" s="45" t="str">
        <f t="shared" si="27"/>
        <v/>
      </c>
      <c r="BF25" s="25"/>
      <c r="BG25" s="45" t="str">
        <f t="shared" si="28"/>
        <v/>
      </c>
      <c r="BH25" s="20">
        <v>0.0</v>
      </c>
    </row>
    <row r="26">
      <c r="A26" s="20" t="str">
        <f t="shared" si="1"/>
        <v/>
      </c>
      <c r="B26" s="21"/>
      <c r="C26" s="22" t="str">
        <f t="shared" si="2"/>
        <v/>
      </c>
      <c r="D26" s="20"/>
      <c r="E26" s="20"/>
      <c r="F26" s="55"/>
      <c r="G26" s="5"/>
      <c r="H26" s="22" t="str">
        <f t="shared" si="3"/>
        <v/>
      </c>
      <c r="I26" s="23"/>
      <c r="J26" s="45" t="str">
        <f t="shared" si="29"/>
        <v/>
      </c>
      <c r="K26" s="25"/>
      <c r="L26" s="45" t="str">
        <f t="shared" si="30"/>
        <v/>
      </c>
      <c r="M26" s="29" t="str">
        <f t="shared" si="4"/>
        <v/>
      </c>
      <c r="N26" s="29">
        <f t="shared" si="5"/>
        <v>0</v>
      </c>
      <c r="O26" s="29">
        <f t="shared" si="6"/>
        <v>0</v>
      </c>
      <c r="P26" s="22" t="str">
        <f t="shared" si="7"/>
        <v/>
      </c>
      <c r="Q26" s="23"/>
      <c r="R26" s="45" t="str">
        <f t="shared" si="8"/>
        <v/>
      </c>
      <c r="S26" s="25"/>
      <c r="T26" s="45" t="str">
        <f t="shared" si="9"/>
        <v/>
      </c>
      <c r="U26" s="47"/>
      <c r="V26" s="22" t="str">
        <f t="shared" si="10"/>
        <v/>
      </c>
      <c r="W26" s="23"/>
      <c r="X26" s="45" t="str">
        <f t="shared" si="11"/>
        <v/>
      </c>
      <c r="Y26" s="25"/>
      <c r="Z26" s="45" t="str">
        <f t="shared" si="12"/>
        <v/>
      </c>
      <c r="AA26" s="47"/>
      <c r="AB26" s="22" t="str">
        <f t="shared" si="13"/>
        <v/>
      </c>
      <c r="AC26" s="23"/>
      <c r="AD26" s="45" t="str">
        <f t="shared" si="14"/>
        <v/>
      </c>
      <c r="AE26" s="25"/>
      <c r="AF26" s="45" t="str">
        <f t="shared" si="15"/>
        <v/>
      </c>
      <c r="AG26" s="20">
        <v>0.0</v>
      </c>
      <c r="AH26" s="5"/>
      <c r="AI26" s="22" t="str">
        <f t="shared" si="16"/>
        <v/>
      </c>
      <c r="AJ26" s="23"/>
      <c r="AK26" s="45" t="str">
        <f t="shared" si="31"/>
        <v/>
      </c>
      <c r="AL26" s="25"/>
      <c r="AM26" s="45" t="str">
        <f t="shared" si="32"/>
        <v/>
      </c>
      <c r="AN26" s="29" t="str">
        <f t="shared" si="17"/>
        <v/>
      </c>
      <c r="AO26" s="29">
        <f t="shared" si="18"/>
        <v>0</v>
      </c>
      <c r="AP26" s="29">
        <f t="shared" si="19"/>
        <v>0</v>
      </c>
      <c r="AQ26" s="22" t="str">
        <f t="shared" si="20"/>
        <v/>
      </c>
      <c r="AR26" s="23"/>
      <c r="AS26" s="45" t="str">
        <f t="shared" si="21"/>
        <v/>
      </c>
      <c r="AT26" s="25"/>
      <c r="AU26" s="45" t="str">
        <f t="shared" si="22"/>
        <v/>
      </c>
      <c r="AV26" s="47"/>
      <c r="AW26" s="22" t="str">
        <f t="shared" si="23"/>
        <v/>
      </c>
      <c r="AX26" s="23"/>
      <c r="AY26" s="45" t="str">
        <f t="shared" si="24"/>
        <v/>
      </c>
      <c r="AZ26" s="25"/>
      <c r="BA26" s="45" t="str">
        <f t="shared" si="25"/>
        <v/>
      </c>
      <c r="BB26" s="47"/>
      <c r="BC26" s="22" t="str">
        <f t="shared" si="26"/>
        <v/>
      </c>
      <c r="BD26" s="23"/>
      <c r="BE26" s="45" t="str">
        <f t="shared" si="27"/>
        <v/>
      </c>
      <c r="BF26" s="25"/>
      <c r="BG26" s="45" t="str">
        <f t="shared" si="28"/>
        <v/>
      </c>
      <c r="BH26" s="20">
        <v>0.0</v>
      </c>
    </row>
    <row r="27">
      <c r="A27" s="20" t="str">
        <f t="shared" si="1"/>
        <v/>
      </c>
      <c r="B27" s="21"/>
      <c r="C27" s="22" t="str">
        <f t="shared" si="2"/>
        <v/>
      </c>
      <c r="D27" s="20"/>
      <c r="E27" s="20"/>
      <c r="F27" s="55"/>
      <c r="G27" s="5"/>
      <c r="H27" s="22" t="str">
        <f t="shared" si="3"/>
        <v/>
      </c>
      <c r="I27" s="23"/>
      <c r="J27" s="45" t="str">
        <f t="shared" si="29"/>
        <v/>
      </c>
      <c r="K27" s="25"/>
      <c r="L27" s="45" t="str">
        <f t="shared" si="30"/>
        <v/>
      </c>
      <c r="M27" s="29" t="str">
        <f t="shared" si="4"/>
        <v/>
      </c>
      <c r="N27" s="29">
        <f t="shared" si="5"/>
        <v>0</v>
      </c>
      <c r="O27" s="29">
        <f t="shared" si="6"/>
        <v>0</v>
      </c>
      <c r="P27" s="22" t="str">
        <f t="shared" si="7"/>
        <v/>
      </c>
      <c r="Q27" s="23"/>
      <c r="R27" s="45" t="str">
        <f t="shared" si="8"/>
        <v/>
      </c>
      <c r="S27" s="25"/>
      <c r="T27" s="45" t="str">
        <f t="shared" si="9"/>
        <v/>
      </c>
      <c r="U27" s="47"/>
      <c r="V27" s="22" t="str">
        <f t="shared" si="10"/>
        <v/>
      </c>
      <c r="W27" s="23"/>
      <c r="X27" s="45" t="str">
        <f t="shared" si="11"/>
        <v/>
      </c>
      <c r="Y27" s="25"/>
      <c r="Z27" s="45" t="str">
        <f t="shared" si="12"/>
        <v/>
      </c>
      <c r="AA27" s="47"/>
      <c r="AB27" s="22" t="str">
        <f t="shared" si="13"/>
        <v/>
      </c>
      <c r="AC27" s="23"/>
      <c r="AD27" s="45" t="str">
        <f t="shared" si="14"/>
        <v/>
      </c>
      <c r="AE27" s="25"/>
      <c r="AF27" s="45" t="str">
        <f t="shared" si="15"/>
        <v/>
      </c>
      <c r="AG27" s="20">
        <v>0.0</v>
      </c>
      <c r="AH27" s="5"/>
      <c r="AI27" s="22" t="str">
        <f t="shared" si="16"/>
        <v/>
      </c>
      <c r="AJ27" s="23"/>
      <c r="AK27" s="45" t="str">
        <f t="shared" si="31"/>
        <v/>
      </c>
      <c r="AL27" s="25"/>
      <c r="AM27" s="45" t="str">
        <f t="shared" si="32"/>
        <v/>
      </c>
      <c r="AN27" s="29" t="str">
        <f t="shared" si="17"/>
        <v/>
      </c>
      <c r="AO27" s="29">
        <f t="shared" si="18"/>
        <v>0</v>
      </c>
      <c r="AP27" s="29">
        <f t="shared" si="19"/>
        <v>0</v>
      </c>
      <c r="AQ27" s="22" t="str">
        <f t="shared" si="20"/>
        <v/>
      </c>
      <c r="AR27" s="23"/>
      <c r="AS27" s="45" t="str">
        <f t="shared" si="21"/>
        <v/>
      </c>
      <c r="AT27" s="25"/>
      <c r="AU27" s="45" t="str">
        <f t="shared" si="22"/>
        <v/>
      </c>
      <c r="AV27" s="47"/>
      <c r="AW27" s="22" t="str">
        <f t="shared" si="23"/>
        <v/>
      </c>
      <c r="AX27" s="23"/>
      <c r="AY27" s="45" t="str">
        <f t="shared" si="24"/>
        <v/>
      </c>
      <c r="AZ27" s="25"/>
      <c r="BA27" s="45" t="str">
        <f t="shared" si="25"/>
        <v/>
      </c>
      <c r="BB27" s="47"/>
      <c r="BC27" s="22" t="str">
        <f t="shared" si="26"/>
        <v/>
      </c>
      <c r="BD27" s="23"/>
      <c r="BE27" s="45" t="str">
        <f t="shared" si="27"/>
        <v/>
      </c>
      <c r="BF27" s="25"/>
      <c r="BG27" s="45" t="str">
        <f t="shared" si="28"/>
        <v/>
      </c>
      <c r="BH27" s="20">
        <v>0.0</v>
      </c>
    </row>
    <row r="28">
      <c r="A28" s="20" t="str">
        <f t="shared" si="1"/>
        <v/>
      </c>
      <c r="B28" s="21"/>
      <c r="C28" s="22" t="str">
        <f t="shared" si="2"/>
        <v/>
      </c>
      <c r="D28" s="20"/>
      <c r="E28" s="20"/>
      <c r="F28" s="55"/>
      <c r="G28" s="5"/>
      <c r="H28" s="22" t="str">
        <f t="shared" si="3"/>
        <v/>
      </c>
      <c r="I28" s="23"/>
      <c r="J28" s="45" t="str">
        <f t="shared" si="29"/>
        <v/>
      </c>
      <c r="K28" s="25"/>
      <c r="L28" s="45" t="str">
        <f t="shared" si="30"/>
        <v/>
      </c>
      <c r="M28" s="29" t="str">
        <f t="shared" si="4"/>
        <v/>
      </c>
      <c r="N28" s="29">
        <f t="shared" si="5"/>
        <v>0</v>
      </c>
      <c r="O28" s="29">
        <f t="shared" si="6"/>
        <v>0</v>
      </c>
      <c r="P28" s="22" t="str">
        <f t="shared" si="7"/>
        <v/>
      </c>
      <c r="Q28" s="23"/>
      <c r="R28" s="45" t="str">
        <f t="shared" si="8"/>
        <v/>
      </c>
      <c r="S28" s="25"/>
      <c r="T28" s="45" t="str">
        <f t="shared" si="9"/>
        <v/>
      </c>
      <c r="U28" s="47"/>
      <c r="V28" s="22" t="str">
        <f t="shared" si="10"/>
        <v/>
      </c>
      <c r="W28" s="23"/>
      <c r="X28" s="45" t="str">
        <f t="shared" si="11"/>
        <v/>
      </c>
      <c r="Y28" s="25"/>
      <c r="Z28" s="45" t="str">
        <f t="shared" si="12"/>
        <v/>
      </c>
      <c r="AA28" s="47"/>
      <c r="AB28" s="22" t="str">
        <f t="shared" si="13"/>
        <v/>
      </c>
      <c r="AC28" s="23"/>
      <c r="AD28" s="45" t="str">
        <f t="shared" si="14"/>
        <v/>
      </c>
      <c r="AE28" s="25"/>
      <c r="AF28" s="45" t="str">
        <f t="shared" si="15"/>
        <v/>
      </c>
      <c r="AG28" s="20">
        <v>0.0</v>
      </c>
      <c r="AH28" s="5"/>
      <c r="AI28" s="22" t="str">
        <f t="shared" si="16"/>
        <v/>
      </c>
      <c r="AJ28" s="23"/>
      <c r="AK28" s="45" t="str">
        <f t="shared" si="31"/>
        <v/>
      </c>
      <c r="AL28" s="25"/>
      <c r="AM28" s="45" t="str">
        <f t="shared" si="32"/>
        <v/>
      </c>
      <c r="AN28" s="29" t="str">
        <f t="shared" si="17"/>
        <v/>
      </c>
      <c r="AO28" s="29">
        <f t="shared" si="18"/>
        <v>0</v>
      </c>
      <c r="AP28" s="29">
        <f t="shared" si="19"/>
        <v>0</v>
      </c>
      <c r="AQ28" s="22" t="str">
        <f t="shared" si="20"/>
        <v/>
      </c>
      <c r="AR28" s="23"/>
      <c r="AS28" s="45" t="str">
        <f t="shared" si="21"/>
        <v/>
      </c>
      <c r="AT28" s="25"/>
      <c r="AU28" s="45" t="str">
        <f t="shared" si="22"/>
        <v/>
      </c>
      <c r="AV28" s="47"/>
      <c r="AW28" s="22" t="str">
        <f t="shared" si="23"/>
        <v/>
      </c>
      <c r="AX28" s="23"/>
      <c r="AY28" s="45" t="str">
        <f t="shared" si="24"/>
        <v/>
      </c>
      <c r="AZ28" s="25"/>
      <c r="BA28" s="45" t="str">
        <f t="shared" si="25"/>
        <v/>
      </c>
      <c r="BB28" s="47"/>
      <c r="BC28" s="22" t="str">
        <f t="shared" si="26"/>
        <v/>
      </c>
      <c r="BD28" s="23"/>
      <c r="BE28" s="45" t="str">
        <f t="shared" si="27"/>
        <v/>
      </c>
      <c r="BF28" s="25"/>
      <c r="BG28" s="45" t="str">
        <f t="shared" si="28"/>
        <v/>
      </c>
      <c r="BH28" s="20">
        <v>0.0</v>
      </c>
    </row>
    <row r="29">
      <c r="A29" s="20" t="str">
        <f t="shared" si="1"/>
        <v/>
      </c>
      <c r="B29" s="21"/>
      <c r="C29" s="22" t="str">
        <f t="shared" si="2"/>
        <v/>
      </c>
      <c r="D29" s="20"/>
      <c r="E29" s="20"/>
      <c r="F29" s="55"/>
      <c r="G29" s="5"/>
      <c r="H29" s="22" t="str">
        <f t="shared" si="3"/>
        <v/>
      </c>
      <c r="I29" s="23"/>
      <c r="J29" s="45" t="str">
        <f t="shared" si="29"/>
        <v/>
      </c>
      <c r="K29" s="25"/>
      <c r="L29" s="45" t="str">
        <f t="shared" si="30"/>
        <v/>
      </c>
      <c r="M29" s="29" t="str">
        <f t="shared" si="4"/>
        <v/>
      </c>
      <c r="N29" s="29">
        <f t="shared" si="5"/>
        <v>0</v>
      </c>
      <c r="O29" s="29">
        <f t="shared" si="6"/>
        <v>0</v>
      </c>
      <c r="P29" s="22" t="str">
        <f t="shared" si="7"/>
        <v/>
      </c>
      <c r="Q29" s="23"/>
      <c r="R29" s="45" t="str">
        <f t="shared" si="8"/>
        <v/>
      </c>
      <c r="S29" s="25"/>
      <c r="T29" s="45" t="str">
        <f t="shared" si="9"/>
        <v/>
      </c>
      <c r="U29" s="47"/>
      <c r="V29" s="22" t="str">
        <f t="shared" si="10"/>
        <v/>
      </c>
      <c r="W29" s="23"/>
      <c r="X29" s="45" t="str">
        <f t="shared" si="11"/>
        <v/>
      </c>
      <c r="Y29" s="25"/>
      <c r="Z29" s="45" t="str">
        <f t="shared" si="12"/>
        <v/>
      </c>
      <c r="AA29" s="47"/>
      <c r="AB29" s="22" t="str">
        <f t="shared" si="13"/>
        <v/>
      </c>
      <c r="AC29" s="23"/>
      <c r="AD29" s="45" t="str">
        <f t="shared" si="14"/>
        <v/>
      </c>
      <c r="AE29" s="25"/>
      <c r="AF29" s="45" t="str">
        <f t="shared" si="15"/>
        <v/>
      </c>
      <c r="AG29" s="20">
        <v>0.0</v>
      </c>
      <c r="AH29" s="5"/>
      <c r="AI29" s="22" t="str">
        <f t="shared" si="16"/>
        <v/>
      </c>
      <c r="AJ29" s="23"/>
      <c r="AK29" s="45" t="str">
        <f t="shared" si="31"/>
        <v/>
      </c>
      <c r="AL29" s="25"/>
      <c r="AM29" s="45" t="str">
        <f t="shared" si="32"/>
        <v/>
      </c>
      <c r="AN29" s="29" t="str">
        <f t="shared" si="17"/>
        <v/>
      </c>
      <c r="AO29" s="29">
        <f t="shared" si="18"/>
        <v>0</v>
      </c>
      <c r="AP29" s="29">
        <f t="shared" si="19"/>
        <v>0</v>
      </c>
      <c r="AQ29" s="22" t="str">
        <f t="shared" si="20"/>
        <v/>
      </c>
      <c r="AR29" s="23"/>
      <c r="AS29" s="45" t="str">
        <f t="shared" si="21"/>
        <v/>
      </c>
      <c r="AT29" s="25"/>
      <c r="AU29" s="45" t="str">
        <f t="shared" si="22"/>
        <v/>
      </c>
      <c r="AV29" s="47"/>
      <c r="AW29" s="22" t="str">
        <f t="shared" si="23"/>
        <v/>
      </c>
      <c r="AX29" s="23"/>
      <c r="AY29" s="45" t="str">
        <f t="shared" si="24"/>
        <v/>
      </c>
      <c r="AZ29" s="25"/>
      <c r="BA29" s="45" t="str">
        <f t="shared" si="25"/>
        <v/>
      </c>
      <c r="BB29" s="47"/>
      <c r="BC29" s="22" t="str">
        <f t="shared" si="26"/>
        <v/>
      </c>
      <c r="BD29" s="23"/>
      <c r="BE29" s="45" t="str">
        <f t="shared" si="27"/>
        <v/>
      </c>
      <c r="BF29" s="25"/>
      <c r="BG29" s="45" t="str">
        <f t="shared" si="28"/>
        <v/>
      </c>
      <c r="BH29" s="20">
        <v>0.0</v>
      </c>
    </row>
    <row r="30">
      <c r="A30" s="20" t="str">
        <f t="shared" si="1"/>
        <v/>
      </c>
      <c r="B30" s="21"/>
      <c r="C30" s="22" t="str">
        <f t="shared" si="2"/>
        <v/>
      </c>
      <c r="D30" s="20"/>
      <c r="E30" s="20"/>
      <c r="F30" s="55"/>
      <c r="G30" s="5"/>
      <c r="H30" s="22" t="str">
        <f t="shared" si="3"/>
        <v/>
      </c>
      <c r="I30" s="23"/>
      <c r="J30" s="45" t="str">
        <f t="shared" si="29"/>
        <v/>
      </c>
      <c r="K30" s="25"/>
      <c r="L30" s="45" t="str">
        <f t="shared" si="30"/>
        <v/>
      </c>
      <c r="M30" s="29" t="str">
        <f t="shared" si="4"/>
        <v/>
      </c>
      <c r="N30" s="29">
        <f t="shared" si="5"/>
        <v>0</v>
      </c>
      <c r="O30" s="29">
        <f t="shared" si="6"/>
        <v>0</v>
      </c>
      <c r="P30" s="22" t="str">
        <f t="shared" si="7"/>
        <v/>
      </c>
      <c r="Q30" s="23"/>
      <c r="R30" s="45" t="str">
        <f t="shared" si="8"/>
        <v/>
      </c>
      <c r="S30" s="25"/>
      <c r="T30" s="45" t="str">
        <f t="shared" si="9"/>
        <v/>
      </c>
      <c r="U30" s="47"/>
      <c r="V30" s="22" t="str">
        <f t="shared" si="10"/>
        <v/>
      </c>
      <c r="W30" s="23"/>
      <c r="X30" s="45" t="str">
        <f t="shared" si="11"/>
        <v/>
      </c>
      <c r="Y30" s="25"/>
      <c r="Z30" s="45" t="str">
        <f t="shared" si="12"/>
        <v/>
      </c>
      <c r="AA30" s="47"/>
      <c r="AB30" s="22" t="str">
        <f t="shared" si="13"/>
        <v/>
      </c>
      <c r="AC30" s="23"/>
      <c r="AD30" s="45" t="str">
        <f t="shared" si="14"/>
        <v/>
      </c>
      <c r="AE30" s="25"/>
      <c r="AF30" s="45" t="str">
        <f t="shared" si="15"/>
        <v/>
      </c>
      <c r="AG30" s="20">
        <v>0.0</v>
      </c>
      <c r="AH30" s="5"/>
      <c r="AI30" s="22" t="str">
        <f t="shared" si="16"/>
        <v/>
      </c>
      <c r="AJ30" s="23"/>
      <c r="AK30" s="45" t="str">
        <f t="shared" si="31"/>
        <v/>
      </c>
      <c r="AL30" s="25"/>
      <c r="AM30" s="45" t="str">
        <f t="shared" si="32"/>
        <v/>
      </c>
      <c r="AN30" s="29" t="str">
        <f t="shared" si="17"/>
        <v/>
      </c>
      <c r="AO30" s="29">
        <f t="shared" si="18"/>
        <v>0</v>
      </c>
      <c r="AP30" s="29">
        <f t="shared" si="19"/>
        <v>0</v>
      </c>
      <c r="AQ30" s="22" t="str">
        <f t="shared" si="20"/>
        <v/>
      </c>
      <c r="AR30" s="23"/>
      <c r="AS30" s="45" t="str">
        <f t="shared" si="21"/>
        <v/>
      </c>
      <c r="AT30" s="25"/>
      <c r="AU30" s="45" t="str">
        <f t="shared" si="22"/>
        <v/>
      </c>
      <c r="AV30" s="47"/>
      <c r="AW30" s="22" t="str">
        <f t="shared" si="23"/>
        <v/>
      </c>
      <c r="AX30" s="23"/>
      <c r="AY30" s="45" t="str">
        <f t="shared" si="24"/>
        <v/>
      </c>
      <c r="AZ30" s="25"/>
      <c r="BA30" s="45" t="str">
        <f t="shared" si="25"/>
        <v/>
      </c>
      <c r="BB30" s="47"/>
      <c r="BC30" s="22" t="str">
        <f t="shared" si="26"/>
        <v/>
      </c>
      <c r="BD30" s="23"/>
      <c r="BE30" s="45" t="str">
        <f t="shared" si="27"/>
        <v/>
      </c>
      <c r="BF30" s="25"/>
      <c r="BG30" s="45" t="str">
        <f t="shared" si="28"/>
        <v/>
      </c>
      <c r="BH30" s="20">
        <v>0.0</v>
      </c>
    </row>
  </sheetData>
  <mergeCells count="18">
    <mergeCell ref="A1:C1"/>
    <mergeCell ref="D1:F1"/>
    <mergeCell ref="G1:G2"/>
    <mergeCell ref="I1:O1"/>
    <mergeCell ref="P1:P2"/>
    <mergeCell ref="Q1:U1"/>
    <mergeCell ref="V1:V2"/>
    <mergeCell ref="AR1:AV1"/>
    <mergeCell ref="AX1:BB1"/>
    <mergeCell ref="BD1:BH1"/>
    <mergeCell ref="W1:AA1"/>
    <mergeCell ref="AB1:AB2"/>
    <mergeCell ref="AC1:AG1"/>
    <mergeCell ref="AH1:AH2"/>
    <mergeCell ref="AJ1:AP1"/>
    <mergeCell ref="AQ1:AQ2"/>
    <mergeCell ref="AW1:AW2"/>
    <mergeCell ref="BC1:BC2"/>
  </mergeCells>
  <dataValidations>
    <dataValidation type="list" allowBlank="1" showErrorMessage="1" sqref="D3:E30">
      <formula1>"1,2,3,4,5"</formula1>
    </dataValidation>
    <dataValidation type="list" allowBlank="1" showErrorMessage="1" sqref="F3:F30 I3:I30 Q3:Q30 W3:W30 AC3:AC30 AJ3:AJ30 AR3:AR30 AX3:AX30 BD3:BD30">
      <formula1>'List Personnel'!$A$2:$A$56</formula1>
    </dataValidation>
    <dataValidation type="list" allowBlank="1" showErrorMessage="1" sqref="U3:U30 AA3:AA30 AV3:AV30 BB3:BB30">
      <formula1>"5%,10%,20%,30%,40%,50%,60%,70%,80%,90%,100%"</formula1>
    </dataValidation>
    <dataValidation type="list" allowBlank="1" showErrorMessage="1" sqref="K3:K30 S3:S30 Y3:Y30 AE3:AE30 AL3:AL30 AT3:AT30 AZ3:AZ30 BF3:BF30">
      <formula1>"Ongoing,Done,Pending,Revision"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Col="1"/>
  <cols>
    <col customWidth="1" min="1" max="1" width="5.88"/>
    <col customWidth="1" min="2" max="2" width="22.75"/>
    <col customWidth="1" min="3" max="3" width="15.38"/>
    <col customWidth="1" min="4" max="4" width="18.5"/>
    <col customWidth="1" min="5" max="5" width="19.13"/>
    <col customWidth="1" min="6" max="6" width="19.75"/>
    <col customWidth="1" min="7" max="7" width="3.5"/>
    <col customWidth="1" min="9" max="9" width="22.5"/>
    <col customWidth="1" min="10" max="10" width="20.88"/>
    <col collapsed="1" customWidth="1" min="12" max="12" width="19.13"/>
    <col hidden="1" min="13" max="15" width="12.63" outlineLevel="1"/>
    <col collapsed="1" min="16" max="16" width="12.63"/>
    <col hidden="1" min="17" max="21" width="12.63" outlineLevel="1"/>
    <col collapsed="1" min="22" max="22" width="12.63"/>
    <col hidden="1" min="23" max="27" width="12.63" outlineLevel="1"/>
    <col collapsed="1" min="28" max="28" width="12.63"/>
    <col hidden="1" min="29" max="33" width="12.63" outlineLevel="1"/>
    <col customWidth="1" min="34" max="34" width="3.63"/>
    <col customWidth="1" min="36" max="36" width="22.5"/>
    <col customWidth="1" min="37" max="37" width="20.88"/>
    <col collapsed="1" customWidth="1" min="39" max="39" width="19.13"/>
    <col hidden="1" min="40" max="42" width="12.63" outlineLevel="1"/>
    <col collapsed="1" min="43" max="43" width="12.63"/>
    <col hidden="1" min="44" max="48" width="12.63" outlineLevel="1"/>
    <col collapsed="1" min="49" max="49" width="12.63"/>
    <col hidden="1" min="50" max="54" width="12.63" outlineLevel="1"/>
    <col collapsed="1" min="55" max="55" width="12.63"/>
    <col hidden="1" min="56" max="60" width="12.63" outlineLevel="1"/>
  </cols>
  <sheetData>
    <row r="1">
      <c r="A1" s="1" t="s">
        <v>0</v>
      </c>
      <c r="D1" s="4" t="s">
        <v>2</v>
      </c>
      <c r="G1" s="5"/>
      <c r="H1" s="7"/>
      <c r="I1" s="10" t="s">
        <v>5</v>
      </c>
      <c r="P1" s="12" t="s">
        <v>8</v>
      </c>
      <c r="Q1" s="12" t="s">
        <v>8</v>
      </c>
      <c r="V1" s="12" t="s">
        <v>10</v>
      </c>
      <c r="W1" s="12" t="s">
        <v>10</v>
      </c>
      <c r="AB1" s="13" t="s">
        <v>12</v>
      </c>
      <c r="AC1" s="1" t="s">
        <v>14</v>
      </c>
      <c r="AH1" s="5"/>
      <c r="AI1" s="7"/>
      <c r="AJ1" s="10" t="s">
        <v>17</v>
      </c>
      <c r="AQ1" s="12" t="s">
        <v>8</v>
      </c>
      <c r="AR1" s="12" t="s">
        <v>8</v>
      </c>
      <c r="AW1" s="12" t="s">
        <v>10</v>
      </c>
      <c r="AX1" s="12" t="s">
        <v>10</v>
      </c>
      <c r="BC1" s="13" t="s">
        <v>22</v>
      </c>
      <c r="BD1" s="4" t="s">
        <v>23</v>
      </c>
    </row>
    <row r="2">
      <c r="A2" s="15" t="s">
        <v>24</v>
      </c>
      <c r="B2" s="16" t="s">
        <v>25</v>
      </c>
      <c r="C2" s="16" t="s">
        <v>26</v>
      </c>
      <c r="D2" s="16" t="s">
        <v>33</v>
      </c>
      <c r="E2" s="16" t="s">
        <v>37</v>
      </c>
      <c r="F2" s="17" t="s">
        <v>31</v>
      </c>
      <c r="H2" s="15" t="s">
        <v>35</v>
      </c>
      <c r="I2" s="15" t="s">
        <v>36</v>
      </c>
      <c r="J2" s="17" t="s">
        <v>38</v>
      </c>
      <c r="K2" s="17" t="s">
        <v>39</v>
      </c>
      <c r="L2" s="17" t="s">
        <v>40</v>
      </c>
      <c r="M2" s="17" t="s">
        <v>42</v>
      </c>
      <c r="N2" s="17" t="s">
        <v>44</v>
      </c>
      <c r="O2" s="17" t="s">
        <v>45</v>
      </c>
      <c r="Q2" s="15" t="s">
        <v>46</v>
      </c>
      <c r="R2" s="15" t="s">
        <v>38</v>
      </c>
      <c r="S2" s="15" t="s">
        <v>39</v>
      </c>
      <c r="T2" s="15" t="s">
        <v>40</v>
      </c>
      <c r="U2" s="17" t="s">
        <v>47</v>
      </c>
      <c r="W2" s="15" t="s">
        <v>48</v>
      </c>
      <c r="X2" s="15" t="s">
        <v>38</v>
      </c>
      <c r="Y2" s="15" t="s">
        <v>39</v>
      </c>
      <c r="Z2" s="15" t="s">
        <v>40</v>
      </c>
      <c r="AA2" s="17" t="s">
        <v>47</v>
      </c>
      <c r="AC2" s="15" t="s">
        <v>49</v>
      </c>
      <c r="AD2" s="15" t="s">
        <v>38</v>
      </c>
      <c r="AE2" s="15" t="s">
        <v>39</v>
      </c>
      <c r="AF2" s="15" t="s">
        <v>40</v>
      </c>
      <c r="AG2" s="18" t="s">
        <v>51</v>
      </c>
      <c r="AI2" s="15" t="s">
        <v>35</v>
      </c>
      <c r="AJ2" s="15" t="s">
        <v>36</v>
      </c>
      <c r="AK2" s="17" t="s">
        <v>38</v>
      </c>
      <c r="AL2" s="17" t="s">
        <v>39</v>
      </c>
      <c r="AM2" s="17" t="s">
        <v>40</v>
      </c>
      <c r="AN2" s="17" t="s">
        <v>42</v>
      </c>
      <c r="AO2" s="17" t="s">
        <v>44</v>
      </c>
      <c r="AP2" s="17" t="s">
        <v>45</v>
      </c>
      <c r="AR2" s="15" t="s">
        <v>46</v>
      </c>
      <c r="AS2" s="15" t="s">
        <v>38</v>
      </c>
      <c r="AT2" s="15" t="s">
        <v>39</v>
      </c>
      <c r="AU2" s="15" t="s">
        <v>40</v>
      </c>
      <c r="AV2" s="17" t="s">
        <v>47</v>
      </c>
      <c r="AX2" s="15" t="s">
        <v>48</v>
      </c>
      <c r="AY2" s="15" t="s">
        <v>38</v>
      </c>
      <c r="AZ2" s="15" t="s">
        <v>39</v>
      </c>
      <c r="BA2" s="15" t="s">
        <v>40</v>
      </c>
      <c r="BB2" s="17" t="s">
        <v>47</v>
      </c>
      <c r="BD2" s="15" t="s">
        <v>49</v>
      </c>
      <c r="BE2" s="15" t="s">
        <v>38</v>
      </c>
      <c r="BF2" s="15" t="s">
        <v>39</v>
      </c>
      <c r="BG2" s="15" t="s">
        <v>40</v>
      </c>
      <c r="BH2" s="18" t="s">
        <v>51</v>
      </c>
    </row>
    <row r="3">
      <c r="A3" s="20">
        <f t="shared" ref="A3:A29" si="1">IF(B3="","",COUNTA($B$3:B3))</f>
        <v>1</v>
      </c>
      <c r="B3" s="21" t="s">
        <v>64</v>
      </c>
      <c r="C3" s="22" t="str">
        <f t="shared" ref="C3:C29" si="2">IF(B3="","",
"PDSSVB"&amp;TEXT(COUNTA($B$3:B3),"000"))</f>
        <v>PDSSVB001</v>
      </c>
      <c r="D3" s="20">
        <v>2.0</v>
      </c>
      <c r="E3" s="20">
        <v>2.0</v>
      </c>
      <c r="F3" s="23" t="s">
        <v>66</v>
      </c>
      <c r="G3" s="5"/>
      <c r="H3" s="22">
        <f t="shared" ref="H3:H29" si="3">D3</f>
        <v>2</v>
      </c>
      <c r="I3" s="23" t="s">
        <v>66</v>
      </c>
      <c r="J3" s="24">
        <v>46153.59166666667</v>
      </c>
      <c r="K3" s="25" t="s">
        <v>69</v>
      </c>
      <c r="L3" s="24">
        <v>46153.66111111111</v>
      </c>
      <c r="M3" s="29">
        <f t="shared" ref="M3:M29" si="4">IF(AND(J3&lt;&gt;"",L3&lt;&gt;""),(L3-J3)*1440,"")</f>
        <v>100</v>
      </c>
      <c r="N3" s="29">
        <f t="shared" ref="N3:N29" si="5">IF(
  INT(J3)=INT(L3),
  IF(
    AND(MOD(J3,1)&lt;TIME(12,0,0), MOD(L3,1)&gt;TIME(12,0,0)),
    60,
    0
  ),
  IF(
    MOD(L3,1)&lt;=TIME(12,0,0),
    (INT(L3)-INT(J3))*960,
    (INT(L3)-INT(J3))*1020
  )
)</f>
        <v>0</v>
      </c>
      <c r="O3" s="29">
        <f t="shared" ref="O3:O29" si="6">(M3-N3)/60</f>
        <v>1.666666667</v>
      </c>
      <c r="P3" s="22" t="str">
        <f t="shared" ref="P3:P29" si="7">S3</f>
        <v/>
      </c>
      <c r="Q3" s="23"/>
      <c r="R3" s="45" t="str">
        <f t="shared" ref="R3:R29" si="8">if(Q3&lt;&gt;"", if(R3="",NOW(),R3),"")</f>
        <v/>
      </c>
      <c r="S3" s="25"/>
      <c r="T3" s="45" t="str">
        <f t="shared" ref="T3:T29" si="9">if(S3="Done", if(T3="",NOW(),T3),"")</f>
        <v/>
      </c>
      <c r="U3" s="47"/>
      <c r="V3" s="22" t="str">
        <f t="shared" ref="V3:V29" si="10">Y3</f>
        <v/>
      </c>
      <c r="W3" s="23"/>
      <c r="X3" s="45" t="str">
        <f t="shared" ref="X3:X29" si="11">if(W3&lt;&gt;"", if(X3="",NOW(),X3),"")</f>
        <v/>
      </c>
      <c r="Y3" s="25"/>
      <c r="Z3" s="45" t="str">
        <f t="shared" ref="Z3:Z29" si="12">if(Y3="Done", if(Z3="",NOW(),Z3),"")</f>
        <v/>
      </c>
      <c r="AA3" s="47"/>
      <c r="AB3" s="22" t="str">
        <f t="shared" ref="AB3:AB29" si="13">AE3</f>
        <v>Done</v>
      </c>
      <c r="AC3" s="23" t="s">
        <v>77</v>
      </c>
      <c r="AD3" s="40">
        <f t="shared" ref="AD3:AD29" si="14">if(AC3&lt;&gt;"", if(AD3="",NOW(),AD3),"")</f>
        <v>46157.65238</v>
      </c>
      <c r="AE3" s="25" t="s">
        <v>69</v>
      </c>
      <c r="AF3" s="40">
        <f t="shared" ref="AF3:AF29" si="15">if(AE3="Done", if(AF3="",NOW(),AF3),"")</f>
        <v>46157.65881</v>
      </c>
      <c r="AG3" s="20">
        <v>1.0</v>
      </c>
      <c r="AH3" s="5"/>
      <c r="AI3" s="22">
        <f t="shared" ref="AI3:AI29" si="16">E3</f>
        <v>2</v>
      </c>
      <c r="AJ3" s="23" t="s">
        <v>78</v>
      </c>
      <c r="AK3" s="40">
        <f t="shared" ref="AK3:AK29" si="17">if(AJ3&lt;&gt;"", if(AK3="",NOW(),AK3),"")</f>
        <v>46160.48614</v>
      </c>
      <c r="AL3" s="25" t="s">
        <v>69</v>
      </c>
      <c r="AM3" s="40">
        <f t="shared" ref="AM3:AM29" si="18">if(AL3="Done", if(AM3="",NOW(),AM3),"")</f>
        <v>46161.44476</v>
      </c>
      <c r="AN3" s="29">
        <f t="shared" ref="AN3:AN29" si="19">IF(AND(AK3&lt;&gt;"",AM3&lt;&gt;""),(AM3-AK3)*1440,"")</f>
        <v>1380.41145</v>
      </c>
      <c r="AO3" s="29">
        <f t="shared" ref="AO3:AO29" si="20">IF(
  INT(AK3)=INT(AM3),
  IF(
    AND(MOD(AK3,1)&lt;TIME(12,0,0), MOD(AM3,1)&gt;TIME(12,0,0)),
    60,
    0
  ),
  IF(
    MOD(AM3,1)&lt;=TIME(12,0,0),
    (INT(AM3)-INT(AK3))*960,
    (INT(AM3)-INT(AK3))*1020
  )
)</f>
        <v>960</v>
      </c>
      <c r="AP3" s="29">
        <f t="shared" ref="AP3:AP29" si="21">(AN3-AO3)/60</f>
        <v>7.0068575</v>
      </c>
      <c r="AQ3" s="22" t="str">
        <f t="shared" ref="AQ3:AQ29" si="22">AT3</f>
        <v/>
      </c>
      <c r="AR3" s="23"/>
      <c r="AS3" s="45" t="str">
        <f t="shared" ref="AS3:AS29" si="23">if(AR3&lt;&gt;"", if(AS3="",NOW(),AS3),"")</f>
        <v/>
      </c>
      <c r="AT3" s="25"/>
      <c r="AU3" s="45" t="str">
        <f t="shared" ref="AU3:AU29" si="24">if(AT3="Done", if(AU3="",NOW(),AU3),"")</f>
        <v/>
      </c>
      <c r="AV3" s="47"/>
      <c r="AW3" s="22" t="str">
        <f t="shared" ref="AW3:AW29" si="25">AZ3</f>
        <v/>
      </c>
      <c r="AX3" s="23"/>
      <c r="AY3" s="45" t="str">
        <f t="shared" ref="AY3:AY29" si="26">if(AX3&lt;&gt;"", if(AY3="",NOW(),AY3),"")</f>
        <v/>
      </c>
      <c r="AZ3" s="25"/>
      <c r="BA3" s="45" t="str">
        <f t="shared" ref="BA3:BA29" si="27">if(AZ3="Done", if(BA3="",NOW(),BA3),"")</f>
        <v/>
      </c>
      <c r="BB3" s="47"/>
      <c r="BC3" s="22" t="str">
        <f t="shared" ref="BC3:BC29" si="28">BF3</f>
        <v/>
      </c>
      <c r="BD3" s="23"/>
      <c r="BE3" s="45" t="str">
        <f t="shared" ref="BE3:BE29" si="29">if(BD3&lt;&gt;"", if(BE3="",NOW(),BE3),"")</f>
        <v/>
      </c>
      <c r="BF3" s="25"/>
      <c r="BG3" s="45" t="str">
        <f t="shared" ref="BG3:BG29" si="30">if(BF3="Done", if(BG3="",NOW(),BG3),"")</f>
        <v/>
      </c>
      <c r="BH3" s="20">
        <v>0.0</v>
      </c>
    </row>
    <row r="4">
      <c r="A4" s="20">
        <f t="shared" si="1"/>
        <v>2</v>
      </c>
      <c r="B4" s="21" t="s">
        <v>82</v>
      </c>
      <c r="C4" s="22" t="str">
        <f t="shared" si="2"/>
        <v>PDSSVB002</v>
      </c>
      <c r="D4" s="20">
        <v>2.0</v>
      </c>
      <c r="E4" s="20">
        <v>2.0</v>
      </c>
      <c r="F4" s="23" t="s">
        <v>66</v>
      </c>
      <c r="G4" s="5"/>
      <c r="H4" s="22">
        <f t="shared" si="3"/>
        <v>2</v>
      </c>
      <c r="I4" s="23" t="s">
        <v>83</v>
      </c>
      <c r="J4" s="40">
        <f t="shared" ref="J4:J29" si="31">if(I4&lt;&gt;"", if(J4="",NOW(),J4),"")</f>
        <v>46154.55771</v>
      </c>
      <c r="K4" s="25" t="s">
        <v>69</v>
      </c>
      <c r="L4" s="40">
        <f t="shared" ref="L4:L29" si="32">if(K4="Done", if(L4="",NOW(),L4),"")</f>
        <v>46154.62367</v>
      </c>
      <c r="M4" s="29">
        <f t="shared" si="4"/>
        <v>94.97668334</v>
      </c>
      <c r="N4" s="29">
        <f t="shared" si="5"/>
        <v>0</v>
      </c>
      <c r="O4" s="29">
        <f t="shared" si="6"/>
        <v>1.582944722</v>
      </c>
      <c r="P4" s="22" t="str">
        <f t="shared" si="7"/>
        <v/>
      </c>
      <c r="Q4" s="23"/>
      <c r="R4" s="45" t="str">
        <f t="shared" si="8"/>
        <v/>
      </c>
      <c r="S4" s="25"/>
      <c r="T4" s="45" t="str">
        <f t="shared" si="9"/>
        <v/>
      </c>
      <c r="U4" s="47"/>
      <c r="V4" s="22" t="str">
        <f t="shared" si="10"/>
        <v/>
      </c>
      <c r="W4" s="23"/>
      <c r="X4" s="45" t="str">
        <f t="shared" si="11"/>
        <v/>
      </c>
      <c r="Y4" s="25"/>
      <c r="Z4" s="45" t="str">
        <f t="shared" si="12"/>
        <v/>
      </c>
      <c r="AA4" s="47"/>
      <c r="AB4" s="22" t="str">
        <f t="shared" si="13"/>
        <v>Done</v>
      </c>
      <c r="AC4" s="23" t="s">
        <v>66</v>
      </c>
      <c r="AD4" s="40">
        <f t="shared" si="14"/>
        <v>46160.60555</v>
      </c>
      <c r="AE4" s="25" t="s">
        <v>69</v>
      </c>
      <c r="AF4" s="40">
        <f t="shared" si="15"/>
        <v>46160.61174</v>
      </c>
      <c r="AG4" s="20">
        <v>1.0</v>
      </c>
      <c r="AH4" s="5"/>
      <c r="AI4" s="22">
        <f t="shared" si="16"/>
        <v>2</v>
      </c>
      <c r="AJ4" s="23" t="s">
        <v>67</v>
      </c>
      <c r="AK4" s="40">
        <f t="shared" si="17"/>
        <v>46160.55027</v>
      </c>
      <c r="AL4" s="25" t="s">
        <v>69</v>
      </c>
      <c r="AM4" s="40">
        <f t="shared" si="18"/>
        <v>46161.65694</v>
      </c>
      <c r="AN4" s="29">
        <f t="shared" si="19"/>
        <v>1593.607533</v>
      </c>
      <c r="AO4" s="29">
        <f t="shared" si="20"/>
        <v>1020</v>
      </c>
      <c r="AP4" s="29">
        <f t="shared" si="21"/>
        <v>9.560125555</v>
      </c>
      <c r="AQ4" s="22" t="str">
        <f t="shared" si="22"/>
        <v/>
      </c>
      <c r="AR4" s="23"/>
      <c r="AS4" s="45" t="str">
        <f t="shared" si="23"/>
        <v/>
      </c>
      <c r="AT4" s="25"/>
      <c r="AU4" s="45" t="str">
        <f t="shared" si="24"/>
        <v/>
      </c>
      <c r="AV4" s="47"/>
      <c r="AW4" s="22" t="str">
        <f t="shared" si="25"/>
        <v/>
      </c>
      <c r="AX4" s="23"/>
      <c r="AY4" s="45" t="str">
        <f t="shared" si="26"/>
        <v/>
      </c>
      <c r="AZ4" s="25"/>
      <c r="BA4" s="45" t="str">
        <f t="shared" si="27"/>
        <v/>
      </c>
      <c r="BB4" s="47"/>
      <c r="BC4" s="22" t="str">
        <f t="shared" si="28"/>
        <v/>
      </c>
      <c r="BD4" s="23"/>
      <c r="BE4" s="45" t="str">
        <f t="shared" si="29"/>
        <v/>
      </c>
      <c r="BF4" s="25"/>
      <c r="BG4" s="45" t="str">
        <f t="shared" si="30"/>
        <v/>
      </c>
      <c r="BH4" s="20">
        <v>0.0</v>
      </c>
    </row>
    <row r="5">
      <c r="A5" s="20">
        <f t="shared" si="1"/>
        <v>3</v>
      </c>
      <c r="B5" s="21" t="s">
        <v>86</v>
      </c>
      <c r="C5" s="22" t="str">
        <f t="shared" si="2"/>
        <v>PDSSVB003</v>
      </c>
      <c r="D5" s="20">
        <v>2.0</v>
      </c>
      <c r="E5" s="20">
        <v>2.0</v>
      </c>
      <c r="F5" s="23" t="s">
        <v>66</v>
      </c>
      <c r="G5" s="5"/>
      <c r="H5" s="22">
        <f t="shared" si="3"/>
        <v>2</v>
      </c>
      <c r="I5" s="23" t="s">
        <v>83</v>
      </c>
      <c r="J5" s="40">
        <f t="shared" si="31"/>
        <v>46154.62371</v>
      </c>
      <c r="K5" s="25" t="s">
        <v>69</v>
      </c>
      <c r="L5" s="40">
        <f t="shared" si="32"/>
        <v>46154.68498</v>
      </c>
      <c r="M5" s="29">
        <f t="shared" si="4"/>
        <v>88.23031666</v>
      </c>
      <c r="N5" s="29">
        <f t="shared" si="5"/>
        <v>0</v>
      </c>
      <c r="O5" s="29">
        <f t="shared" si="6"/>
        <v>1.470505278</v>
      </c>
      <c r="P5" s="22" t="str">
        <f t="shared" si="7"/>
        <v/>
      </c>
      <c r="Q5" s="23"/>
      <c r="R5" s="45" t="str">
        <f t="shared" si="8"/>
        <v/>
      </c>
      <c r="S5" s="25"/>
      <c r="T5" s="45" t="str">
        <f t="shared" si="9"/>
        <v/>
      </c>
      <c r="U5" s="47"/>
      <c r="V5" s="22" t="str">
        <f t="shared" si="10"/>
        <v/>
      </c>
      <c r="W5" s="23"/>
      <c r="X5" s="45" t="str">
        <f t="shared" si="11"/>
        <v/>
      </c>
      <c r="Y5" s="25"/>
      <c r="Z5" s="45" t="str">
        <f t="shared" si="12"/>
        <v/>
      </c>
      <c r="AA5" s="47"/>
      <c r="AB5" s="22" t="str">
        <f t="shared" si="13"/>
        <v>Done</v>
      </c>
      <c r="AC5" s="23" t="s">
        <v>66</v>
      </c>
      <c r="AD5" s="40">
        <f t="shared" si="14"/>
        <v>46161.4815</v>
      </c>
      <c r="AE5" s="25" t="s">
        <v>69</v>
      </c>
      <c r="AF5" s="40">
        <f t="shared" si="15"/>
        <v>46161.49104</v>
      </c>
      <c r="AG5" s="20">
        <v>1.0</v>
      </c>
      <c r="AH5" s="5"/>
      <c r="AI5" s="22">
        <f t="shared" si="16"/>
        <v>2</v>
      </c>
      <c r="AJ5" s="23" t="s">
        <v>78</v>
      </c>
      <c r="AK5" s="40">
        <f t="shared" si="17"/>
        <v>46161.48142</v>
      </c>
      <c r="AL5" s="25" t="s">
        <v>69</v>
      </c>
      <c r="AM5" s="40">
        <f t="shared" si="18"/>
        <v>46162.62242</v>
      </c>
      <c r="AN5" s="29">
        <f t="shared" si="19"/>
        <v>1643.04725</v>
      </c>
      <c r="AO5" s="29">
        <f t="shared" si="20"/>
        <v>1020</v>
      </c>
      <c r="AP5" s="29">
        <f t="shared" si="21"/>
        <v>10.38412083</v>
      </c>
      <c r="AQ5" s="22" t="str">
        <f t="shared" si="22"/>
        <v/>
      </c>
      <c r="AR5" s="23"/>
      <c r="AS5" s="45" t="str">
        <f t="shared" si="23"/>
        <v/>
      </c>
      <c r="AT5" s="25"/>
      <c r="AU5" s="45" t="str">
        <f t="shared" si="24"/>
        <v/>
      </c>
      <c r="AV5" s="47"/>
      <c r="AW5" s="22" t="str">
        <f t="shared" si="25"/>
        <v/>
      </c>
      <c r="AX5" s="23"/>
      <c r="AY5" s="45" t="str">
        <f t="shared" si="26"/>
        <v/>
      </c>
      <c r="AZ5" s="25"/>
      <c r="BA5" s="45" t="str">
        <f t="shared" si="27"/>
        <v/>
      </c>
      <c r="BB5" s="47"/>
      <c r="BC5" s="22" t="str">
        <f t="shared" si="28"/>
        <v/>
      </c>
      <c r="BD5" s="23"/>
      <c r="BE5" s="45" t="str">
        <f t="shared" si="29"/>
        <v/>
      </c>
      <c r="BF5" s="25"/>
      <c r="BG5" s="45" t="str">
        <f t="shared" si="30"/>
        <v/>
      </c>
      <c r="BH5" s="20">
        <v>0.0</v>
      </c>
    </row>
    <row r="6">
      <c r="A6" s="20">
        <f t="shared" si="1"/>
        <v>4</v>
      </c>
      <c r="B6" s="21" t="s">
        <v>90</v>
      </c>
      <c r="C6" s="22" t="str">
        <f t="shared" si="2"/>
        <v>PDSSVB004</v>
      </c>
      <c r="D6" s="20">
        <v>2.0</v>
      </c>
      <c r="E6" s="20">
        <v>2.0</v>
      </c>
      <c r="F6" s="23" t="s">
        <v>66</v>
      </c>
      <c r="G6" s="5"/>
      <c r="H6" s="22">
        <f t="shared" si="3"/>
        <v>2</v>
      </c>
      <c r="I6" s="23" t="s">
        <v>83</v>
      </c>
      <c r="J6" s="40">
        <f t="shared" si="31"/>
        <v>46155.37696</v>
      </c>
      <c r="K6" s="25" t="s">
        <v>69</v>
      </c>
      <c r="L6" s="40">
        <f t="shared" si="32"/>
        <v>46155.41572</v>
      </c>
      <c r="M6" s="29">
        <f t="shared" si="4"/>
        <v>55.80976667</v>
      </c>
      <c r="N6" s="29">
        <f t="shared" si="5"/>
        <v>0</v>
      </c>
      <c r="O6" s="29">
        <f t="shared" si="6"/>
        <v>0.9301627778</v>
      </c>
      <c r="P6" s="22" t="str">
        <f t="shared" si="7"/>
        <v/>
      </c>
      <c r="Q6" s="23"/>
      <c r="R6" s="45" t="str">
        <f t="shared" si="8"/>
        <v/>
      </c>
      <c r="S6" s="25"/>
      <c r="T6" s="45" t="str">
        <f t="shared" si="9"/>
        <v/>
      </c>
      <c r="U6" s="47"/>
      <c r="V6" s="22" t="str">
        <f t="shared" si="10"/>
        <v/>
      </c>
      <c r="W6" s="23"/>
      <c r="X6" s="45" t="str">
        <f t="shared" si="11"/>
        <v/>
      </c>
      <c r="Y6" s="25"/>
      <c r="Z6" s="45" t="str">
        <f t="shared" si="12"/>
        <v/>
      </c>
      <c r="AA6" s="47"/>
      <c r="AB6" s="22" t="str">
        <f t="shared" si="13"/>
        <v>Done</v>
      </c>
      <c r="AC6" s="23" t="s">
        <v>66</v>
      </c>
      <c r="AD6" s="40">
        <f t="shared" si="14"/>
        <v>46161.49126</v>
      </c>
      <c r="AE6" s="25" t="s">
        <v>69</v>
      </c>
      <c r="AF6" s="40">
        <f t="shared" si="15"/>
        <v>46161.49857</v>
      </c>
      <c r="AG6" s="20">
        <v>1.0</v>
      </c>
      <c r="AH6" s="5"/>
      <c r="AI6" s="22">
        <f t="shared" si="16"/>
        <v>2</v>
      </c>
      <c r="AJ6" s="23" t="s">
        <v>78</v>
      </c>
      <c r="AK6" s="40">
        <f t="shared" si="17"/>
        <v>46167.39119</v>
      </c>
      <c r="AL6" s="25" t="s">
        <v>69</v>
      </c>
      <c r="AM6" s="40">
        <f t="shared" si="18"/>
        <v>46167.5804</v>
      </c>
      <c r="AN6" s="29">
        <f t="shared" si="19"/>
        <v>272.4550167</v>
      </c>
      <c r="AO6" s="29">
        <f t="shared" si="20"/>
        <v>60</v>
      </c>
      <c r="AP6" s="29">
        <f t="shared" si="21"/>
        <v>3.540916945</v>
      </c>
      <c r="AQ6" s="22" t="str">
        <f t="shared" si="22"/>
        <v/>
      </c>
      <c r="AR6" s="23"/>
      <c r="AS6" s="45" t="str">
        <f t="shared" si="23"/>
        <v/>
      </c>
      <c r="AT6" s="25"/>
      <c r="AU6" s="45" t="str">
        <f t="shared" si="24"/>
        <v/>
      </c>
      <c r="AV6" s="47"/>
      <c r="AW6" s="22" t="str">
        <f t="shared" si="25"/>
        <v/>
      </c>
      <c r="AX6" s="23"/>
      <c r="AY6" s="45" t="str">
        <f t="shared" si="26"/>
        <v/>
      </c>
      <c r="AZ6" s="25"/>
      <c r="BA6" s="45" t="str">
        <f t="shared" si="27"/>
        <v/>
      </c>
      <c r="BB6" s="47"/>
      <c r="BC6" s="22" t="str">
        <f t="shared" si="28"/>
        <v/>
      </c>
      <c r="BD6" s="23"/>
      <c r="BE6" s="45" t="str">
        <f t="shared" si="29"/>
        <v/>
      </c>
      <c r="BF6" s="25"/>
      <c r="BG6" s="45" t="str">
        <f t="shared" si="30"/>
        <v/>
      </c>
      <c r="BH6" s="20">
        <v>0.0</v>
      </c>
    </row>
    <row r="7">
      <c r="A7" s="20">
        <f t="shared" si="1"/>
        <v>5</v>
      </c>
      <c r="B7" s="21" t="s">
        <v>94</v>
      </c>
      <c r="C7" s="22" t="str">
        <f t="shared" si="2"/>
        <v>PDSSVB005</v>
      </c>
      <c r="D7" s="20">
        <v>2.0</v>
      </c>
      <c r="E7" s="20">
        <v>2.0</v>
      </c>
      <c r="F7" s="23" t="s">
        <v>66</v>
      </c>
      <c r="G7" s="5"/>
      <c r="H7" s="22">
        <f t="shared" si="3"/>
        <v>2</v>
      </c>
      <c r="I7" s="23" t="s">
        <v>83</v>
      </c>
      <c r="J7" s="40">
        <f t="shared" si="31"/>
        <v>46155.41582</v>
      </c>
      <c r="K7" s="25" t="s">
        <v>69</v>
      </c>
      <c r="L7" s="40">
        <f t="shared" si="32"/>
        <v>46155.61311</v>
      </c>
      <c r="M7" s="29">
        <f t="shared" si="4"/>
        <v>284.1061333</v>
      </c>
      <c r="N7" s="29">
        <f t="shared" si="5"/>
        <v>60</v>
      </c>
      <c r="O7" s="29">
        <f t="shared" si="6"/>
        <v>3.735102222</v>
      </c>
      <c r="P7" s="22" t="str">
        <f t="shared" si="7"/>
        <v/>
      </c>
      <c r="Q7" s="23"/>
      <c r="R7" s="45" t="str">
        <f t="shared" si="8"/>
        <v/>
      </c>
      <c r="S7" s="25"/>
      <c r="T7" s="45" t="str">
        <f t="shared" si="9"/>
        <v/>
      </c>
      <c r="U7" s="47"/>
      <c r="V7" s="22" t="str">
        <f t="shared" si="10"/>
        <v/>
      </c>
      <c r="W7" s="23"/>
      <c r="X7" s="45" t="str">
        <f t="shared" si="11"/>
        <v/>
      </c>
      <c r="Y7" s="25"/>
      <c r="Z7" s="45" t="str">
        <f t="shared" si="12"/>
        <v/>
      </c>
      <c r="AA7" s="47"/>
      <c r="AB7" s="22" t="str">
        <f t="shared" si="13"/>
        <v>Done</v>
      </c>
      <c r="AC7" s="23" t="s">
        <v>66</v>
      </c>
      <c r="AD7" s="40">
        <f t="shared" si="14"/>
        <v>46161.66013</v>
      </c>
      <c r="AE7" s="25" t="s">
        <v>69</v>
      </c>
      <c r="AF7" s="40">
        <f t="shared" si="15"/>
        <v>46161.70421</v>
      </c>
      <c r="AG7" s="20">
        <v>1.0</v>
      </c>
      <c r="AH7" s="5"/>
      <c r="AI7" s="22">
        <f t="shared" si="16"/>
        <v>2</v>
      </c>
      <c r="AJ7" s="23" t="s">
        <v>67</v>
      </c>
      <c r="AK7" s="40">
        <f t="shared" si="17"/>
        <v>46161.65718</v>
      </c>
      <c r="AL7" s="25" t="s">
        <v>69</v>
      </c>
      <c r="AM7" s="40">
        <f t="shared" si="18"/>
        <v>46162.66671</v>
      </c>
      <c r="AN7" s="29">
        <f t="shared" si="19"/>
        <v>1453.7265</v>
      </c>
      <c r="AO7" s="29">
        <f t="shared" si="20"/>
        <v>1020</v>
      </c>
      <c r="AP7" s="29">
        <f t="shared" si="21"/>
        <v>7.228775</v>
      </c>
      <c r="AQ7" s="22" t="str">
        <f t="shared" si="22"/>
        <v/>
      </c>
      <c r="AR7" s="23"/>
      <c r="AS7" s="45" t="str">
        <f t="shared" si="23"/>
        <v/>
      </c>
      <c r="AT7" s="25"/>
      <c r="AU7" s="45" t="str">
        <f t="shared" si="24"/>
        <v/>
      </c>
      <c r="AV7" s="47"/>
      <c r="AW7" s="22" t="str">
        <f t="shared" si="25"/>
        <v/>
      </c>
      <c r="AX7" s="23"/>
      <c r="AY7" s="45" t="str">
        <f t="shared" si="26"/>
        <v/>
      </c>
      <c r="AZ7" s="25"/>
      <c r="BA7" s="45" t="str">
        <f t="shared" si="27"/>
        <v/>
      </c>
      <c r="BB7" s="47"/>
      <c r="BC7" s="22" t="str">
        <f t="shared" si="28"/>
        <v/>
      </c>
      <c r="BD7" s="23"/>
      <c r="BE7" s="45" t="str">
        <f t="shared" si="29"/>
        <v/>
      </c>
      <c r="BF7" s="25"/>
      <c r="BG7" s="45" t="str">
        <f t="shared" si="30"/>
        <v/>
      </c>
      <c r="BH7" s="20">
        <v>0.0</v>
      </c>
    </row>
    <row r="8">
      <c r="A8" s="20">
        <f t="shared" si="1"/>
        <v>6</v>
      </c>
      <c r="B8" s="21" t="s">
        <v>97</v>
      </c>
      <c r="C8" s="22" t="str">
        <f t="shared" si="2"/>
        <v>PDSSVB006</v>
      </c>
      <c r="D8" s="20">
        <v>2.0</v>
      </c>
      <c r="E8" s="20">
        <v>2.0</v>
      </c>
      <c r="F8" s="23" t="s">
        <v>66</v>
      </c>
      <c r="G8" s="5"/>
      <c r="H8" s="22">
        <f t="shared" si="3"/>
        <v>2</v>
      </c>
      <c r="I8" s="23" t="s">
        <v>83</v>
      </c>
      <c r="J8" s="40">
        <f t="shared" si="31"/>
        <v>46155.61311</v>
      </c>
      <c r="K8" s="25" t="s">
        <v>69</v>
      </c>
      <c r="L8" s="40">
        <f t="shared" si="32"/>
        <v>46155.61311</v>
      </c>
      <c r="M8" s="29">
        <f t="shared" si="4"/>
        <v>0</v>
      </c>
      <c r="N8" s="29">
        <f t="shared" si="5"/>
        <v>0</v>
      </c>
      <c r="O8" s="29">
        <f t="shared" si="6"/>
        <v>0</v>
      </c>
      <c r="P8" s="22" t="str">
        <f t="shared" si="7"/>
        <v/>
      </c>
      <c r="Q8" s="23"/>
      <c r="R8" s="45" t="str">
        <f t="shared" si="8"/>
        <v/>
      </c>
      <c r="S8" s="25"/>
      <c r="T8" s="45" t="str">
        <f t="shared" si="9"/>
        <v/>
      </c>
      <c r="U8" s="47"/>
      <c r="V8" s="22" t="str">
        <f t="shared" si="10"/>
        <v/>
      </c>
      <c r="W8" s="23"/>
      <c r="X8" s="45" t="str">
        <f t="shared" si="11"/>
        <v/>
      </c>
      <c r="Y8" s="25"/>
      <c r="Z8" s="45" t="str">
        <f t="shared" si="12"/>
        <v/>
      </c>
      <c r="AA8" s="47"/>
      <c r="AB8" s="22" t="str">
        <f t="shared" si="13"/>
        <v>Done</v>
      </c>
      <c r="AC8" s="23" t="s">
        <v>66</v>
      </c>
      <c r="AD8" s="40">
        <f t="shared" si="14"/>
        <v>46162.62232</v>
      </c>
      <c r="AE8" s="25" t="s">
        <v>69</v>
      </c>
      <c r="AF8" s="40">
        <f t="shared" si="15"/>
        <v>46162.65055</v>
      </c>
      <c r="AG8" s="20">
        <v>1.0</v>
      </c>
      <c r="AH8" s="5"/>
      <c r="AI8" s="22">
        <f t="shared" si="16"/>
        <v>2</v>
      </c>
      <c r="AJ8" s="23" t="s">
        <v>67</v>
      </c>
      <c r="AK8" s="40">
        <f t="shared" si="17"/>
        <v>46162.66675</v>
      </c>
      <c r="AL8" s="25" t="s">
        <v>69</v>
      </c>
      <c r="AM8" s="40">
        <f t="shared" si="18"/>
        <v>46163.68204</v>
      </c>
      <c r="AN8" s="29">
        <f t="shared" si="19"/>
        <v>1462.017017</v>
      </c>
      <c r="AO8" s="29">
        <f t="shared" si="20"/>
        <v>1020</v>
      </c>
      <c r="AP8" s="29">
        <f t="shared" si="21"/>
        <v>7.366950278</v>
      </c>
      <c r="AQ8" s="22" t="str">
        <f t="shared" si="22"/>
        <v/>
      </c>
      <c r="AR8" s="23"/>
      <c r="AS8" s="45" t="str">
        <f t="shared" si="23"/>
        <v/>
      </c>
      <c r="AT8" s="25"/>
      <c r="AU8" s="45" t="str">
        <f t="shared" si="24"/>
        <v/>
      </c>
      <c r="AV8" s="47"/>
      <c r="AW8" s="22" t="str">
        <f t="shared" si="25"/>
        <v/>
      </c>
      <c r="AX8" s="23"/>
      <c r="AY8" s="45" t="str">
        <f t="shared" si="26"/>
        <v/>
      </c>
      <c r="AZ8" s="25"/>
      <c r="BA8" s="45" t="str">
        <f t="shared" si="27"/>
        <v/>
      </c>
      <c r="BB8" s="47"/>
      <c r="BC8" s="22" t="str">
        <f t="shared" si="28"/>
        <v/>
      </c>
      <c r="BD8" s="23"/>
      <c r="BE8" s="45" t="str">
        <f t="shared" si="29"/>
        <v/>
      </c>
      <c r="BF8" s="25"/>
      <c r="BG8" s="45" t="str">
        <f t="shared" si="30"/>
        <v/>
      </c>
      <c r="BH8" s="20">
        <v>0.0</v>
      </c>
    </row>
    <row r="9">
      <c r="A9" s="20">
        <f t="shared" si="1"/>
        <v>7</v>
      </c>
      <c r="B9" s="21" t="s">
        <v>98</v>
      </c>
      <c r="C9" s="22" t="str">
        <f t="shared" si="2"/>
        <v>PDSSVB007</v>
      </c>
      <c r="D9" s="20">
        <v>2.0</v>
      </c>
      <c r="E9" s="20">
        <v>2.0</v>
      </c>
      <c r="F9" s="23" t="s">
        <v>66</v>
      </c>
      <c r="G9" s="5"/>
      <c r="H9" s="22">
        <f t="shared" si="3"/>
        <v>2</v>
      </c>
      <c r="I9" s="23" t="s">
        <v>83</v>
      </c>
      <c r="J9" s="40">
        <f t="shared" si="31"/>
        <v>46155.61311</v>
      </c>
      <c r="K9" s="25" t="s">
        <v>69</v>
      </c>
      <c r="L9" s="40">
        <f t="shared" si="32"/>
        <v>46155.61311</v>
      </c>
      <c r="M9" s="29">
        <f t="shared" si="4"/>
        <v>0</v>
      </c>
      <c r="N9" s="29">
        <f t="shared" si="5"/>
        <v>0</v>
      </c>
      <c r="O9" s="29">
        <f t="shared" si="6"/>
        <v>0</v>
      </c>
      <c r="P9" s="22" t="str">
        <f t="shared" si="7"/>
        <v/>
      </c>
      <c r="Q9" s="23"/>
      <c r="R9" s="45" t="str">
        <f t="shared" si="8"/>
        <v/>
      </c>
      <c r="S9" s="25"/>
      <c r="T9" s="45" t="str">
        <f t="shared" si="9"/>
        <v/>
      </c>
      <c r="U9" s="47"/>
      <c r="V9" s="22" t="str">
        <f t="shared" si="10"/>
        <v/>
      </c>
      <c r="W9" s="23"/>
      <c r="X9" s="45" t="str">
        <f t="shared" si="11"/>
        <v/>
      </c>
      <c r="Y9" s="25"/>
      <c r="Z9" s="45" t="str">
        <f t="shared" si="12"/>
        <v/>
      </c>
      <c r="AA9" s="47"/>
      <c r="AB9" s="22" t="str">
        <f t="shared" si="13"/>
        <v>Done</v>
      </c>
      <c r="AC9" s="23" t="s">
        <v>66</v>
      </c>
      <c r="AD9" s="40">
        <f t="shared" si="14"/>
        <v>46162.67726</v>
      </c>
      <c r="AE9" s="25" t="s">
        <v>69</v>
      </c>
      <c r="AF9" s="40">
        <f t="shared" si="15"/>
        <v>46162.68597</v>
      </c>
      <c r="AG9" s="20">
        <v>1.0</v>
      </c>
      <c r="AH9" s="5"/>
      <c r="AI9" s="22">
        <f t="shared" si="16"/>
        <v>2</v>
      </c>
      <c r="AJ9" s="23" t="s">
        <v>78</v>
      </c>
      <c r="AK9" s="40">
        <f t="shared" si="17"/>
        <v>46162.67381</v>
      </c>
      <c r="AL9" s="25" t="s">
        <v>69</v>
      </c>
      <c r="AM9" s="40">
        <f t="shared" si="18"/>
        <v>46163.62415</v>
      </c>
      <c r="AN9" s="29">
        <f t="shared" si="19"/>
        <v>1368.4846</v>
      </c>
      <c r="AO9" s="29">
        <f t="shared" si="20"/>
        <v>1020</v>
      </c>
      <c r="AP9" s="29">
        <f t="shared" si="21"/>
        <v>5.808076667</v>
      </c>
      <c r="AQ9" s="22" t="str">
        <f t="shared" si="22"/>
        <v/>
      </c>
      <c r="AR9" s="23"/>
      <c r="AS9" s="45" t="str">
        <f t="shared" si="23"/>
        <v/>
      </c>
      <c r="AT9" s="25"/>
      <c r="AU9" s="45" t="str">
        <f t="shared" si="24"/>
        <v/>
      </c>
      <c r="AV9" s="47"/>
      <c r="AW9" s="22" t="str">
        <f t="shared" si="25"/>
        <v/>
      </c>
      <c r="AX9" s="23"/>
      <c r="AY9" s="45" t="str">
        <f t="shared" si="26"/>
        <v/>
      </c>
      <c r="AZ9" s="25"/>
      <c r="BA9" s="45" t="str">
        <f t="shared" si="27"/>
        <v/>
      </c>
      <c r="BB9" s="47"/>
      <c r="BC9" s="22" t="str">
        <f t="shared" si="28"/>
        <v/>
      </c>
      <c r="BD9" s="23"/>
      <c r="BE9" s="45" t="str">
        <f t="shared" si="29"/>
        <v/>
      </c>
      <c r="BF9" s="25"/>
      <c r="BG9" s="45" t="str">
        <f t="shared" si="30"/>
        <v/>
      </c>
      <c r="BH9" s="20">
        <v>0.0</v>
      </c>
    </row>
    <row r="10">
      <c r="A10" s="20">
        <f t="shared" si="1"/>
        <v>8</v>
      </c>
      <c r="B10" s="21" t="s">
        <v>101</v>
      </c>
      <c r="C10" s="22" t="str">
        <f t="shared" si="2"/>
        <v>PDSSVB008</v>
      </c>
      <c r="D10" s="20">
        <v>2.0</v>
      </c>
      <c r="E10" s="20">
        <v>2.0</v>
      </c>
      <c r="F10" s="23" t="s">
        <v>66</v>
      </c>
      <c r="G10" s="5"/>
      <c r="H10" s="22">
        <f t="shared" si="3"/>
        <v>2</v>
      </c>
      <c r="I10" s="23" t="s">
        <v>83</v>
      </c>
      <c r="J10" s="40">
        <f t="shared" si="31"/>
        <v>46155.61311</v>
      </c>
      <c r="K10" s="25" t="s">
        <v>69</v>
      </c>
      <c r="L10" s="40">
        <f t="shared" si="32"/>
        <v>46157.42716</v>
      </c>
      <c r="M10" s="29">
        <f t="shared" si="4"/>
        <v>2612.228867</v>
      </c>
      <c r="N10" s="29">
        <f t="shared" si="5"/>
        <v>1920</v>
      </c>
      <c r="O10" s="29">
        <f t="shared" si="6"/>
        <v>11.53714778</v>
      </c>
      <c r="P10" s="22" t="str">
        <f t="shared" si="7"/>
        <v/>
      </c>
      <c r="Q10" s="23"/>
      <c r="R10" s="45" t="str">
        <f t="shared" si="8"/>
        <v/>
      </c>
      <c r="S10" s="25"/>
      <c r="T10" s="45" t="str">
        <f t="shared" si="9"/>
        <v/>
      </c>
      <c r="U10" s="47"/>
      <c r="V10" s="22" t="str">
        <f t="shared" si="10"/>
        <v/>
      </c>
      <c r="W10" s="23"/>
      <c r="X10" s="45" t="str">
        <f t="shared" si="11"/>
        <v/>
      </c>
      <c r="Y10" s="25"/>
      <c r="Z10" s="45" t="str">
        <f t="shared" si="12"/>
        <v/>
      </c>
      <c r="AA10" s="47"/>
      <c r="AB10" s="22" t="str">
        <f t="shared" si="13"/>
        <v>Done</v>
      </c>
      <c r="AC10" s="23" t="s">
        <v>66</v>
      </c>
      <c r="AD10" s="40">
        <f t="shared" si="14"/>
        <v>46163.5881</v>
      </c>
      <c r="AE10" s="25" t="s">
        <v>69</v>
      </c>
      <c r="AF10" s="40">
        <f t="shared" si="15"/>
        <v>46163.62084</v>
      </c>
      <c r="AG10" s="20">
        <v>1.0</v>
      </c>
      <c r="AH10" s="5"/>
      <c r="AI10" s="22">
        <f t="shared" si="16"/>
        <v>2</v>
      </c>
      <c r="AJ10" s="23" t="s">
        <v>78</v>
      </c>
      <c r="AK10" s="40">
        <f t="shared" si="17"/>
        <v>46163.62423</v>
      </c>
      <c r="AL10" s="25" t="s">
        <v>69</v>
      </c>
      <c r="AM10" s="40">
        <f t="shared" si="18"/>
        <v>46164.69943</v>
      </c>
      <c r="AN10" s="29">
        <f t="shared" si="19"/>
        <v>1548.285867</v>
      </c>
      <c r="AO10" s="29">
        <f t="shared" si="20"/>
        <v>1020</v>
      </c>
      <c r="AP10" s="29">
        <f t="shared" si="21"/>
        <v>8.804764444</v>
      </c>
      <c r="AQ10" s="22" t="str">
        <f t="shared" si="22"/>
        <v/>
      </c>
      <c r="AR10" s="23"/>
      <c r="AS10" s="45" t="str">
        <f t="shared" si="23"/>
        <v/>
      </c>
      <c r="AT10" s="25"/>
      <c r="AU10" s="45" t="str">
        <f t="shared" si="24"/>
        <v/>
      </c>
      <c r="AV10" s="47"/>
      <c r="AW10" s="22" t="str">
        <f t="shared" si="25"/>
        <v/>
      </c>
      <c r="AX10" s="23"/>
      <c r="AY10" s="45" t="str">
        <f t="shared" si="26"/>
        <v/>
      </c>
      <c r="AZ10" s="25"/>
      <c r="BA10" s="45" t="str">
        <f t="shared" si="27"/>
        <v/>
      </c>
      <c r="BB10" s="47"/>
      <c r="BC10" s="22" t="str">
        <f t="shared" si="28"/>
        <v/>
      </c>
      <c r="BD10" s="23"/>
      <c r="BE10" s="45" t="str">
        <f t="shared" si="29"/>
        <v/>
      </c>
      <c r="BF10" s="25"/>
      <c r="BG10" s="45" t="str">
        <f t="shared" si="30"/>
        <v/>
      </c>
      <c r="BH10" s="20">
        <v>0.0</v>
      </c>
    </row>
    <row r="11">
      <c r="A11" s="20">
        <f t="shared" si="1"/>
        <v>9</v>
      </c>
      <c r="B11" s="21" t="s">
        <v>102</v>
      </c>
      <c r="C11" s="22" t="str">
        <f t="shared" si="2"/>
        <v>PDSSVB009</v>
      </c>
      <c r="D11" s="20">
        <v>2.0</v>
      </c>
      <c r="E11" s="20">
        <v>2.0</v>
      </c>
      <c r="F11" s="23" t="s">
        <v>66</v>
      </c>
      <c r="G11" s="5"/>
      <c r="H11" s="22">
        <f t="shared" si="3"/>
        <v>2</v>
      </c>
      <c r="I11" s="23" t="s">
        <v>83</v>
      </c>
      <c r="J11" s="40">
        <f t="shared" si="31"/>
        <v>46155.62519</v>
      </c>
      <c r="K11" s="25" t="s">
        <v>69</v>
      </c>
      <c r="L11" s="40">
        <f t="shared" si="32"/>
        <v>46157.50224</v>
      </c>
      <c r="M11" s="29">
        <f t="shared" si="4"/>
        <v>2702.953817</v>
      </c>
      <c r="N11" s="29">
        <f t="shared" si="5"/>
        <v>2040</v>
      </c>
      <c r="O11" s="29">
        <f t="shared" si="6"/>
        <v>11.04923028</v>
      </c>
      <c r="P11" s="22" t="str">
        <f t="shared" si="7"/>
        <v/>
      </c>
      <c r="Q11" s="23"/>
      <c r="R11" s="45" t="str">
        <f t="shared" si="8"/>
        <v/>
      </c>
      <c r="S11" s="25"/>
      <c r="T11" s="45" t="str">
        <f t="shared" si="9"/>
        <v/>
      </c>
      <c r="U11" s="47"/>
      <c r="V11" s="22" t="str">
        <f t="shared" si="10"/>
        <v/>
      </c>
      <c r="W11" s="23"/>
      <c r="X11" s="45" t="str">
        <f t="shared" si="11"/>
        <v/>
      </c>
      <c r="Y11" s="25"/>
      <c r="Z11" s="45" t="str">
        <f t="shared" si="12"/>
        <v/>
      </c>
      <c r="AA11" s="47"/>
      <c r="AB11" s="22" t="str">
        <f t="shared" si="13"/>
        <v>Done</v>
      </c>
      <c r="AC11" s="23" t="s">
        <v>66</v>
      </c>
      <c r="AD11" s="40">
        <f t="shared" si="14"/>
        <v>46163.63361</v>
      </c>
      <c r="AE11" s="25" t="s">
        <v>69</v>
      </c>
      <c r="AF11" s="40">
        <f t="shared" si="15"/>
        <v>46163.68126</v>
      </c>
      <c r="AG11" s="20">
        <v>1.0</v>
      </c>
      <c r="AH11" s="5"/>
      <c r="AI11" s="22">
        <f t="shared" si="16"/>
        <v>2</v>
      </c>
      <c r="AJ11" s="23" t="s">
        <v>67</v>
      </c>
      <c r="AK11" s="40">
        <f t="shared" si="17"/>
        <v>46163.68361</v>
      </c>
      <c r="AL11" s="25" t="s">
        <v>69</v>
      </c>
      <c r="AM11" s="40">
        <f t="shared" si="18"/>
        <v>46167.42255</v>
      </c>
      <c r="AN11" s="29">
        <f t="shared" si="19"/>
        <v>5384.073267</v>
      </c>
      <c r="AO11" s="29">
        <f t="shared" si="20"/>
        <v>3840</v>
      </c>
      <c r="AP11" s="29">
        <f t="shared" si="21"/>
        <v>25.73455444</v>
      </c>
      <c r="AQ11" s="22" t="str">
        <f t="shared" si="22"/>
        <v/>
      </c>
      <c r="AR11" s="23"/>
      <c r="AS11" s="45" t="str">
        <f t="shared" si="23"/>
        <v/>
      </c>
      <c r="AT11" s="25"/>
      <c r="AU11" s="45" t="str">
        <f t="shared" si="24"/>
        <v/>
      </c>
      <c r="AV11" s="47"/>
      <c r="AW11" s="22" t="str">
        <f t="shared" si="25"/>
        <v/>
      </c>
      <c r="AX11" s="23"/>
      <c r="AY11" s="45" t="str">
        <f t="shared" si="26"/>
        <v/>
      </c>
      <c r="AZ11" s="25"/>
      <c r="BA11" s="45" t="str">
        <f t="shared" si="27"/>
        <v/>
      </c>
      <c r="BB11" s="47"/>
      <c r="BC11" s="22" t="str">
        <f t="shared" si="28"/>
        <v/>
      </c>
      <c r="BD11" s="23"/>
      <c r="BE11" s="45" t="str">
        <f t="shared" si="29"/>
        <v/>
      </c>
      <c r="BF11" s="25"/>
      <c r="BG11" s="45" t="str">
        <f t="shared" si="30"/>
        <v/>
      </c>
      <c r="BH11" s="20">
        <v>0.0</v>
      </c>
    </row>
    <row r="12">
      <c r="A12" s="20">
        <f t="shared" si="1"/>
        <v>10</v>
      </c>
      <c r="B12" s="21" t="s">
        <v>105</v>
      </c>
      <c r="C12" s="22" t="str">
        <f t="shared" si="2"/>
        <v>PDSSVB010</v>
      </c>
      <c r="D12" s="20">
        <v>2.0</v>
      </c>
      <c r="E12" s="20">
        <v>2.0</v>
      </c>
      <c r="F12" s="23" t="s">
        <v>66</v>
      </c>
      <c r="G12" s="5"/>
      <c r="H12" s="22">
        <f t="shared" si="3"/>
        <v>2</v>
      </c>
      <c r="I12" s="23" t="s">
        <v>83</v>
      </c>
      <c r="J12" s="40">
        <f t="shared" si="31"/>
        <v>46155.659</v>
      </c>
      <c r="K12" s="25" t="s">
        <v>69</v>
      </c>
      <c r="L12" s="40">
        <f t="shared" si="32"/>
        <v>46157.50224</v>
      </c>
      <c r="M12" s="29">
        <f t="shared" si="4"/>
        <v>2654.264467</v>
      </c>
      <c r="N12" s="29">
        <f t="shared" si="5"/>
        <v>2040</v>
      </c>
      <c r="O12" s="29">
        <f t="shared" si="6"/>
        <v>10.23774111</v>
      </c>
      <c r="P12" s="22" t="str">
        <f t="shared" si="7"/>
        <v/>
      </c>
      <c r="Q12" s="23"/>
      <c r="R12" s="45" t="str">
        <f t="shared" si="8"/>
        <v/>
      </c>
      <c r="S12" s="25"/>
      <c r="T12" s="45" t="str">
        <f t="shared" si="9"/>
        <v/>
      </c>
      <c r="U12" s="47"/>
      <c r="V12" s="22" t="str">
        <f t="shared" si="10"/>
        <v/>
      </c>
      <c r="W12" s="23"/>
      <c r="X12" s="45" t="str">
        <f t="shared" si="11"/>
        <v/>
      </c>
      <c r="Y12" s="25"/>
      <c r="Z12" s="45" t="str">
        <f t="shared" si="12"/>
        <v/>
      </c>
      <c r="AA12" s="47"/>
      <c r="AB12" s="22" t="str">
        <f t="shared" si="13"/>
        <v>Done</v>
      </c>
      <c r="AC12" s="23" t="s">
        <v>66</v>
      </c>
      <c r="AD12" s="40">
        <f t="shared" si="14"/>
        <v>46164.57007</v>
      </c>
      <c r="AE12" s="25" t="s">
        <v>69</v>
      </c>
      <c r="AF12" s="40">
        <f t="shared" si="15"/>
        <v>46164.61689</v>
      </c>
      <c r="AG12" s="20">
        <v>1.0</v>
      </c>
      <c r="AH12" s="5"/>
      <c r="AI12" s="22">
        <f t="shared" si="16"/>
        <v>2</v>
      </c>
      <c r="AJ12" s="23" t="s">
        <v>67</v>
      </c>
      <c r="AK12" s="40">
        <f t="shared" si="17"/>
        <v>46167.42259</v>
      </c>
      <c r="AL12" s="25" t="s">
        <v>69</v>
      </c>
      <c r="AM12" s="40">
        <f t="shared" si="18"/>
        <v>46167.63268</v>
      </c>
      <c r="AN12" s="29">
        <f t="shared" si="19"/>
        <v>302.5300167</v>
      </c>
      <c r="AO12" s="29">
        <f t="shared" si="20"/>
        <v>60</v>
      </c>
      <c r="AP12" s="29">
        <f t="shared" si="21"/>
        <v>4.042166944</v>
      </c>
      <c r="AQ12" s="22" t="str">
        <f t="shared" si="22"/>
        <v/>
      </c>
      <c r="AR12" s="23"/>
      <c r="AS12" s="45" t="str">
        <f t="shared" si="23"/>
        <v/>
      </c>
      <c r="AT12" s="25"/>
      <c r="AU12" s="45" t="str">
        <f t="shared" si="24"/>
        <v/>
      </c>
      <c r="AV12" s="47"/>
      <c r="AW12" s="22" t="str">
        <f t="shared" si="25"/>
        <v/>
      </c>
      <c r="AX12" s="23"/>
      <c r="AY12" s="45" t="str">
        <f t="shared" si="26"/>
        <v/>
      </c>
      <c r="AZ12" s="25"/>
      <c r="BA12" s="45" t="str">
        <f t="shared" si="27"/>
        <v/>
      </c>
      <c r="BB12" s="47"/>
      <c r="BC12" s="22" t="str">
        <f t="shared" si="28"/>
        <v/>
      </c>
      <c r="BD12" s="23"/>
      <c r="BE12" s="45" t="str">
        <f t="shared" si="29"/>
        <v/>
      </c>
      <c r="BF12" s="25"/>
      <c r="BG12" s="45" t="str">
        <f t="shared" si="30"/>
        <v/>
      </c>
      <c r="BH12" s="20">
        <v>0.0</v>
      </c>
    </row>
    <row r="13">
      <c r="A13" s="20">
        <f t="shared" si="1"/>
        <v>11</v>
      </c>
      <c r="B13" s="21" t="s">
        <v>106</v>
      </c>
      <c r="C13" s="22" t="str">
        <f t="shared" si="2"/>
        <v>PDSSVB011</v>
      </c>
      <c r="D13" s="20">
        <v>2.0</v>
      </c>
      <c r="E13" s="20">
        <v>2.0</v>
      </c>
      <c r="F13" s="23" t="s">
        <v>66</v>
      </c>
      <c r="G13" s="5"/>
      <c r="H13" s="22">
        <f t="shared" si="3"/>
        <v>2</v>
      </c>
      <c r="I13" s="23" t="s">
        <v>83</v>
      </c>
      <c r="J13" s="40">
        <f t="shared" si="31"/>
        <v>46157.4196</v>
      </c>
      <c r="K13" s="25" t="s">
        <v>69</v>
      </c>
      <c r="L13" s="40">
        <f t="shared" si="32"/>
        <v>46157.4196</v>
      </c>
      <c r="M13" s="29">
        <f t="shared" si="4"/>
        <v>0</v>
      </c>
      <c r="N13" s="29">
        <f t="shared" si="5"/>
        <v>0</v>
      </c>
      <c r="O13" s="29">
        <f t="shared" si="6"/>
        <v>0</v>
      </c>
      <c r="P13" s="22" t="str">
        <f t="shared" si="7"/>
        <v/>
      </c>
      <c r="Q13" s="23"/>
      <c r="R13" s="45" t="str">
        <f t="shared" si="8"/>
        <v/>
      </c>
      <c r="S13" s="25"/>
      <c r="T13" s="45" t="str">
        <f t="shared" si="9"/>
        <v/>
      </c>
      <c r="U13" s="47"/>
      <c r="V13" s="22" t="str">
        <f t="shared" si="10"/>
        <v/>
      </c>
      <c r="W13" s="23"/>
      <c r="X13" s="45" t="str">
        <f t="shared" si="11"/>
        <v/>
      </c>
      <c r="Y13" s="25"/>
      <c r="Z13" s="45" t="str">
        <f t="shared" si="12"/>
        <v/>
      </c>
      <c r="AA13" s="47"/>
      <c r="AB13" s="22" t="str">
        <f t="shared" si="13"/>
        <v>Done</v>
      </c>
      <c r="AC13" s="23" t="s">
        <v>66</v>
      </c>
      <c r="AD13" s="40">
        <f t="shared" si="14"/>
        <v>46167.41373</v>
      </c>
      <c r="AE13" s="25" t="s">
        <v>69</v>
      </c>
      <c r="AF13" s="40">
        <f t="shared" si="15"/>
        <v>46167.45668</v>
      </c>
      <c r="AG13" s="20">
        <v>1.0</v>
      </c>
      <c r="AH13" s="5"/>
      <c r="AI13" s="22">
        <f t="shared" si="16"/>
        <v>2</v>
      </c>
      <c r="AJ13" s="23" t="s">
        <v>78</v>
      </c>
      <c r="AK13" s="40">
        <f t="shared" si="17"/>
        <v>46167.58042</v>
      </c>
      <c r="AL13" s="25" t="s">
        <v>69</v>
      </c>
      <c r="AM13" s="40">
        <f t="shared" si="18"/>
        <v>46168.67854</v>
      </c>
      <c r="AN13" s="29">
        <f t="shared" si="19"/>
        <v>1581.296283</v>
      </c>
      <c r="AO13" s="29">
        <f t="shared" si="20"/>
        <v>1020</v>
      </c>
      <c r="AP13" s="29">
        <f t="shared" si="21"/>
        <v>9.354938056</v>
      </c>
      <c r="AQ13" s="22" t="str">
        <f t="shared" si="22"/>
        <v/>
      </c>
      <c r="AR13" s="23"/>
      <c r="AS13" s="45" t="str">
        <f t="shared" si="23"/>
        <v/>
      </c>
      <c r="AT13" s="25"/>
      <c r="AU13" s="45" t="str">
        <f t="shared" si="24"/>
        <v/>
      </c>
      <c r="AV13" s="47"/>
      <c r="AW13" s="22" t="str">
        <f t="shared" si="25"/>
        <v/>
      </c>
      <c r="AX13" s="23"/>
      <c r="AY13" s="45" t="str">
        <f t="shared" si="26"/>
        <v/>
      </c>
      <c r="AZ13" s="25"/>
      <c r="BA13" s="45" t="str">
        <f t="shared" si="27"/>
        <v/>
      </c>
      <c r="BB13" s="47"/>
      <c r="BC13" s="22" t="str">
        <f t="shared" si="28"/>
        <v/>
      </c>
      <c r="BD13" s="23"/>
      <c r="BE13" s="45" t="str">
        <f t="shared" si="29"/>
        <v/>
      </c>
      <c r="BF13" s="25"/>
      <c r="BG13" s="45" t="str">
        <f t="shared" si="30"/>
        <v/>
      </c>
      <c r="BH13" s="20">
        <v>0.0</v>
      </c>
    </row>
    <row r="14">
      <c r="A14" s="20">
        <f t="shared" si="1"/>
        <v>12</v>
      </c>
      <c r="B14" s="21" t="s">
        <v>108</v>
      </c>
      <c r="C14" s="22" t="str">
        <f t="shared" si="2"/>
        <v>PDSSVB012</v>
      </c>
      <c r="D14" s="20">
        <v>2.0</v>
      </c>
      <c r="E14" s="20">
        <v>2.0</v>
      </c>
      <c r="F14" s="23" t="s">
        <v>66</v>
      </c>
      <c r="G14" s="5"/>
      <c r="H14" s="22">
        <f t="shared" si="3"/>
        <v>2</v>
      </c>
      <c r="I14" s="23" t="s">
        <v>83</v>
      </c>
      <c r="J14" s="40">
        <f t="shared" si="31"/>
        <v>46157.50224</v>
      </c>
      <c r="K14" s="25" t="s">
        <v>69</v>
      </c>
      <c r="L14" s="40">
        <f t="shared" si="32"/>
        <v>46157.58372</v>
      </c>
      <c r="M14" s="29">
        <f t="shared" si="4"/>
        <v>117.3293</v>
      </c>
      <c r="N14" s="29">
        <f t="shared" si="5"/>
        <v>0</v>
      </c>
      <c r="O14" s="29">
        <f t="shared" si="6"/>
        <v>1.955488333</v>
      </c>
      <c r="P14" s="22" t="str">
        <f t="shared" si="7"/>
        <v/>
      </c>
      <c r="Q14" s="23"/>
      <c r="R14" s="45" t="str">
        <f t="shared" si="8"/>
        <v/>
      </c>
      <c r="S14" s="25"/>
      <c r="T14" s="45" t="str">
        <f t="shared" si="9"/>
        <v/>
      </c>
      <c r="U14" s="47"/>
      <c r="V14" s="22" t="str">
        <f t="shared" si="10"/>
        <v/>
      </c>
      <c r="W14" s="23"/>
      <c r="X14" s="45" t="str">
        <f t="shared" si="11"/>
        <v/>
      </c>
      <c r="Y14" s="25"/>
      <c r="Z14" s="45" t="str">
        <f t="shared" si="12"/>
        <v/>
      </c>
      <c r="AA14" s="47"/>
      <c r="AB14" s="22" t="str">
        <f t="shared" si="13"/>
        <v>Done</v>
      </c>
      <c r="AC14" s="23" t="s">
        <v>66</v>
      </c>
      <c r="AD14" s="40">
        <f t="shared" si="14"/>
        <v>46167.45956</v>
      </c>
      <c r="AE14" s="25" t="s">
        <v>69</v>
      </c>
      <c r="AF14" s="40">
        <f t="shared" si="15"/>
        <v>46167.49998</v>
      </c>
      <c r="AG14" s="20">
        <v>1.0</v>
      </c>
      <c r="AH14" s="5"/>
      <c r="AI14" s="22">
        <f t="shared" si="16"/>
        <v>2</v>
      </c>
      <c r="AJ14" s="23" t="s">
        <v>67</v>
      </c>
      <c r="AK14" s="40">
        <f t="shared" si="17"/>
        <v>46167.63278</v>
      </c>
      <c r="AL14" s="25" t="s">
        <v>69</v>
      </c>
      <c r="AM14" s="40">
        <f t="shared" si="18"/>
        <v>46168.67883</v>
      </c>
      <c r="AN14" s="29">
        <f t="shared" si="19"/>
        <v>1506.3087</v>
      </c>
      <c r="AO14" s="29">
        <f t="shared" si="20"/>
        <v>1020</v>
      </c>
      <c r="AP14" s="29">
        <f t="shared" si="21"/>
        <v>8.105145</v>
      </c>
      <c r="AQ14" s="22" t="str">
        <f t="shared" si="22"/>
        <v/>
      </c>
      <c r="AR14" s="23"/>
      <c r="AS14" s="45" t="str">
        <f t="shared" si="23"/>
        <v/>
      </c>
      <c r="AT14" s="25"/>
      <c r="AU14" s="45" t="str">
        <f t="shared" si="24"/>
        <v/>
      </c>
      <c r="AV14" s="47"/>
      <c r="AW14" s="22" t="str">
        <f t="shared" si="25"/>
        <v/>
      </c>
      <c r="AX14" s="23"/>
      <c r="AY14" s="45" t="str">
        <f t="shared" si="26"/>
        <v/>
      </c>
      <c r="AZ14" s="25"/>
      <c r="BA14" s="45" t="str">
        <f t="shared" si="27"/>
        <v/>
      </c>
      <c r="BB14" s="47"/>
      <c r="BC14" s="22" t="str">
        <f t="shared" si="28"/>
        <v/>
      </c>
      <c r="BD14" s="23"/>
      <c r="BE14" s="45" t="str">
        <f t="shared" si="29"/>
        <v/>
      </c>
      <c r="BF14" s="25"/>
      <c r="BG14" s="45" t="str">
        <f t="shared" si="30"/>
        <v/>
      </c>
      <c r="BH14" s="20">
        <v>0.0</v>
      </c>
    </row>
    <row r="15">
      <c r="A15" s="20">
        <f t="shared" si="1"/>
        <v>13</v>
      </c>
      <c r="B15" s="21" t="s">
        <v>109</v>
      </c>
      <c r="C15" s="22" t="str">
        <f t="shared" si="2"/>
        <v>PDSSVB013</v>
      </c>
      <c r="D15" s="20">
        <v>2.0</v>
      </c>
      <c r="E15" s="20">
        <v>2.0</v>
      </c>
      <c r="F15" s="23" t="s">
        <v>66</v>
      </c>
      <c r="G15" s="5"/>
      <c r="H15" s="22">
        <f t="shared" si="3"/>
        <v>2</v>
      </c>
      <c r="I15" s="23" t="s">
        <v>83</v>
      </c>
      <c r="J15" s="40">
        <f t="shared" si="31"/>
        <v>46157.58385</v>
      </c>
      <c r="K15" s="25" t="s">
        <v>69</v>
      </c>
      <c r="L15" s="40">
        <f t="shared" si="32"/>
        <v>46157.63343</v>
      </c>
      <c r="M15" s="29">
        <f t="shared" si="4"/>
        <v>71.39228333</v>
      </c>
      <c r="N15" s="29">
        <f t="shared" si="5"/>
        <v>0</v>
      </c>
      <c r="O15" s="29">
        <f t="shared" si="6"/>
        <v>1.189871389</v>
      </c>
      <c r="P15" s="22" t="str">
        <f t="shared" si="7"/>
        <v/>
      </c>
      <c r="Q15" s="23"/>
      <c r="R15" s="45" t="str">
        <f t="shared" si="8"/>
        <v/>
      </c>
      <c r="S15" s="25"/>
      <c r="T15" s="45" t="str">
        <f t="shared" si="9"/>
        <v/>
      </c>
      <c r="U15" s="47"/>
      <c r="V15" s="22" t="str">
        <f t="shared" si="10"/>
        <v/>
      </c>
      <c r="W15" s="23"/>
      <c r="X15" s="45" t="str">
        <f t="shared" si="11"/>
        <v/>
      </c>
      <c r="Y15" s="25"/>
      <c r="Z15" s="45" t="str">
        <f t="shared" si="12"/>
        <v/>
      </c>
      <c r="AA15" s="47"/>
      <c r="AB15" s="22" t="str">
        <f t="shared" si="13"/>
        <v>Done</v>
      </c>
      <c r="AC15" s="23" t="s">
        <v>66</v>
      </c>
      <c r="AD15" s="40">
        <f t="shared" si="14"/>
        <v>46167.6081</v>
      </c>
      <c r="AE15" s="25" t="s">
        <v>69</v>
      </c>
      <c r="AF15" s="40">
        <f t="shared" si="15"/>
        <v>46167.61768</v>
      </c>
      <c r="AG15" s="20">
        <v>1.0</v>
      </c>
      <c r="AH15" s="5"/>
      <c r="AI15" s="22">
        <f t="shared" si="16"/>
        <v>2</v>
      </c>
      <c r="AJ15" s="23" t="s">
        <v>78</v>
      </c>
      <c r="AK15" s="40">
        <f t="shared" si="17"/>
        <v>46175.37653</v>
      </c>
      <c r="AL15" s="25" t="s">
        <v>69</v>
      </c>
      <c r="AM15" s="40">
        <f t="shared" si="18"/>
        <v>46175.57649</v>
      </c>
      <c r="AN15" s="29">
        <f t="shared" si="19"/>
        <v>287.9410333</v>
      </c>
      <c r="AO15" s="29">
        <f t="shared" si="20"/>
        <v>60</v>
      </c>
      <c r="AP15" s="29">
        <f t="shared" si="21"/>
        <v>3.799017222</v>
      </c>
      <c r="AQ15" s="22" t="str">
        <f t="shared" si="22"/>
        <v/>
      </c>
      <c r="AR15" s="23"/>
      <c r="AS15" s="45" t="str">
        <f t="shared" si="23"/>
        <v/>
      </c>
      <c r="AT15" s="25"/>
      <c r="AU15" s="45" t="str">
        <f t="shared" si="24"/>
        <v/>
      </c>
      <c r="AV15" s="47"/>
      <c r="AW15" s="22" t="str">
        <f t="shared" si="25"/>
        <v/>
      </c>
      <c r="AX15" s="23"/>
      <c r="AY15" s="45" t="str">
        <f t="shared" si="26"/>
        <v/>
      </c>
      <c r="AZ15" s="25"/>
      <c r="BA15" s="45" t="str">
        <f t="shared" si="27"/>
        <v/>
      </c>
      <c r="BB15" s="47"/>
      <c r="BC15" s="22" t="str">
        <f t="shared" si="28"/>
        <v/>
      </c>
      <c r="BD15" s="23"/>
      <c r="BE15" s="45" t="str">
        <f t="shared" si="29"/>
        <v/>
      </c>
      <c r="BF15" s="25"/>
      <c r="BG15" s="45" t="str">
        <f t="shared" si="30"/>
        <v/>
      </c>
      <c r="BH15" s="20">
        <v>0.0</v>
      </c>
    </row>
    <row r="16">
      <c r="A16" s="20">
        <f t="shared" si="1"/>
        <v>14</v>
      </c>
      <c r="B16" s="21" t="s">
        <v>111</v>
      </c>
      <c r="C16" s="22" t="str">
        <f t="shared" si="2"/>
        <v>PDSSVB014</v>
      </c>
      <c r="D16" s="20">
        <v>2.0</v>
      </c>
      <c r="E16" s="20">
        <v>2.0</v>
      </c>
      <c r="F16" s="23" t="s">
        <v>66</v>
      </c>
      <c r="G16" s="5"/>
      <c r="H16" s="22">
        <f t="shared" si="3"/>
        <v>2</v>
      </c>
      <c r="I16" s="23" t="s">
        <v>83</v>
      </c>
      <c r="J16" s="40">
        <f t="shared" si="31"/>
        <v>46157.63349</v>
      </c>
      <c r="K16" s="25" t="s">
        <v>69</v>
      </c>
      <c r="L16" s="40">
        <f t="shared" si="32"/>
        <v>46157.70138</v>
      </c>
      <c r="M16" s="29">
        <f t="shared" si="4"/>
        <v>97.7654</v>
      </c>
      <c r="N16" s="29">
        <f t="shared" si="5"/>
        <v>0</v>
      </c>
      <c r="O16" s="29">
        <f t="shared" si="6"/>
        <v>1.629423333</v>
      </c>
      <c r="P16" s="22" t="str">
        <f t="shared" si="7"/>
        <v/>
      </c>
      <c r="Q16" s="23"/>
      <c r="R16" s="45" t="str">
        <f t="shared" si="8"/>
        <v/>
      </c>
      <c r="S16" s="25"/>
      <c r="T16" s="45" t="str">
        <f t="shared" si="9"/>
        <v/>
      </c>
      <c r="U16" s="47"/>
      <c r="V16" s="22" t="str">
        <f t="shared" si="10"/>
        <v/>
      </c>
      <c r="W16" s="23"/>
      <c r="X16" s="45" t="str">
        <f t="shared" si="11"/>
        <v/>
      </c>
      <c r="Y16" s="25"/>
      <c r="Z16" s="45" t="str">
        <f t="shared" si="12"/>
        <v/>
      </c>
      <c r="AA16" s="47"/>
      <c r="AB16" s="22" t="str">
        <f t="shared" si="13"/>
        <v>Done</v>
      </c>
      <c r="AC16" s="23" t="s">
        <v>66</v>
      </c>
      <c r="AD16" s="40">
        <f t="shared" si="14"/>
        <v>46168.38589</v>
      </c>
      <c r="AE16" s="25" t="s">
        <v>69</v>
      </c>
      <c r="AF16" s="40">
        <f t="shared" si="15"/>
        <v>46168.41812</v>
      </c>
      <c r="AG16" s="20">
        <v>1.0</v>
      </c>
      <c r="AH16" s="5"/>
      <c r="AI16" s="22">
        <f t="shared" si="16"/>
        <v>2</v>
      </c>
      <c r="AJ16" s="23" t="s">
        <v>67</v>
      </c>
      <c r="AK16" s="40">
        <f t="shared" si="17"/>
        <v>46175.38049</v>
      </c>
      <c r="AL16" s="25" t="s">
        <v>69</v>
      </c>
      <c r="AM16" s="40">
        <f t="shared" si="18"/>
        <v>46175.65417</v>
      </c>
      <c r="AN16" s="29">
        <f t="shared" si="19"/>
        <v>394.1053333</v>
      </c>
      <c r="AO16" s="29">
        <f t="shared" si="20"/>
        <v>60</v>
      </c>
      <c r="AP16" s="29">
        <f t="shared" si="21"/>
        <v>5.568422222</v>
      </c>
      <c r="AQ16" s="22" t="str">
        <f t="shared" si="22"/>
        <v/>
      </c>
      <c r="AR16" s="23"/>
      <c r="AS16" s="45" t="str">
        <f t="shared" si="23"/>
        <v/>
      </c>
      <c r="AT16" s="25"/>
      <c r="AU16" s="45" t="str">
        <f t="shared" si="24"/>
        <v/>
      </c>
      <c r="AV16" s="47"/>
      <c r="AW16" s="22" t="str">
        <f t="shared" si="25"/>
        <v/>
      </c>
      <c r="AX16" s="23"/>
      <c r="AY16" s="45" t="str">
        <f t="shared" si="26"/>
        <v/>
      </c>
      <c r="AZ16" s="25"/>
      <c r="BA16" s="45" t="str">
        <f t="shared" si="27"/>
        <v/>
      </c>
      <c r="BB16" s="47"/>
      <c r="BC16" s="22" t="str">
        <f t="shared" si="28"/>
        <v/>
      </c>
      <c r="BD16" s="23"/>
      <c r="BE16" s="45" t="str">
        <f t="shared" si="29"/>
        <v/>
      </c>
      <c r="BF16" s="25"/>
      <c r="BG16" s="45" t="str">
        <f t="shared" si="30"/>
        <v/>
      </c>
      <c r="BH16" s="20">
        <v>0.0</v>
      </c>
    </row>
    <row r="17">
      <c r="A17" s="20">
        <f t="shared" si="1"/>
        <v>15</v>
      </c>
      <c r="B17" s="21" t="s">
        <v>113</v>
      </c>
      <c r="C17" s="22" t="str">
        <f t="shared" si="2"/>
        <v>PDSSVB015</v>
      </c>
      <c r="D17" s="20">
        <v>2.0</v>
      </c>
      <c r="E17" s="20">
        <v>2.0</v>
      </c>
      <c r="F17" s="23" t="s">
        <v>66</v>
      </c>
      <c r="G17" s="5"/>
      <c r="H17" s="22">
        <f t="shared" si="3"/>
        <v>2</v>
      </c>
      <c r="I17" s="23" t="s">
        <v>83</v>
      </c>
      <c r="J17" s="40">
        <f t="shared" si="31"/>
        <v>46157.67307</v>
      </c>
      <c r="K17" s="25" t="s">
        <v>69</v>
      </c>
      <c r="L17" s="40">
        <f t="shared" si="32"/>
        <v>46157.69584</v>
      </c>
      <c r="M17" s="29">
        <f t="shared" si="4"/>
        <v>32.7933</v>
      </c>
      <c r="N17" s="29">
        <f t="shared" si="5"/>
        <v>0</v>
      </c>
      <c r="O17" s="29">
        <f t="shared" si="6"/>
        <v>0.5465549999</v>
      </c>
      <c r="P17" s="22" t="str">
        <f t="shared" si="7"/>
        <v/>
      </c>
      <c r="Q17" s="23"/>
      <c r="R17" s="45" t="str">
        <f t="shared" si="8"/>
        <v/>
      </c>
      <c r="S17" s="25"/>
      <c r="T17" s="45" t="str">
        <f t="shared" si="9"/>
        <v/>
      </c>
      <c r="U17" s="47"/>
      <c r="V17" s="22" t="str">
        <f t="shared" si="10"/>
        <v/>
      </c>
      <c r="W17" s="23"/>
      <c r="X17" s="45" t="str">
        <f t="shared" si="11"/>
        <v/>
      </c>
      <c r="Y17" s="25"/>
      <c r="Z17" s="45" t="str">
        <f t="shared" si="12"/>
        <v/>
      </c>
      <c r="AA17" s="47"/>
      <c r="AB17" s="22" t="str">
        <f t="shared" si="13"/>
        <v>Done</v>
      </c>
      <c r="AC17" s="23" t="s">
        <v>66</v>
      </c>
      <c r="AD17" s="40">
        <f t="shared" si="14"/>
        <v>46168.58401</v>
      </c>
      <c r="AE17" s="25" t="s">
        <v>69</v>
      </c>
      <c r="AF17" s="40">
        <f t="shared" si="15"/>
        <v>46168.62913</v>
      </c>
      <c r="AG17" s="20">
        <v>1.0</v>
      </c>
      <c r="AH17" s="5"/>
      <c r="AI17" s="22">
        <f t="shared" si="16"/>
        <v>2</v>
      </c>
      <c r="AJ17" s="23" t="s">
        <v>78</v>
      </c>
      <c r="AK17" s="40">
        <f t="shared" si="17"/>
        <v>46175.57687</v>
      </c>
      <c r="AL17" s="25" t="s">
        <v>69</v>
      </c>
      <c r="AM17" s="40">
        <f t="shared" si="18"/>
        <v>46176.53874</v>
      </c>
      <c r="AN17" s="29">
        <f t="shared" si="19"/>
        <v>1385.08365</v>
      </c>
      <c r="AO17" s="29">
        <f t="shared" si="20"/>
        <v>1020</v>
      </c>
      <c r="AP17" s="29">
        <f t="shared" si="21"/>
        <v>6.0847275</v>
      </c>
      <c r="AQ17" s="22" t="str">
        <f t="shared" si="22"/>
        <v/>
      </c>
      <c r="AR17" s="23"/>
      <c r="AS17" s="45" t="str">
        <f t="shared" si="23"/>
        <v/>
      </c>
      <c r="AT17" s="25"/>
      <c r="AU17" s="45" t="str">
        <f t="shared" si="24"/>
        <v/>
      </c>
      <c r="AV17" s="47"/>
      <c r="AW17" s="22" t="str">
        <f t="shared" si="25"/>
        <v/>
      </c>
      <c r="AX17" s="23"/>
      <c r="AY17" s="45" t="str">
        <f t="shared" si="26"/>
        <v/>
      </c>
      <c r="AZ17" s="25"/>
      <c r="BA17" s="45" t="str">
        <f t="shared" si="27"/>
        <v/>
      </c>
      <c r="BB17" s="47"/>
      <c r="BC17" s="22" t="str">
        <f t="shared" si="28"/>
        <v/>
      </c>
      <c r="BD17" s="23"/>
      <c r="BE17" s="45" t="str">
        <f t="shared" si="29"/>
        <v/>
      </c>
      <c r="BF17" s="25"/>
      <c r="BG17" s="45" t="str">
        <f t="shared" si="30"/>
        <v/>
      </c>
      <c r="BH17" s="20">
        <v>0.0</v>
      </c>
    </row>
    <row r="18">
      <c r="A18" s="20" t="str">
        <f t="shared" si="1"/>
        <v/>
      </c>
      <c r="B18" s="21"/>
      <c r="C18" s="22" t="str">
        <f t="shared" si="2"/>
        <v/>
      </c>
      <c r="D18" s="20"/>
      <c r="E18" s="20"/>
      <c r="F18" s="55"/>
      <c r="G18" s="5"/>
      <c r="H18" s="22" t="str">
        <f t="shared" si="3"/>
        <v/>
      </c>
      <c r="I18" s="23"/>
      <c r="J18" s="45" t="str">
        <f t="shared" si="31"/>
        <v/>
      </c>
      <c r="K18" s="25"/>
      <c r="L18" s="45" t="str">
        <f t="shared" si="32"/>
        <v/>
      </c>
      <c r="M18" s="29" t="str">
        <f t="shared" si="4"/>
        <v/>
      </c>
      <c r="N18" s="29">
        <f t="shared" si="5"/>
        <v>0</v>
      </c>
      <c r="O18" s="29">
        <f t="shared" si="6"/>
        <v>0</v>
      </c>
      <c r="P18" s="22" t="str">
        <f t="shared" si="7"/>
        <v/>
      </c>
      <c r="Q18" s="23"/>
      <c r="R18" s="45" t="str">
        <f t="shared" si="8"/>
        <v/>
      </c>
      <c r="S18" s="25"/>
      <c r="T18" s="45" t="str">
        <f t="shared" si="9"/>
        <v/>
      </c>
      <c r="U18" s="47"/>
      <c r="V18" s="22" t="str">
        <f t="shared" si="10"/>
        <v/>
      </c>
      <c r="W18" s="23"/>
      <c r="X18" s="45" t="str">
        <f t="shared" si="11"/>
        <v/>
      </c>
      <c r="Y18" s="25"/>
      <c r="Z18" s="45" t="str">
        <f t="shared" si="12"/>
        <v/>
      </c>
      <c r="AA18" s="47"/>
      <c r="AB18" s="22" t="str">
        <f t="shared" si="13"/>
        <v/>
      </c>
      <c r="AC18" s="23"/>
      <c r="AD18" s="45" t="str">
        <f t="shared" si="14"/>
        <v/>
      </c>
      <c r="AE18" s="25"/>
      <c r="AF18" s="45" t="str">
        <f t="shared" si="15"/>
        <v/>
      </c>
      <c r="AG18" s="20">
        <v>0.0</v>
      </c>
      <c r="AH18" s="5"/>
      <c r="AI18" s="22" t="str">
        <f t="shared" si="16"/>
        <v/>
      </c>
      <c r="AJ18" s="23"/>
      <c r="AK18" s="45" t="str">
        <f t="shared" si="17"/>
        <v/>
      </c>
      <c r="AL18" s="25"/>
      <c r="AM18" s="45" t="str">
        <f t="shared" si="18"/>
        <v/>
      </c>
      <c r="AN18" s="29" t="str">
        <f t="shared" si="19"/>
        <v/>
      </c>
      <c r="AO18" s="29">
        <f t="shared" si="20"/>
        <v>0</v>
      </c>
      <c r="AP18" s="29">
        <f t="shared" si="21"/>
        <v>0</v>
      </c>
      <c r="AQ18" s="22" t="str">
        <f t="shared" si="22"/>
        <v/>
      </c>
      <c r="AR18" s="23"/>
      <c r="AS18" s="45" t="str">
        <f t="shared" si="23"/>
        <v/>
      </c>
      <c r="AT18" s="25"/>
      <c r="AU18" s="45" t="str">
        <f t="shared" si="24"/>
        <v/>
      </c>
      <c r="AV18" s="47"/>
      <c r="AW18" s="22" t="str">
        <f t="shared" si="25"/>
        <v/>
      </c>
      <c r="AX18" s="23"/>
      <c r="AY18" s="45" t="str">
        <f t="shared" si="26"/>
        <v/>
      </c>
      <c r="AZ18" s="25"/>
      <c r="BA18" s="45" t="str">
        <f t="shared" si="27"/>
        <v/>
      </c>
      <c r="BB18" s="47"/>
      <c r="BC18" s="22" t="str">
        <f t="shared" si="28"/>
        <v/>
      </c>
      <c r="BD18" s="23"/>
      <c r="BE18" s="45" t="str">
        <f t="shared" si="29"/>
        <v/>
      </c>
      <c r="BF18" s="25"/>
      <c r="BG18" s="45" t="str">
        <f t="shared" si="30"/>
        <v/>
      </c>
      <c r="BH18" s="20">
        <v>0.0</v>
      </c>
    </row>
    <row r="19">
      <c r="A19" s="20" t="str">
        <f t="shared" si="1"/>
        <v/>
      </c>
      <c r="B19" s="21"/>
      <c r="C19" s="22" t="str">
        <f t="shared" si="2"/>
        <v/>
      </c>
      <c r="D19" s="20"/>
      <c r="E19" s="20"/>
      <c r="F19" s="55"/>
      <c r="G19" s="5"/>
      <c r="H19" s="22" t="str">
        <f t="shared" si="3"/>
        <v/>
      </c>
      <c r="I19" s="23"/>
      <c r="J19" s="45" t="str">
        <f t="shared" si="31"/>
        <v/>
      </c>
      <c r="K19" s="25"/>
      <c r="L19" s="45" t="str">
        <f t="shared" si="32"/>
        <v/>
      </c>
      <c r="M19" s="29" t="str">
        <f t="shared" si="4"/>
        <v/>
      </c>
      <c r="N19" s="29">
        <f t="shared" si="5"/>
        <v>0</v>
      </c>
      <c r="O19" s="29">
        <f t="shared" si="6"/>
        <v>0</v>
      </c>
      <c r="P19" s="22" t="str">
        <f t="shared" si="7"/>
        <v/>
      </c>
      <c r="Q19" s="23"/>
      <c r="R19" s="45" t="str">
        <f t="shared" si="8"/>
        <v/>
      </c>
      <c r="S19" s="25"/>
      <c r="T19" s="45" t="str">
        <f t="shared" si="9"/>
        <v/>
      </c>
      <c r="U19" s="47"/>
      <c r="V19" s="22" t="str">
        <f t="shared" si="10"/>
        <v/>
      </c>
      <c r="W19" s="23"/>
      <c r="X19" s="45" t="str">
        <f t="shared" si="11"/>
        <v/>
      </c>
      <c r="Y19" s="25"/>
      <c r="Z19" s="45" t="str">
        <f t="shared" si="12"/>
        <v/>
      </c>
      <c r="AA19" s="47"/>
      <c r="AB19" s="22" t="str">
        <f t="shared" si="13"/>
        <v/>
      </c>
      <c r="AC19" s="23"/>
      <c r="AD19" s="45" t="str">
        <f t="shared" si="14"/>
        <v/>
      </c>
      <c r="AE19" s="25"/>
      <c r="AF19" s="45" t="str">
        <f t="shared" si="15"/>
        <v/>
      </c>
      <c r="AG19" s="20">
        <v>0.0</v>
      </c>
      <c r="AH19" s="5"/>
      <c r="AI19" s="22" t="str">
        <f t="shared" si="16"/>
        <v/>
      </c>
      <c r="AJ19" s="23"/>
      <c r="AK19" s="45" t="str">
        <f t="shared" si="17"/>
        <v/>
      </c>
      <c r="AL19" s="25"/>
      <c r="AM19" s="45" t="str">
        <f t="shared" si="18"/>
        <v/>
      </c>
      <c r="AN19" s="29" t="str">
        <f t="shared" si="19"/>
        <v/>
      </c>
      <c r="AO19" s="29">
        <f t="shared" si="20"/>
        <v>0</v>
      </c>
      <c r="AP19" s="29">
        <f t="shared" si="21"/>
        <v>0</v>
      </c>
      <c r="AQ19" s="22" t="str">
        <f t="shared" si="22"/>
        <v/>
      </c>
      <c r="AR19" s="23"/>
      <c r="AS19" s="45" t="str">
        <f t="shared" si="23"/>
        <v/>
      </c>
      <c r="AT19" s="25"/>
      <c r="AU19" s="45" t="str">
        <f t="shared" si="24"/>
        <v/>
      </c>
      <c r="AV19" s="47"/>
      <c r="AW19" s="22" t="str">
        <f t="shared" si="25"/>
        <v/>
      </c>
      <c r="AX19" s="23"/>
      <c r="AY19" s="45" t="str">
        <f t="shared" si="26"/>
        <v/>
      </c>
      <c r="AZ19" s="25"/>
      <c r="BA19" s="45" t="str">
        <f t="shared" si="27"/>
        <v/>
      </c>
      <c r="BB19" s="47"/>
      <c r="BC19" s="22" t="str">
        <f t="shared" si="28"/>
        <v/>
      </c>
      <c r="BD19" s="23"/>
      <c r="BE19" s="45" t="str">
        <f t="shared" si="29"/>
        <v/>
      </c>
      <c r="BF19" s="25"/>
      <c r="BG19" s="45" t="str">
        <f t="shared" si="30"/>
        <v/>
      </c>
      <c r="BH19" s="20">
        <v>0.0</v>
      </c>
    </row>
    <row r="20">
      <c r="A20" s="20" t="str">
        <f t="shared" si="1"/>
        <v/>
      </c>
      <c r="B20" s="21"/>
      <c r="C20" s="22" t="str">
        <f t="shared" si="2"/>
        <v/>
      </c>
      <c r="D20" s="20"/>
      <c r="E20" s="20"/>
      <c r="F20" s="55"/>
      <c r="G20" s="5"/>
      <c r="H20" s="22" t="str">
        <f t="shared" si="3"/>
        <v/>
      </c>
      <c r="I20" s="23"/>
      <c r="J20" s="45" t="str">
        <f t="shared" si="31"/>
        <v/>
      </c>
      <c r="K20" s="25"/>
      <c r="L20" s="45" t="str">
        <f t="shared" si="32"/>
        <v/>
      </c>
      <c r="M20" s="29" t="str">
        <f t="shared" si="4"/>
        <v/>
      </c>
      <c r="N20" s="29">
        <f t="shared" si="5"/>
        <v>0</v>
      </c>
      <c r="O20" s="29">
        <f t="shared" si="6"/>
        <v>0</v>
      </c>
      <c r="P20" s="22" t="str">
        <f t="shared" si="7"/>
        <v/>
      </c>
      <c r="Q20" s="23"/>
      <c r="R20" s="45" t="str">
        <f t="shared" si="8"/>
        <v/>
      </c>
      <c r="S20" s="25"/>
      <c r="T20" s="45" t="str">
        <f t="shared" si="9"/>
        <v/>
      </c>
      <c r="U20" s="47"/>
      <c r="V20" s="22" t="str">
        <f t="shared" si="10"/>
        <v/>
      </c>
      <c r="W20" s="23"/>
      <c r="X20" s="45" t="str">
        <f t="shared" si="11"/>
        <v/>
      </c>
      <c r="Y20" s="25"/>
      <c r="Z20" s="45" t="str">
        <f t="shared" si="12"/>
        <v/>
      </c>
      <c r="AA20" s="47"/>
      <c r="AB20" s="22" t="str">
        <f t="shared" si="13"/>
        <v/>
      </c>
      <c r="AC20" s="23"/>
      <c r="AD20" s="45" t="str">
        <f t="shared" si="14"/>
        <v/>
      </c>
      <c r="AE20" s="25"/>
      <c r="AF20" s="45" t="str">
        <f t="shared" si="15"/>
        <v/>
      </c>
      <c r="AG20" s="20">
        <v>0.0</v>
      </c>
      <c r="AH20" s="5"/>
      <c r="AI20" s="22" t="str">
        <f t="shared" si="16"/>
        <v/>
      </c>
      <c r="AJ20" s="23"/>
      <c r="AK20" s="45" t="str">
        <f t="shared" si="17"/>
        <v/>
      </c>
      <c r="AL20" s="25"/>
      <c r="AM20" s="45" t="str">
        <f t="shared" si="18"/>
        <v/>
      </c>
      <c r="AN20" s="29" t="str">
        <f t="shared" si="19"/>
        <v/>
      </c>
      <c r="AO20" s="29">
        <f t="shared" si="20"/>
        <v>0</v>
      </c>
      <c r="AP20" s="29">
        <f t="shared" si="21"/>
        <v>0</v>
      </c>
      <c r="AQ20" s="22" t="str">
        <f t="shared" si="22"/>
        <v/>
      </c>
      <c r="AR20" s="23"/>
      <c r="AS20" s="45" t="str">
        <f t="shared" si="23"/>
        <v/>
      </c>
      <c r="AT20" s="25"/>
      <c r="AU20" s="45" t="str">
        <f t="shared" si="24"/>
        <v/>
      </c>
      <c r="AV20" s="47"/>
      <c r="AW20" s="22" t="str">
        <f t="shared" si="25"/>
        <v/>
      </c>
      <c r="AX20" s="23"/>
      <c r="AY20" s="45" t="str">
        <f t="shared" si="26"/>
        <v/>
      </c>
      <c r="AZ20" s="25"/>
      <c r="BA20" s="45" t="str">
        <f t="shared" si="27"/>
        <v/>
      </c>
      <c r="BB20" s="47"/>
      <c r="BC20" s="22" t="str">
        <f t="shared" si="28"/>
        <v/>
      </c>
      <c r="BD20" s="23"/>
      <c r="BE20" s="45" t="str">
        <f t="shared" si="29"/>
        <v/>
      </c>
      <c r="BF20" s="25"/>
      <c r="BG20" s="45" t="str">
        <f t="shared" si="30"/>
        <v/>
      </c>
      <c r="BH20" s="20">
        <v>0.0</v>
      </c>
    </row>
    <row r="21">
      <c r="A21" s="20" t="str">
        <f t="shared" si="1"/>
        <v/>
      </c>
      <c r="B21" s="21"/>
      <c r="C21" s="22" t="str">
        <f t="shared" si="2"/>
        <v/>
      </c>
      <c r="D21" s="20"/>
      <c r="E21" s="20"/>
      <c r="F21" s="55"/>
      <c r="G21" s="5"/>
      <c r="H21" s="22" t="str">
        <f t="shared" si="3"/>
        <v/>
      </c>
      <c r="I21" s="23"/>
      <c r="J21" s="45" t="str">
        <f t="shared" si="31"/>
        <v/>
      </c>
      <c r="K21" s="25"/>
      <c r="L21" s="45" t="str">
        <f t="shared" si="32"/>
        <v/>
      </c>
      <c r="M21" s="29" t="str">
        <f t="shared" si="4"/>
        <v/>
      </c>
      <c r="N21" s="29">
        <f t="shared" si="5"/>
        <v>0</v>
      </c>
      <c r="O21" s="29">
        <f t="shared" si="6"/>
        <v>0</v>
      </c>
      <c r="P21" s="22" t="str">
        <f t="shared" si="7"/>
        <v/>
      </c>
      <c r="Q21" s="23"/>
      <c r="R21" s="45" t="str">
        <f t="shared" si="8"/>
        <v/>
      </c>
      <c r="S21" s="25"/>
      <c r="T21" s="45" t="str">
        <f t="shared" si="9"/>
        <v/>
      </c>
      <c r="U21" s="47"/>
      <c r="V21" s="22" t="str">
        <f t="shared" si="10"/>
        <v/>
      </c>
      <c r="W21" s="23"/>
      <c r="X21" s="45" t="str">
        <f t="shared" si="11"/>
        <v/>
      </c>
      <c r="Y21" s="25"/>
      <c r="Z21" s="45" t="str">
        <f t="shared" si="12"/>
        <v/>
      </c>
      <c r="AA21" s="47"/>
      <c r="AB21" s="22" t="str">
        <f t="shared" si="13"/>
        <v/>
      </c>
      <c r="AC21" s="23"/>
      <c r="AD21" s="45" t="str">
        <f t="shared" si="14"/>
        <v/>
      </c>
      <c r="AE21" s="25"/>
      <c r="AF21" s="45" t="str">
        <f t="shared" si="15"/>
        <v/>
      </c>
      <c r="AG21" s="20">
        <v>0.0</v>
      </c>
      <c r="AH21" s="5"/>
      <c r="AI21" s="22" t="str">
        <f t="shared" si="16"/>
        <v/>
      </c>
      <c r="AJ21" s="23"/>
      <c r="AK21" s="45" t="str">
        <f t="shared" si="17"/>
        <v/>
      </c>
      <c r="AL21" s="25"/>
      <c r="AM21" s="45" t="str">
        <f t="shared" si="18"/>
        <v/>
      </c>
      <c r="AN21" s="29" t="str">
        <f t="shared" si="19"/>
        <v/>
      </c>
      <c r="AO21" s="29">
        <f t="shared" si="20"/>
        <v>0</v>
      </c>
      <c r="AP21" s="29">
        <f t="shared" si="21"/>
        <v>0</v>
      </c>
      <c r="AQ21" s="22" t="str">
        <f t="shared" si="22"/>
        <v/>
      </c>
      <c r="AR21" s="23"/>
      <c r="AS21" s="45" t="str">
        <f t="shared" si="23"/>
        <v/>
      </c>
      <c r="AT21" s="25"/>
      <c r="AU21" s="45" t="str">
        <f t="shared" si="24"/>
        <v/>
      </c>
      <c r="AV21" s="47"/>
      <c r="AW21" s="22" t="str">
        <f t="shared" si="25"/>
        <v/>
      </c>
      <c r="AX21" s="23"/>
      <c r="AY21" s="45" t="str">
        <f t="shared" si="26"/>
        <v/>
      </c>
      <c r="AZ21" s="25"/>
      <c r="BA21" s="45" t="str">
        <f t="shared" si="27"/>
        <v/>
      </c>
      <c r="BB21" s="47"/>
      <c r="BC21" s="22" t="str">
        <f t="shared" si="28"/>
        <v/>
      </c>
      <c r="BD21" s="23"/>
      <c r="BE21" s="45" t="str">
        <f t="shared" si="29"/>
        <v/>
      </c>
      <c r="BF21" s="25"/>
      <c r="BG21" s="45" t="str">
        <f t="shared" si="30"/>
        <v/>
      </c>
      <c r="BH21" s="20">
        <v>0.0</v>
      </c>
    </row>
    <row r="22">
      <c r="A22" s="20" t="str">
        <f t="shared" si="1"/>
        <v/>
      </c>
      <c r="B22" s="21"/>
      <c r="C22" s="22" t="str">
        <f t="shared" si="2"/>
        <v/>
      </c>
      <c r="D22" s="20"/>
      <c r="E22" s="20"/>
      <c r="F22" s="55"/>
      <c r="G22" s="5"/>
      <c r="H22" s="22" t="str">
        <f t="shared" si="3"/>
        <v/>
      </c>
      <c r="I22" s="23"/>
      <c r="J22" s="45" t="str">
        <f t="shared" si="31"/>
        <v/>
      </c>
      <c r="K22" s="25"/>
      <c r="L22" s="45" t="str">
        <f t="shared" si="32"/>
        <v/>
      </c>
      <c r="M22" s="29" t="str">
        <f t="shared" si="4"/>
        <v/>
      </c>
      <c r="N22" s="29">
        <f t="shared" si="5"/>
        <v>0</v>
      </c>
      <c r="O22" s="29">
        <f t="shared" si="6"/>
        <v>0</v>
      </c>
      <c r="P22" s="22" t="str">
        <f t="shared" si="7"/>
        <v/>
      </c>
      <c r="Q22" s="23"/>
      <c r="R22" s="45" t="str">
        <f t="shared" si="8"/>
        <v/>
      </c>
      <c r="S22" s="25"/>
      <c r="T22" s="45" t="str">
        <f t="shared" si="9"/>
        <v/>
      </c>
      <c r="U22" s="47"/>
      <c r="V22" s="22" t="str">
        <f t="shared" si="10"/>
        <v/>
      </c>
      <c r="W22" s="23"/>
      <c r="X22" s="45" t="str">
        <f t="shared" si="11"/>
        <v/>
      </c>
      <c r="Y22" s="25"/>
      <c r="Z22" s="45" t="str">
        <f t="shared" si="12"/>
        <v/>
      </c>
      <c r="AA22" s="47"/>
      <c r="AB22" s="22" t="str">
        <f t="shared" si="13"/>
        <v/>
      </c>
      <c r="AC22" s="23"/>
      <c r="AD22" s="45" t="str">
        <f t="shared" si="14"/>
        <v/>
      </c>
      <c r="AE22" s="25"/>
      <c r="AF22" s="45" t="str">
        <f t="shared" si="15"/>
        <v/>
      </c>
      <c r="AG22" s="20">
        <v>0.0</v>
      </c>
      <c r="AH22" s="5"/>
      <c r="AI22" s="22" t="str">
        <f t="shared" si="16"/>
        <v/>
      </c>
      <c r="AJ22" s="23"/>
      <c r="AK22" s="45" t="str">
        <f t="shared" si="17"/>
        <v/>
      </c>
      <c r="AL22" s="25"/>
      <c r="AM22" s="45" t="str">
        <f t="shared" si="18"/>
        <v/>
      </c>
      <c r="AN22" s="29" t="str">
        <f t="shared" si="19"/>
        <v/>
      </c>
      <c r="AO22" s="29">
        <f t="shared" si="20"/>
        <v>0</v>
      </c>
      <c r="AP22" s="29">
        <f t="shared" si="21"/>
        <v>0</v>
      </c>
      <c r="AQ22" s="22" t="str">
        <f t="shared" si="22"/>
        <v/>
      </c>
      <c r="AR22" s="23"/>
      <c r="AS22" s="45" t="str">
        <f t="shared" si="23"/>
        <v/>
      </c>
      <c r="AT22" s="25"/>
      <c r="AU22" s="45" t="str">
        <f t="shared" si="24"/>
        <v/>
      </c>
      <c r="AV22" s="47"/>
      <c r="AW22" s="22" t="str">
        <f t="shared" si="25"/>
        <v/>
      </c>
      <c r="AX22" s="23"/>
      <c r="AY22" s="45" t="str">
        <f t="shared" si="26"/>
        <v/>
      </c>
      <c r="AZ22" s="25"/>
      <c r="BA22" s="45" t="str">
        <f t="shared" si="27"/>
        <v/>
      </c>
      <c r="BB22" s="47"/>
      <c r="BC22" s="22" t="str">
        <f t="shared" si="28"/>
        <v/>
      </c>
      <c r="BD22" s="23"/>
      <c r="BE22" s="45" t="str">
        <f t="shared" si="29"/>
        <v/>
      </c>
      <c r="BF22" s="25"/>
      <c r="BG22" s="45" t="str">
        <f t="shared" si="30"/>
        <v/>
      </c>
      <c r="BH22" s="20">
        <v>0.0</v>
      </c>
    </row>
    <row r="23">
      <c r="A23" s="20" t="str">
        <f t="shared" si="1"/>
        <v/>
      </c>
      <c r="B23" s="21"/>
      <c r="C23" s="22" t="str">
        <f t="shared" si="2"/>
        <v/>
      </c>
      <c r="D23" s="20"/>
      <c r="E23" s="20"/>
      <c r="F23" s="55"/>
      <c r="G23" s="5"/>
      <c r="H23" s="22" t="str">
        <f t="shared" si="3"/>
        <v/>
      </c>
      <c r="I23" s="23"/>
      <c r="J23" s="45" t="str">
        <f t="shared" si="31"/>
        <v/>
      </c>
      <c r="K23" s="25"/>
      <c r="L23" s="45" t="str">
        <f t="shared" si="32"/>
        <v/>
      </c>
      <c r="M23" s="29" t="str">
        <f t="shared" si="4"/>
        <v/>
      </c>
      <c r="N23" s="29">
        <f t="shared" si="5"/>
        <v>0</v>
      </c>
      <c r="O23" s="29">
        <f t="shared" si="6"/>
        <v>0</v>
      </c>
      <c r="P23" s="22" t="str">
        <f t="shared" si="7"/>
        <v/>
      </c>
      <c r="Q23" s="23"/>
      <c r="R23" s="45" t="str">
        <f t="shared" si="8"/>
        <v/>
      </c>
      <c r="S23" s="25"/>
      <c r="T23" s="45" t="str">
        <f t="shared" si="9"/>
        <v/>
      </c>
      <c r="U23" s="47"/>
      <c r="V23" s="22" t="str">
        <f t="shared" si="10"/>
        <v/>
      </c>
      <c r="W23" s="23"/>
      <c r="X23" s="45" t="str">
        <f t="shared" si="11"/>
        <v/>
      </c>
      <c r="Y23" s="25"/>
      <c r="Z23" s="45" t="str">
        <f t="shared" si="12"/>
        <v/>
      </c>
      <c r="AA23" s="47"/>
      <c r="AB23" s="22" t="str">
        <f t="shared" si="13"/>
        <v/>
      </c>
      <c r="AC23" s="23"/>
      <c r="AD23" s="45" t="str">
        <f t="shared" si="14"/>
        <v/>
      </c>
      <c r="AE23" s="25"/>
      <c r="AF23" s="45" t="str">
        <f t="shared" si="15"/>
        <v/>
      </c>
      <c r="AG23" s="20">
        <v>0.0</v>
      </c>
      <c r="AH23" s="5"/>
      <c r="AI23" s="22" t="str">
        <f t="shared" si="16"/>
        <v/>
      </c>
      <c r="AJ23" s="23"/>
      <c r="AK23" s="45" t="str">
        <f t="shared" si="17"/>
        <v/>
      </c>
      <c r="AL23" s="25"/>
      <c r="AM23" s="45" t="str">
        <f t="shared" si="18"/>
        <v/>
      </c>
      <c r="AN23" s="29" t="str">
        <f t="shared" si="19"/>
        <v/>
      </c>
      <c r="AO23" s="29">
        <f t="shared" si="20"/>
        <v>0</v>
      </c>
      <c r="AP23" s="29">
        <f t="shared" si="21"/>
        <v>0</v>
      </c>
      <c r="AQ23" s="22" t="str">
        <f t="shared" si="22"/>
        <v/>
      </c>
      <c r="AR23" s="23"/>
      <c r="AS23" s="45" t="str">
        <f t="shared" si="23"/>
        <v/>
      </c>
      <c r="AT23" s="25"/>
      <c r="AU23" s="45" t="str">
        <f t="shared" si="24"/>
        <v/>
      </c>
      <c r="AV23" s="47"/>
      <c r="AW23" s="22" t="str">
        <f t="shared" si="25"/>
        <v/>
      </c>
      <c r="AX23" s="23"/>
      <c r="AY23" s="45" t="str">
        <f t="shared" si="26"/>
        <v/>
      </c>
      <c r="AZ23" s="25"/>
      <c r="BA23" s="45" t="str">
        <f t="shared" si="27"/>
        <v/>
      </c>
      <c r="BB23" s="47"/>
      <c r="BC23" s="22" t="str">
        <f t="shared" si="28"/>
        <v/>
      </c>
      <c r="BD23" s="23"/>
      <c r="BE23" s="45" t="str">
        <f t="shared" si="29"/>
        <v/>
      </c>
      <c r="BF23" s="25"/>
      <c r="BG23" s="45" t="str">
        <f t="shared" si="30"/>
        <v/>
      </c>
      <c r="BH23" s="20">
        <v>0.0</v>
      </c>
    </row>
    <row r="24">
      <c r="A24" s="20" t="str">
        <f t="shared" si="1"/>
        <v/>
      </c>
      <c r="B24" s="21"/>
      <c r="C24" s="22" t="str">
        <f t="shared" si="2"/>
        <v/>
      </c>
      <c r="D24" s="20"/>
      <c r="E24" s="20"/>
      <c r="F24" s="55"/>
      <c r="G24" s="5"/>
      <c r="H24" s="22" t="str">
        <f t="shared" si="3"/>
        <v/>
      </c>
      <c r="I24" s="23"/>
      <c r="J24" s="45" t="str">
        <f t="shared" si="31"/>
        <v/>
      </c>
      <c r="K24" s="25"/>
      <c r="L24" s="45" t="str">
        <f t="shared" si="32"/>
        <v/>
      </c>
      <c r="M24" s="29" t="str">
        <f t="shared" si="4"/>
        <v/>
      </c>
      <c r="N24" s="29">
        <f t="shared" si="5"/>
        <v>0</v>
      </c>
      <c r="O24" s="29">
        <f t="shared" si="6"/>
        <v>0</v>
      </c>
      <c r="P24" s="22" t="str">
        <f t="shared" si="7"/>
        <v/>
      </c>
      <c r="Q24" s="23"/>
      <c r="R24" s="45" t="str">
        <f t="shared" si="8"/>
        <v/>
      </c>
      <c r="S24" s="25"/>
      <c r="T24" s="45" t="str">
        <f t="shared" si="9"/>
        <v/>
      </c>
      <c r="U24" s="47"/>
      <c r="V24" s="22" t="str">
        <f t="shared" si="10"/>
        <v/>
      </c>
      <c r="W24" s="23"/>
      <c r="X24" s="45" t="str">
        <f t="shared" si="11"/>
        <v/>
      </c>
      <c r="Y24" s="25"/>
      <c r="Z24" s="45" t="str">
        <f t="shared" si="12"/>
        <v/>
      </c>
      <c r="AA24" s="47"/>
      <c r="AB24" s="22" t="str">
        <f t="shared" si="13"/>
        <v/>
      </c>
      <c r="AC24" s="23"/>
      <c r="AD24" s="45" t="str">
        <f t="shared" si="14"/>
        <v/>
      </c>
      <c r="AE24" s="25"/>
      <c r="AF24" s="45" t="str">
        <f t="shared" si="15"/>
        <v/>
      </c>
      <c r="AG24" s="20">
        <v>0.0</v>
      </c>
      <c r="AH24" s="5"/>
      <c r="AI24" s="22" t="str">
        <f t="shared" si="16"/>
        <v/>
      </c>
      <c r="AJ24" s="23"/>
      <c r="AK24" s="45" t="str">
        <f t="shared" si="17"/>
        <v/>
      </c>
      <c r="AL24" s="25"/>
      <c r="AM24" s="45" t="str">
        <f t="shared" si="18"/>
        <v/>
      </c>
      <c r="AN24" s="29" t="str">
        <f t="shared" si="19"/>
        <v/>
      </c>
      <c r="AO24" s="29">
        <f t="shared" si="20"/>
        <v>0</v>
      </c>
      <c r="AP24" s="29">
        <f t="shared" si="21"/>
        <v>0</v>
      </c>
      <c r="AQ24" s="22" t="str">
        <f t="shared" si="22"/>
        <v/>
      </c>
      <c r="AR24" s="23"/>
      <c r="AS24" s="45" t="str">
        <f t="shared" si="23"/>
        <v/>
      </c>
      <c r="AT24" s="25"/>
      <c r="AU24" s="45" t="str">
        <f t="shared" si="24"/>
        <v/>
      </c>
      <c r="AV24" s="47"/>
      <c r="AW24" s="22" t="str">
        <f t="shared" si="25"/>
        <v/>
      </c>
      <c r="AX24" s="23"/>
      <c r="AY24" s="45" t="str">
        <f t="shared" si="26"/>
        <v/>
      </c>
      <c r="AZ24" s="25"/>
      <c r="BA24" s="45" t="str">
        <f t="shared" si="27"/>
        <v/>
      </c>
      <c r="BB24" s="47"/>
      <c r="BC24" s="22" t="str">
        <f t="shared" si="28"/>
        <v/>
      </c>
      <c r="BD24" s="23"/>
      <c r="BE24" s="45" t="str">
        <f t="shared" si="29"/>
        <v/>
      </c>
      <c r="BF24" s="25"/>
      <c r="BG24" s="45" t="str">
        <f t="shared" si="30"/>
        <v/>
      </c>
      <c r="BH24" s="20">
        <v>0.0</v>
      </c>
    </row>
    <row r="25">
      <c r="A25" s="20" t="str">
        <f t="shared" si="1"/>
        <v/>
      </c>
      <c r="B25" s="21"/>
      <c r="C25" s="22" t="str">
        <f t="shared" si="2"/>
        <v/>
      </c>
      <c r="D25" s="20"/>
      <c r="E25" s="20"/>
      <c r="F25" s="55"/>
      <c r="G25" s="5"/>
      <c r="H25" s="22" t="str">
        <f t="shared" si="3"/>
        <v/>
      </c>
      <c r="I25" s="23"/>
      <c r="J25" s="45" t="str">
        <f t="shared" si="31"/>
        <v/>
      </c>
      <c r="K25" s="25"/>
      <c r="L25" s="45" t="str">
        <f t="shared" si="32"/>
        <v/>
      </c>
      <c r="M25" s="29" t="str">
        <f t="shared" si="4"/>
        <v/>
      </c>
      <c r="N25" s="29">
        <f t="shared" si="5"/>
        <v>0</v>
      </c>
      <c r="O25" s="29">
        <f t="shared" si="6"/>
        <v>0</v>
      </c>
      <c r="P25" s="22" t="str">
        <f t="shared" si="7"/>
        <v/>
      </c>
      <c r="Q25" s="23"/>
      <c r="R25" s="45" t="str">
        <f t="shared" si="8"/>
        <v/>
      </c>
      <c r="S25" s="25"/>
      <c r="T25" s="45" t="str">
        <f t="shared" si="9"/>
        <v/>
      </c>
      <c r="U25" s="47"/>
      <c r="V25" s="22" t="str">
        <f t="shared" si="10"/>
        <v/>
      </c>
      <c r="W25" s="23"/>
      <c r="X25" s="45" t="str">
        <f t="shared" si="11"/>
        <v/>
      </c>
      <c r="Y25" s="25"/>
      <c r="Z25" s="45" t="str">
        <f t="shared" si="12"/>
        <v/>
      </c>
      <c r="AA25" s="47"/>
      <c r="AB25" s="22" t="str">
        <f t="shared" si="13"/>
        <v/>
      </c>
      <c r="AC25" s="23"/>
      <c r="AD25" s="45" t="str">
        <f t="shared" si="14"/>
        <v/>
      </c>
      <c r="AE25" s="25"/>
      <c r="AF25" s="45" t="str">
        <f t="shared" si="15"/>
        <v/>
      </c>
      <c r="AG25" s="20">
        <v>0.0</v>
      </c>
      <c r="AH25" s="5"/>
      <c r="AI25" s="22" t="str">
        <f t="shared" si="16"/>
        <v/>
      </c>
      <c r="AJ25" s="23"/>
      <c r="AK25" s="45" t="str">
        <f t="shared" si="17"/>
        <v/>
      </c>
      <c r="AL25" s="25"/>
      <c r="AM25" s="45" t="str">
        <f t="shared" si="18"/>
        <v/>
      </c>
      <c r="AN25" s="29" t="str">
        <f t="shared" si="19"/>
        <v/>
      </c>
      <c r="AO25" s="29">
        <f t="shared" si="20"/>
        <v>0</v>
      </c>
      <c r="AP25" s="29">
        <f t="shared" si="21"/>
        <v>0</v>
      </c>
      <c r="AQ25" s="22" t="str">
        <f t="shared" si="22"/>
        <v/>
      </c>
      <c r="AR25" s="23"/>
      <c r="AS25" s="45" t="str">
        <f t="shared" si="23"/>
        <v/>
      </c>
      <c r="AT25" s="25"/>
      <c r="AU25" s="45" t="str">
        <f t="shared" si="24"/>
        <v/>
      </c>
      <c r="AV25" s="47"/>
      <c r="AW25" s="22" t="str">
        <f t="shared" si="25"/>
        <v/>
      </c>
      <c r="AX25" s="23"/>
      <c r="AY25" s="45" t="str">
        <f t="shared" si="26"/>
        <v/>
      </c>
      <c r="AZ25" s="25"/>
      <c r="BA25" s="45" t="str">
        <f t="shared" si="27"/>
        <v/>
      </c>
      <c r="BB25" s="47"/>
      <c r="BC25" s="22" t="str">
        <f t="shared" si="28"/>
        <v/>
      </c>
      <c r="BD25" s="23"/>
      <c r="BE25" s="45" t="str">
        <f t="shared" si="29"/>
        <v/>
      </c>
      <c r="BF25" s="25"/>
      <c r="BG25" s="45" t="str">
        <f t="shared" si="30"/>
        <v/>
      </c>
      <c r="BH25" s="20">
        <v>0.0</v>
      </c>
    </row>
    <row r="26">
      <c r="A26" s="20" t="str">
        <f t="shared" si="1"/>
        <v/>
      </c>
      <c r="B26" s="21"/>
      <c r="C26" s="22" t="str">
        <f t="shared" si="2"/>
        <v/>
      </c>
      <c r="D26" s="20"/>
      <c r="E26" s="20"/>
      <c r="F26" s="55"/>
      <c r="G26" s="5"/>
      <c r="H26" s="22" t="str">
        <f t="shared" si="3"/>
        <v/>
      </c>
      <c r="I26" s="23"/>
      <c r="J26" s="45" t="str">
        <f t="shared" si="31"/>
        <v/>
      </c>
      <c r="K26" s="25"/>
      <c r="L26" s="45" t="str">
        <f t="shared" si="32"/>
        <v/>
      </c>
      <c r="M26" s="29" t="str">
        <f t="shared" si="4"/>
        <v/>
      </c>
      <c r="N26" s="29">
        <f t="shared" si="5"/>
        <v>0</v>
      </c>
      <c r="O26" s="29">
        <f t="shared" si="6"/>
        <v>0</v>
      </c>
      <c r="P26" s="22" t="str">
        <f t="shared" si="7"/>
        <v/>
      </c>
      <c r="Q26" s="23"/>
      <c r="R26" s="45" t="str">
        <f t="shared" si="8"/>
        <v/>
      </c>
      <c r="S26" s="25"/>
      <c r="T26" s="45" t="str">
        <f t="shared" si="9"/>
        <v/>
      </c>
      <c r="U26" s="47"/>
      <c r="V26" s="22" t="str">
        <f t="shared" si="10"/>
        <v/>
      </c>
      <c r="W26" s="23"/>
      <c r="X26" s="45" t="str">
        <f t="shared" si="11"/>
        <v/>
      </c>
      <c r="Y26" s="25"/>
      <c r="Z26" s="45" t="str">
        <f t="shared" si="12"/>
        <v/>
      </c>
      <c r="AA26" s="47"/>
      <c r="AB26" s="22" t="str">
        <f t="shared" si="13"/>
        <v/>
      </c>
      <c r="AC26" s="23"/>
      <c r="AD26" s="45" t="str">
        <f t="shared" si="14"/>
        <v/>
      </c>
      <c r="AE26" s="25"/>
      <c r="AF26" s="45" t="str">
        <f t="shared" si="15"/>
        <v/>
      </c>
      <c r="AG26" s="20">
        <v>0.0</v>
      </c>
      <c r="AH26" s="5"/>
      <c r="AI26" s="22" t="str">
        <f t="shared" si="16"/>
        <v/>
      </c>
      <c r="AJ26" s="23"/>
      <c r="AK26" s="45" t="str">
        <f t="shared" si="17"/>
        <v/>
      </c>
      <c r="AL26" s="25"/>
      <c r="AM26" s="45" t="str">
        <f t="shared" si="18"/>
        <v/>
      </c>
      <c r="AN26" s="29" t="str">
        <f t="shared" si="19"/>
        <v/>
      </c>
      <c r="AO26" s="29">
        <f t="shared" si="20"/>
        <v>0</v>
      </c>
      <c r="AP26" s="29">
        <f t="shared" si="21"/>
        <v>0</v>
      </c>
      <c r="AQ26" s="22" t="str">
        <f t="shared" si="22"/>
        <v/>
      </c>
      <c r="AR26" s="23"/>
      <c r="AS26" s="45" t="str">
        <f t="shared" si="23"/>
        <v/>
      </c>
      <c r="AT26" s="25"/>
      <c r="AU26" s="45" t="str">
        <f t="shared" si="24"/>
        <v/>
      </c>
      <c r="AV26" s="47"/>
      <c r="AW26" s="22" t="str">
        <f t="shared" si="25"/>
        <v/>
      </c>
      <c r="AX26" s="23"/>
      <c r="AY26" s="45" t="str">
        <f t="shared" si="26"/>
        <v/>
      </c>
      <c r="AZ26" s="25"/>
      <c r="BA26" s="45" t="str">
        <f t="shared" si="27"/>
        <v/>
      </c>
      <c r="BB26" s="47"/>
      <c r="BC26" s="22" t="str">
        <f t="shared" si="28"/>
        <v/>
      </c>
      <c r="BD26" s="23"/>
      <c r="BE26" s="45" t="str">
        <f t="shared" si="29"/>
        <v/>
      </c>
      <c r="BF26" s="25"/>
      <c r="BG26" s="45" t="str">
        <f t="shared" si="30"/>
        <v/>
      </c>
      <c r="BH26" s="20">
        <v>0.0</v>
      </c>
    </row>
    <row r="27">
      <c r="A27" s="20" t="str">
        <f t="shared" si="1"/>
        <v/>
      </c>
      <c r="B27" s="21"/>
      <c r="C27" s="22" t="str">
        <f t="shared" si="2"/>
        <v/>
      </c>
      <c r="D27" s="20"/>
      <c r="E27" s="20"/>
      <c r="F27" s="55"/>
      <c r="G27" s="5"/>
      <c r="H27" s="22" t="str">
        <f t="shared" si="3"/>
        <v/>
      </c>
      <c r="I27" s="23"/>
      <c r="J27" s="45" t="str">
        <f t="shared" si="31"/>
        <v/>
      </c>
      <c r="K27" s="25"/>
      <c r="L27" s="45" t="str">
        <f t="shared" si="32"/>
        <v/>
      </c>
      <c r="M27" s="29" t="str">
        <f t="shared" si="4"/>
        <v/>
      </c>
      <c r="N27" s="29">
        <f t="shared" si="5"/>
        <v>0</v>
      </c>
      <c r="O27" s="29">
        <f t="shared" si="6"/>
        <v>0</v>
      </c>
      <c r="P27" s="22" t="str">
        <f t="shared" si="7"/>
        <v/>
      </c>
      <c r="Q27" s="23"/>
      <c r="R27" s="45" t="str">
        <f t="shared" si="8"/>
        <v/>
      </c>
      <c r="S27" s="25"/>
      <c r="T27" s="45" t="str">
        <f t="shared" si="9"/>
        <v/>
      </c>
      <c r="U27" s="47"/>
      <c r="V27" s="22" t="str">
        <f t="shared" si="10"/>
        <v/>
      </c>
      <c r="W27" s="23"/>
      <c r="X27" s="45" t="str">
        <f t="shared" si="11"/>
        <v/>
      </c>
      <c r="Y27" s="25"/>
      <c r="Z27" s="45" t="str">
        <f t="shared" si="12"/>
        <v/>
      </c>
      <c r="AA27" s="47"/>
      <c r="AB27" s="22" t="str">
        <f t="shared" si="13"/>
        <v/>
      </c>
      <c r="AC27" s="23"/>
      <c r="AD27" s="45" t="str">
        <f t="shared" si="14"/>
        <v/>
      </c>
      <c r="AE27" s="25"/>
      <c r="AF27" s="45" t="str">
        <f t="shared" si="15"/>
        <v/>
      </c>
      <c r="AG27" s="20">
        <v>0.0</v>
      </c>
      <c r="AH27" s="5"/>
      <c r="AI27" s="22" t="str">
        <f t="shared" si="16"/>
        <v/>
      </c>
      <c r="AJ27" s="23"/>
      <c r="AK27" s="45" t="str">
        <f t="shared" si="17"/>
        <v/>
      </c>
      <c r="AL27" s="25"/>
      <c r="AM27" s="45" t="str">
        <f t="shared" si="18"/>
        <v/>
      </c>
      <c r="AN27" s="29" t="str">
        <f t="shared" si="19"/>
        <v/>
      </c>
      <c r="AO27" s="29">
        <f t="shared" si="20"/>
        <v>0</v>
      </c>
      <c r="AP27" s="29">
        <f t="shared" si="21"/>
        <v>0</v>
      </c>
      <c r="AQ27" s="22" t="str">
        <f t="shared" si="22"/>
        <v/>
      </c>
      <c r="AR27" s="23"/>
      <c r="AS27" s="45" t="str">
        <f t="shared" si="23"/>
        <v/>
      </c>
      <c r="AT27" s="25"/>
      <c r="AU27" s="45" t="str">
        <f t="shared" si="24"/>
        <v/>
      </c>
      <c r="AV27" s="47"/>
      <c r="AW27" s="22" t="str">
        <f t="shared" si="25"/>
        <v/>
      </c>
      <c r="AX27" s="23"/>
      <c r="AY27" s="45" t="str">
        <f t="shared" si="26"/>
        <v/>
      </c>
      <c r="AZ27" s="25"/>
      <c r="BA27" s="45" t="str">
        <f t="shared" si="27"/>
        <v/>
      </c>
      <c r="BB27" s="47"/>
      <c r="BC27" s="22" t="str">
        <f t="shared" si="28"/>
        <v/>
      </c>
      <c r="BD27" s="23"/>
      <c r="BE27" s="45" t="str">
        <f t="shared" si="29"/>
        <v/>
      </c>
      <c r="BF27" s="25"/>
      <c r="BG27" s="45" t="str">
        <f t="shared" si="30"/>
        <v/>
      </c>
      <c r="BH27" s="20">
        <v>0.0</v>
      </c>
    </row>
    <row r="28">
      <c r="A28" s="20" t="str">
        <f t="shared" si="1"/>
        <v/>
      </c>
      <c r="B28" s="21"/>
      <c r="C28" s="22" t="str">
        <f t="shared" si="2"/>
        <v/>
      </c>
      <c r="D28" s="20"/>
      <c r="E28" s="20"/>
      <c r="F28" s="55"/>
      <c r="G28" s="5"/>
      <c r="H28" s="22" t="str">
        <f t="shared" si="3"/>
        <v/>
      </c>
      <c r="I28" s="23"/>
      <c r="J28" s="45" t="str">
        <f t="shared" si="31"/>
        <v/>
      </c>
      <c r="K28" s="25"/>
      <c r="L28" s="45" t="str">
        <f t="shared" si="32"/>
        <v/>
      </c>
      <c r="M28" s="29" t="str">
        <f t="shared" si="4"/>
        <v/>
      </c>
      <c r="N28" s="29">
        <f t="shared" si="5"/>
        <v>0</v>
      </c>
      <c r="O28" s="29">
        <f t="shared" si="6"/>
        <v>0</v>
      </c>
      <c r="P28" s="22" t="str">
        <f t="shared" si="7"/>
        <v/>
      </c>
      <c r="Q28" s="23"/>
      <c r="R28" s="45" t="str">
        <f t="shared" si="8"/>
        <v/>
      </c>
      <c r="S28" s="25"/>
      <c r="T28" s="45" t="str">
        <f t="shared" si="9"/>
        <v/>
      </c>
      <c r="U28" s="47"/>
      <c r="V28" s="22" t="str">
        <f t="shared" si="10"/>
        <v/>
      </c>
      <c r="W28" s="23"/>
      <c r="X28" s="45" t="str">
        <f t="shared" si="11"/>
        <v/>
      </c>
      <c r="Y28" s="25"/>
      <c r="Z28" s="45" t="str">
        <f t="shared" si="12"/>
        <v/>
      </c>
      <c r="AA28" s="47"/>
      <c r="AB28" s="22" t="str">
        <f t="shared" si="13"/>
        <v/>
      </c>
      <c r="AC28" s="23"/>
      <c r="AD28" s="45" t="str">
        <f t="shared" si="14"/>
        <v/>
      </c>
      <c r="AE28" s="25"/>
      <c r="AF28" s="45" t="str">
        <f t="shared" si="15"/>
        <v/>
      </c>
      <c r="AG28" s="20">
        <v>0.0</v>
      </c>
      <c r="AH28" s="5"/>
      <c r="AI28" s="22" t="str">
        <f t="shared" si="16"/>
        <v/>
      </c>
      <c r="AJ28" s="23"/>
      <c r="AK28" s="45" t="str">
        <f t="shared" si="17"/>
        <v/>
      </c>
      <c r="AL28" s="25"/>
      <c r="AM28" s="45" t="str">
        <f t="shared" si="18"/>
        <v/>
      </c>
      <c r="AN28" s="29" t="str">
        <f t="shared" si="19"/>
        <v/>
      </c>
      <c r="AO28" s="29">
        <f t="shared" si="20"/>
        <v>0</v>
      </c>
      <c r="AP28" s="29">
        <f t="shared" si="21"/>
        <v>0</v>
      </c>
      <c r="AQ28" s="22" t="str">
        <f t="shared" si="22"/>
        <v/>
      </c>
      <c r="AR28" s="23"/>
      <c r="AS28" s="45" t="str">
        <f t="shared" si="23"/>
        <v/>
      </c>
      <c r="AT28" s="25"/>
      <c r="AU28" s="45" t="str">
        <f t="shared" si="24"/>
        <v/>
      </c>
      <c r="AV28" s="47"/>
      <c r="AW28" s="22" t="str">
        <f t="shared" si="25"/>
        <v/>
      </c>
      <c r="AX28" s="23"/>
      <c r="AY28" s="45" t="str">
        <f t="shared" si="26"/>
        <v/>
      </c>
      <c r="AZ28" s="25"/>
      <c r="BA28" s="45" t="str">
        <f t="shared" si="27"/>
        <v/>
      </c>
      <c r="BB28" s="47"/>
      <c r="BC28" s="22" t="str">
        <f t="shared" si="28"/>
        <v/>
      </c>
      <c r="BD28" s="23"/>
      <c r="BE28" s="45" t="str">
        <f t="shared" si="29"/>
        <v/>
      </c>
      <c r="BF28" s="25"/>
      <c r="BG28" s="45" t="str">
        <f t="shared" si="30"/>
        <v/>
      </c>
      <c r="BH28" s="20">
        <v>0.0</v>
      </c>
    </row>
    <row r="29">
      <c r="A29" s="20" t="str">
        <f t="shared" si="1"/>
        <v/>
      </c>
      <c r="B29" s="21"/>
      <c r="C29" s="22" t="str">
        <f t="shared" si="2"/>
        <v/>
      </c>
      <c r="D29" s="20"/>
      <c r="E29" s="20"/>
      <c r="F29" s="55"/>
      <c r="G29" s="5"/>
      <c r="H29" s="22" t="str">
        <f t="shared" si="3"/>
        <v/>
      </c>
      <c r="I29" s="23"/>
      <c r="J29" s="45" t="str">
        <f t="shared" si="31"/>
        <v/>
      </c>
      <c r="K29" s="25"/>
      <c r="L29" s="45" t="str">
        <f t="shared" si="32"/>
        <v/>
      </c>
      <c r="M29" s="29" t="str">
        <f t="shared" si="4"/>
        <v/>
      </c>
      <c r="N29" s="29">
        <f t="shared" si="5"/>
        <v>0</v>
      </c>
      <c r="O29" s="29">
        <f t="shared" si="6"/>
        <v>0</v>
      </c>
      <c r="P29" s="22" t="str">
        <f t="shared" si="7"/>
        <v/>
      </c>
      <c r="Q29" s="23"/>
      <c r="R29" s="45" t="str">
        <f t="shared" si="8"/>
        <v/>
      </c>
      <c r="S29" s="25"/>
      <c r="T29" s="45" t="str">
        <f t="shared" si="9"/>
        <v/>
      </c>
      <c r="U29" s="47"/>
      <c r="V29" s="22" t="str">
        <f t="shared" si="10"/>
        <v/>
      </c>
      <c r="W29" s="23"/>
      <c r="X29" s="45" t="str">
        <f t="shared" si="11"/>
        <v/>
      </c>
      <c r="Y29" s="25"/>
      <c r="Z29" s="45" t="str">
        <f t="shared" si="12"/>
        <v/>
      </c>
      <c r="AA29" s="47"/>
      <c r="AB29" s="22" t="str">
        <f t="shared" si="13"/>
        <v/>
      </c>
      <c r="AC29" s="23"/>
      <c r="AD29" s="45" t="str">
        <f t="shared" si="14"/>
        <v/>
      </c>
      <c r="AE29" s="25"/>
      <c r="AF29" s="45" t="str">
        <f t="shared" si="15"/>
        <v/>
      </c>
      <c r="AG29" s="20">
        <v>0.0</v>
      </c>
      <c r="AH29" s="5"/>
      <c r="AI29" s="22" t="str">
        <f t="shared" si="16"/>
        <v/>
      </c>
      <c r="AJ29" s="23"/>
      <c r="AK29" s="45" t="str">
        <f t="shared" si="17"/>
        <v/>
      </c>
      <c r="AL29" s="25"/>
      <c r="AM29" s="45" t="str">
        <f t="shared" si="18"/>
        <v/>
      </c>
      <c r="AN29" s="29" t="str">
        <f t="shared" si="19"/>
        <v/>
      </c>
      <c r="AO29" s="29">
        <f t="shared" si="20"/>
        <v>0</v>
      </c>
      <c r="AP29" s="29">
        <f t="shared" si="21"/>
        <v>0</v>
      </c>
      <c r="AQ29" s="22" t="str">
        <f t="shared" si="22"/>
        <v/>
      </c>
      <c r="AR29" s="23"/>
      <c r="AS29" s="45" t="str">
        <f t="shared" si="23"/>
        <v/>
      </c>
      <c r="AT29" s="25"/>
      <c r="AU29" s="45" t="str">
        <f t="shared" si="24"/>
        <v/>
      </c>
      <c r="AV29" s="47"/>
      <c r="AW29" s="22" t="str">
        <f t="shared" si="25"/>
        <v/>
      </c>
      <c r="AX29" s="23"/>
      <c r="AY29" s="45" t="str">
        <f t="shared" si="26"/>
        <v/>
      </c>
      <c r="AZ29" s="25"/>
      <c r="BA29" s="45" t="str">
        <f t="shared" si="27"/>
        <v/>
      </c>
      <c r="BB29" s="47"/>
      <c r="BC29" s="22" t="str">
        <f t="shared" si="28"/>
        <v/>
      </c>
      <c r="BD29" s="23"/>
      <c r="BE29" s="45" t="str">
        <f t="shared" si="29"/>
        <v/>
      </c>
      <c r="BF29" s="25"/>
      <c r="BG29" s="45" t="str">
        <f t="shared" si="30"/>
        <v/>
      </c>
      <c r="BH29" s="20">
        <v>0.0</v>
      </c>
    </row>
  </sheetData>
  <mergeCells count="18">
    <mergeCell ref="A1:C1"/>
    <mergeCell ref="D1:F1"/>
    <mergeCell ref="G1:G2"/>
    <mergeCell ref="I1:O1"/>
    <mergeCell ref="P1:P2"/>
    <mergeCell ref="Q1:U1"/>
    <mergeCell ref="V1:V2"/>
    <mergeCell ref="AR1:AV1"/>
    <mergeCell ref="AX1:BB1"/>
    <mergeCell ref="BD1:BH1"/>
    <mergeCell ref="W1:AA1"/>
    <mergeCell ref="AB1:AB2"/>
    <mergeCell ref="AC1:AG1"/>
    <mergeCell ref="AH1:AH2"/>
    <mergeCell ref="AJ1:AP1"/>
    <mergeCell ref="AQ1:AQ2"/>
    <mergeCell ref="AW1:AW2"/>
    <mergeCell ref="BC1:BC2"/>
  </mergeCells>
  <dataValidations>
    <dataValidation type="list" allowBlank="1" showErrorMessage="1" sqref="D3:E29">
      <formula1>"1,2,3,4,5"</formula1>
    </dataValidation>
    <dataValidation type="list" allowBlank="1" showErrorMessage="1" sqref="F3:F29 I3:I29 Q3:Q29 W3:W29 AC3:AC29 AJ3:AJ29 AR3:AR29 AX3:AX29 BD3:BD29">
      <formula1>'List Personnel'!$A$2:$A$56</formula1>
    </dataValidation>
    <dataValidation type="list" allowBlank="1" showErrorMessage="1" sqref="U3:U29 AA3:AA29 AV3:AV29 BB3:BB29">
      <formula1>"5%,10%,20%,30%,40%,50%,60%,70%,80%,90%,100%"</formula1>
    </dataValidation>
    <dataValidation type="list" allowBlank="1" showErrorMessage="1" sqref="K3:K29 S3:S29 Y3:Y29 AE3:AE29 AL3:AL29 AT3:AT29 AZ3:AZ29 BF3:BF29">
      <formula1>"Ongoing,Done,Pending,Revision"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 outlineLevelCol="1"/>
  <cols>
    <col customWidth="1" min="1" max="1" width="6.88"/>
    <col customWidth="1" min="2" max="2" width="21.88"/>
    <col customWidth="1" min="3" max="3" width="13.13"/>
    <col customWidth="1" min="8" max="8" width="3.38"/>
    <col customWidth="1" min="9" max="9" width="9.63"/>
    <col customWidth="1" min="10" max="10" width="17.25"/>
    <col customWidth="1" min="11" max="11" width="13.5"/>
    <col collapsed="1" min="13" max="13" width="12.63"/>
    <col hidden="1" min="14" max="16" width="12.63" outlineLevel="1"/>
    <col min="18" max="22" width="12.63" outlineLevel="1"/>
    <col collapsed="1" min="23" max="23" width="12.63"/>
    <col hidden="1" min="24" max="28" width="12.63" outlineLevel="1"/>
    <col customWidth="1" min="30" max="30" width="9.63"/>
    <col min="31" max="35" width="12.63" outlineLevel="1"/>
    <col customWidth="1" min="36" max="36" width="4.13"/>
    <col collapsed="1" min="41" max="41" width="12.63"/>
    <col hidden="1" min="42" max="44" width="12.63" outlineLevel="1"/>
    <col collapsed="1" min="45" max="45" width="12.63"/>
    <col hidden="1" min="46" max="50" width="12.63" outlineLevel="1"/>
    <col collapsed="1" min="51" max="51" width="12.63"/>
    <col hidden="1" min="52" max="56" width="12.63" outlineLevel="1"/>
    <col min="58" max="62" width="12.63" outlineLevel="1"/>
    <col customWidth="1" min="63" max="63" width="4.13"/>
    <col collapsed="1" min="68" max="68" width="12.63"/>
    <col hidden="1" min="69" max="71" width="12.63" outlineLevel="1"/>
    <col collapsed="1" min="72" max="72" width="12.63"/>
    <col hidden="1" min="73" max="77" width="12.63" outlineLevel="1"/>
    <col collapsed="1" min="78" max="78" width="12.63"/>
    <col hidden="1" min="79" max="83" width="12.63" outlineLevel="1"/>
    <col collapsed="1" min="84" max="84" width="12.63"/>
    <col hidden="1" min="85" max="89" width="12.63" outlineLevel="1"/>
    <col collapsed="1" customWidth="1" min="90" max="90" width="4.13"/>
    <col hidden="1" min="91" max="95" width="12.63" outlineLevel="1"/>
  </cols>
  <sheetData>
    <row r="1">
      <c r="A1" s="8" t="s">
        <v>3</v>
      </c>
      <c r="D1" s="3" t="s">
        <v>4</v>
      </c>
      <c r="H1" s="3"/>
      <c r="I1" s="8" t="s">
        <v>9</v>
      </c>
      <c r="Q1" s="3" t="s">
        <v>8</v>
      </c>
      <c r="R1" s="3" t="s">
        <v>8</v>
      </c>
      <c r="W1" s="3" t="s">
        <v>10</v>
      </c>
      <c r="X1" s="3" t="s">
        <v>10</v>
      </c>
      <c r="AC1" s="8" t="s">
        <v>16</v>
      </c>
      <c r="AD1" s="14" t="s">
        <v>19</v>
      </c>
      <c r="AJ1" s="3"/>
      <c r="AK1" s="8" t="s">
        <v>5</v>
      </c>
      <c r="AS1" s="3" t="s">
        <v>8</v>
      </c>
      <c r="AT1" s="3" t="s">
        <v>8</v>
      </c>
      <c r="AY1" s="3" t="s">
        <v>10</v>
      </c>
      <c r="AZ1" s="3" t="s">
        <v>10</v>
      </c>
      <c r="BE1" s="8" t="s">
        <v>30</v>
      </c>
      <c r="BF1" s="8" t="s">
        <v>34</v>
      </c>
      <c r="BK1" s="3"/>
      <c r="BL1" s="8" t="s">
        <v>43</v>
      </c>
      <c r="BT1" s="3" t="s">
        <v>8</v>
      </c>
      <c r="BU1" s="3" t="s">
        <v>8</v>
      </c>
      <c r="BZ1" s="3" t="s">
        <v>10</v>
      </c>
      <c r="CA1" s="3" t="s">
        <v>10</v>
      </c>
      <c r="CF1" s="8" t="s">
        <v>52</v>
      </c>
      <c r="CG1" s="8" t="s">
        <v>53</v>
      </c>
      <c r="CL1" s="3"/>
      <c r="CM1" s="3" t="s">
        <v>15</v>
      </c>
    </row>
    <row r="2">
      <c r="A2" s="3" t="s">
        <v>24</v>
      </c>
      <c r="B2" s="8" t="s">
        <v>58</v>
      </c>
      <c r="C2" s="8" t="s">
        <v>26</v>
      </c>
      <c r="D2" s="8" t="s">
        <v>61</v>
      </c>
      <c r="E2" s="8" t="s">
        <v>33</v>
      </c>
      <c r="F2" s="8" t="s">
        <v>62</v>
      </c>
      <c r="G2" s="3" t="s">
        <v>31</v>
      </c>
      <c r="H2" s="3"/>
      <c r="I2" s="3" t="s">
        <v>35</v>
      </c>
      <c r="J2" s="3" t="s">
        <v>36</v>
      </c>
      <c r="K2" s="3" t="s">
        <v>38</v>
      </c>
      <c r="L2" s="3" t="s">
        <v>39</v>
      </c>
      <c r="M2" s="3" t="s">
        <v>40</v>
      </c>
      <c r="N2" s="3" t="s">
        <v>42</v>
      </c>
      <c r="O2" s="3" t="s">
        <v>44</v>
      </c>
      <c r="P2" s="3" t="s">
        <v>45</v>
      </c>
      <c r="R2" s="3" t="s">
        <v>46</v>
      </c>
      <c r="S2" s="3" t="s">
        <v>38</v>
      </c>
      <c r="T2" s="3" t="s">
        <v>39</v>
      </c>
      <c r="U2" s="3" t="s">
        <v>40</v>
      </c>
      <c r="V2" s="3" t="s">
        <v>47</v>
      </c>
      <c r="X2" s="3" t="s">
        <v>48</v>
      </c>
      <c r="Y2" s="3" t="s">
        <v>38</v>
      </c>
      <c r="Z2" s="3" t="s">
        <v>39</v>
      </c>
      <c r="AA2" s="3" t="s">
        <v>40</v>
      </c>
      <c r="AB2" s="3" t="s">
        <v>47</v>
      </c>
      <c r="AD2" s="3" t="s">
        <v>35</v>
      </c>
      <c r="AE2" s="3" t="s">
        <v>49</v>
      </c>
      <c r="AF2" s="3" t="s">
        <v>38</v>
      </c>
      <c r="AG2" s="3" t="s">
        <v>39</v>
      </c>
      <c r="AH2" s="3" t="s">
        <v>40</v>
      </c>
      <c r="AI2" s="3" t="s">
        <v>51</v>
      </c>
      <c r="AJ2" s="3"/>
      <c r="AK2" s="3" t="s">
        <v>35</v>
      </c>
      <c r="AL2" s="3" t="s">
        <v>36</v>
      </c>
      <c r="AM2" s="3" t="s">
        <v>38</v>
      </c>
      <c r="AN2" s="3" t="s">
        <v>39</v>
      </c>
      <c r="AO2" s="3" t="s">
        <v>40</v>
      </c>
      <c r="AP2" s="3" t="s">
        <v>42</v>
      </c>
      <c r="AQ2" s="3" t="s">
        <v>44</v>
      </c>
      <c r="AR2" s="3" t="s">
        <v>45</v>
      </c>
      <c r="AT2" s="3" t="s">
        <v>46</v>
      </c>
      <c r="AU2" s="3" t="s">
        <v>38</v>
      </c>
      <c r="AV2" s="3" t="s">
        <v>39</v>
      </c>
      <c r="AW2" s="3" t="s">
        <v>40</v>
      </c>
      <c r="AX2" s="3" t="s">
        <v>47</v>
      </c>
      <c r="AZ2" s="3" t="s">
        <v>48</v>
      </c>
      <c r="BA2" s="3" t="s">
        <v>38</v>
      </c>
      <c r="BB2" s="3" t="s">
        <v>39</v>
      </c>
      <c r="BC2" s="3" t="s">
        <v>40</v>
      </c>
      <c r="BD2" s="3" t="s">
        <v>47</v>
      </c>
      <c r="BF2" s="3" t="s">
        <v>49</v>
      </c>
      <c r="BG2" s="3" t="s">
        <v>38</v>
      </c>
      <c r="BH2" s="3" t="s">
        <v>39</v>
      </c>
      <c r="BI2" s="3" t="s">
        <v>40</v>
      </c>
      <c r="BJ2" s="3" t="s">
        <v>51</v>
      </c>
      <c r="BK2" s="3"/>
      <c r="BL2" s="3" t="s">
        <v>35</v>
      </c>
      <c r="BM2" s="3" t="s">
        <v>36</v>
      </c>
      <c r="BN2" s="3" t="s">
        <v>38</v>
      </c>
      <c r="BO2" s="3" t="s">
        <v>39</v>
      </c>
      <c r="BP2" s="3" t="s">
        <v>40</v>
      </c>
      <c r="BQ2" s="3" t="s">
        <v>42</v>
      </c>
      <c r="BR2" s="3" t="s">
        <v>44</v>
      </c>
      <c r="BS2" s="3" t="s">
        <v>45</v>
      </c>
      <c r="BU2" s="3" t="s">
        <v>46</v>
      </c>
      <c r="BV2" s="3" t="s">
        <v>38</v>
      </c>
      <c r="BW2" s="3" t="s">
        <v>39</v>
      </c>
      <c r="BX2" s="3" t="s">
        <v>40</v>
      </c>
      <c r="BY2" s="3" t="s">
        <v>47</v>
      </c>
      <c r="CA2" s="3" t="s">
        <v>48</v>
      </c>
      <c r="CB2" s="3" t="s">
        <v>38</v>
      </c>
      <c r="CC2" s="3" t="s">
        <v>39</v>
      </c>
      <c r="CD2" s="3" t="s">
        <v>40</v>
      </c>
      <c r="CE2" s="3" t="s">
        <v>47</v>
      </c>
      <c r="CG2" s="3" t="s">
        <v>49</v>
      </c>
      <c r="CH2" s="3" t="s">
        <v>38</v>
      </c>
      <c r="CI2" s="3" t="s">
        <v>39</v>
      </c>
      <c r="CJ2" s="3" t="s">
        <v>40</v>
      </c>
      <c r="CK2" s="3" t="s">
        <v>51</v>
      </c>
      <c r="CL2" s="3"/>
      <c r="CM2" s="3" t="s">
        <v>49</v>
      </c>
      <c r="CN2" s="3" t="s">
        <v>38</v>
      </c>
      <c r="CO2" s="3" t="s">
        <v>39</v>
      </c>
      <c r="CP2" s="3" t="s">
        <v>40</v>
      </c>
      <c r="CQ2" s="3" t="s">
        <v>51</v>
      </c>
    </row>
    <row r="3" ht="52.5" customHeight="1">
      <c r="A3" s="28" t="s">
        <v>68</v>
      </c>
      <c r="B3" s="30" t="s">
        <v>71</v>
      </c>
      <c r="C3" s="31"/>
      <c r="D3" s="31"/>
      <c r="E3" s="31"/>
      <c r="F3" s="31"/>
      <c r="G3" s="31"/>
      <c r="H3" s="32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2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2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6"/>
      <c r="CN3" s="37"/>
      <c r="CO3" s="38"/>
      <c r="CP3" s="37"/>
      <c r="CQ3" s="28"/>
    </row>
    <row r="4" ht="52.5" customHeight="1">
      <c r="A4" s="39" t="s">
        <v>74</v>
      </c>
      <c r="B4" s="41" t="s">
        <v>75</v>
      </c>
      <c r="C4" s="42"/>
      <c r="D4" s="42"/>
      <c r="E4" s="42"/>
      <c r="F4" s="42"/>
      <c r="G4" s="42"/>
      <c r="H4" s="4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3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3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3"/>
      <c r="CM4" s="48"/>
      <c r="CN4" s="49"/>
      <c r="CO4" s="50"/>
      <c r="CP4" s="49"/>
      <c r="CQ4" s="51"/>
    </row>
    <row r="5" ht="52.5" customHeight="1">
      <c r="A5" s="46">
        <v>1.0</v>
      </c>
      <c r="B5" s="27" t="s">
        <v>76</v>
      </c>
      <c r="C5" s="26"/>
      <c r="D5" s="20">
        <v>4.0</v>
      </c>
      <c r="E5" s="52">
        <v>5.0</v>
      </c>
      <c r="F5" s="20"/>
      <c r="G5" s="23" t="s">
        <v>66</v>
      </c>
      <c r="H5" s="33"/>
      <c r="I5" s="22">
        <f t="shared" ref="I5:I8" si="1">D5</f>
        <v>4</v>
      </c>
      <c r="J5" s="23" t="s">
        <v>67</v>
      </c>
      <c r="K5" s="24">
        <v>46248.389548611114</v>
      </c>
      <c r="L5" s="25" t="s">
        <v>69</v>
      </c>
      <c r="M5" s="40">
        <f t="shared" ref="M5:M11" si="2">if(L5="Done", if(M5="",NOW(),M5),"")</f>
        <v>46248.7072</v>
      </c>
      <c r="N5" s="29"/>
      <c r="O5" s="29"/>
      <c r="P5" s="29"/>
      <c r="Q5" s="22" t="str">
        <f>T5</f>
        <v>Done</v>
      </c>
      <c r="R5" s="23" t="s">
        <v>67</v>
      </c>
      <c r="S5" s="40">
        <f>if(R5&lt;&gt;"", if(S5="",NOW(),S5),"")</f>
        <v>46261.45337</v>
      </c>
      <c r="T5" s="25" t="s">
        <v>69</v>
      </c>
      <c r="U5" s="40">
        <f>if(T5="Done", if(U5="",NOW(),U5),"")</f>
        <v>46311.64581</v>
      </c>
      <c r="V5" s="35">
        <v>1.0</v>
      </c>
      <c r="W5" s="22" t="str">
        <f>Z5</f>
        <v/>
      </c>
      <c r="X5" s="23"/>
      <c r="Y5" s="45"/>
      <c r="Z5" s="25"/>
      <c r="AA5" s="45"/>
      <c r="AB5" s="47"/>
      <c r="AC5" s="22" t="str">
        <f t="shared" ref="AC5:AC10" si="3">AG5</f>
        <v>Done</v>
      </c>
      <c r="AD5" s="22">
        <v>1.0</v>
      </c>
      <c r="AE5" s="23" t="s">
        <v>66</v>
      </c>
      <c r="AF5" s="40">
        <v>46280.46541761574</v>
      </c>
      <c r="AG5" s="25" t="s">
        <v>69</v>
      </c>
      <c r="AH5" s="53">
        <v>46280.602222222224</v>
      </c>
      <c r="AI5" s="46">
        <v>1.0</v>
      </c>
      <c r="AJ5" s="33"/>
      <c r="AK5" s="22">
        <f t="shared" ref="AK5:AK8" si="4">E5</f>
        <v>5</v>
      </c>
      <c r="AL5" s="23" t="s">
        <v>67</v>
      </c>
      <c r="AM5" s="40">
        <f t="shared" ref="AM5:AM8" si="5">if(AL5&lt;&gt;"", if(AM5="",NOW(),AM5),"")</f>
        <v>46253.3809</v>
      </c>
      <c r="AN5" s="25" t="s">
        <v>69</v>
      </c>
      <c r="AO5" s="53">
        <v>46255.63596064815</v>
      </c>
      <c r="AP5" s="29"/>
      <c r="AQ5" s="29"/>
      <c r="AR5" s="29"/>
      <c r="AS5" s="22" t="str">
        <f t="shared" ref="AS5:AS8" si="6">AV5</f>
        <v>Done</v>
      </c>
      <c r="AT5" s="23" t="s">
        <v>67</v>
      </c>
      <c r="AU5" s="40">
        <f t="shared" ref="AU5:AU8" si="7">if(AT5&lt;&gt;"", if(AU5="",NOW(),AU5),"")</f>
        <v>46269.39321</v>
      </c>
      <c r="AV5" s="25" t="s">
        <v>69</v>
      </c>
      <c r="AW5" s="40">
        <f t="shared" ref="AW5:AW8" si="8">if(AV5="Done", if(AW5="",NOW(),AW5),"")</f>
        <v>46281.48558</v>
      </c>
      <c r="AX5" s="35">
        <v>1.0</v>
      </c>
      <c r="AY5" s="22"/>
      <c r="AZ5" s="23"/>
      <c r="BA5" s="45" t="str">
        <f>if(AZ5&lt;&gt;"", if(BA5="",NOW(),BA5),"")</f>
        <v/>
      </c>
      <c r="BB5" s="25"/>
      <c r="BC5" s="45" t="str">
        <f>if(BB5="Done", if(BC5="",NOW(),BC5),"")</f>
        <v/>
      </c>
      <c r="BD5" s="47"/>
      <c r="BE5" s="22" t="str">
        <f t="shared" ref="BE5:BE8" si="9">BH5</f>
        <v>Done</v>
      </c>
      <c r="BF5" s="23" t="s">
        <v>66</v>
      </c>
      <c r="BG5" s="40">
        <f t="shared" ref="BG5:BG8" si="10">if(BF5&lt;&gt;"", if(BG5="",NOW(),BG5),"")</f>
        <v>46280.46542</v>
      </c>
      <c r="BH5" s="25" t="s">
        <v>69</v>
      </c>
      <c r="BI5" s="40">
        <f t="shared" ref="BI5:BI8" si="11">if(BH5="Done", if(BI5="",NOW(),BI5),"")</f>
        <v>46287.49802</v>
      </c>
      <c r="BJ5" s="46">
        <v>2.0</v>
      </c>
      <c r="BK5" s="33"/>
      <c r="BL5" s="22" t="str">
        <f t="shared" ref="BL5:BL8" si="12">F5</f>
        <v/>
      </c>
      <c r="BM5" s="23"/>
      <c r="BN5" s="45" t="str">
        <f>if(BM5&lt;&gt;"", if(BN5="",NOW(),BN5),"")</f>
        <v/>
      </c>
      <c r="BO5" s="25"/>
      <c r="BP5" s="45" t="str">
        <f>if(BO5="Done", if(BP5="",NOW(),BP5),"")</f>
        <v/>
      </c>
      <c r="BQ5" s="29"/>
      <c r="BR5" s="29"/>
      <c r="BS5" s="29"/>
      <c r="BT5" s="22" t="str">
        <f>BW5</f>
        <v/>
      </c>
      <c r="BU5" s="23"/>
      <c r="BV5" s="45" t="str">
        <f>if(BU5&lt;&gt;"", if(BV5="",NOW(),BV5),"")</f>
        <v/>
      </c>
      <c r="BW5" s="25"/>
      <c r="BX5" s="45" t="str">
        <f>if(BW5="Done", if(BX5="",NOW(),BX5),"")</f>
        <v/>
      </c>
      <c r="BY5" s="47"/>
      <c r="BZ5" s="22" t="str">
        <f>CC5</f>
        <v/>
      </c>
      <c r="CA5" s="23"/>
      <c r="CB5" s="45" t="str">
        <f>if(CA5&lt;&gt;"", if(CB5="",NOW(),CB5),"")</f>
        <v/>
      </c>
      <c r="CC5" s="25"/>
      <c r="CD5" s="45" t="str">
        <f>if(CC5="Done", if(CD5="",NOW(),CD5),"")</f>
        <v/>
      </c>
      <c r="CE5" s="47"/>
      <c r="CF5" s="22" t="str">
        <f>CI5</f>
        <v/>
      </c>
      <c r="CG5" s="23"/>
      <c r="CH5" s="45"/>
      <c r="CI5" s="25"/>
      <c r="CK5" s="46"/>
      <c r="CL5" s="33"/>
      <c r="CM5" s="23"/>
      <c r="CN5" s="45"/>
      <c r="CO5" s="25"/>
      <c r="CP5" s="45"/>
      <c r="CQ5" s="46"/>
    </row>
    <row r="6" ht="52.5" customHeight="1">
      <c r="A6" s="46">
        <v>2.0</v>
      </c>
      <c r="B6" s="27" t="s">
        <v>84</v>
      </c>
      <c r="C6" s="26"/>
      <c r="D6" s="20">
        <v>3.0</v>
      </c>
      <c r="E6" s="52">
        <v>4.0</v>
      </c>
      <c r="F6" s="20"/>
      <c r="G6" s="23" t="s">
        <v>66</v>
      </c>
      <c r="H6" s="33"/>
      <c r="I6" s="22">
        <f t="shared" si="1"/>
        <v>3</v>
      </c>
      <c r="J6" s="23" t="s">
        <v>67</v>
      </c>
      <c r="K6" s="40">
        <f t="shared" ref="K6:K11" si="13">if(J6&lt;&gt;"", if(K6="",NOW(),K6),"")</f>
        <v>46262.55106</v>
      </c>
      <c r="L6" s="25" t="s">
        <v>69</v>
      </c>
      <c r="M6" s="40">
        <f t="shared" si="2"/>
        <v>46262.69744</v>
      </c>
      <c r="N6" s="29"/>
      <c r="O6" s="29"/>
      <c r="P6" s="29"/>
      <c r="Q6" s="22"/>
      <c r="R6" s="23"/>
      <c r="S6" s="45"/>
      <c r="T6" s="25"/>
      <c r="U6" s="45"/>
      <c r="V6" s="47"/>
      <c r="W6" s="22"/>
      <c r="X6" s="23"/>
      <c r="Y6" s="45"/>
      <c r="Z6" s="25"/>
      <c r="AA6" s="45"/>
      <c r="AB6" s="47"/>
      <c r="AC6" s="22" t="str">
        <f t="shared" si="3"/>
        <v>Done</v>
      </c>
      <c r="AD6" s="22">
        <v>1.0</v>
      </c>
      <c r="AE6" s="23" t="s">
        <v>66</v>
      </c>
      <c r="AF6" s="40">
        <v>46280.60805649306</v>
      </c>
      <c r="AG6" s="25" t="s">
        <v>69</v>
      </c>
      <c r="AH6" s="53">
        <v>46280.70111111111</v>
      </c>
      <c r="AI6" s="46">
        <v>1.0</v>
      </c>
      <c r="AJ6" s="33"/>
      <c r="AK6" s="22">
        <f t="shared" si="4"/>
        <v>4</v>
      </c>
      <c r="AL6" s="23" t="s">
        <v>87</v>
      </c>
      <c r="AM6" s="40">
        <f t="shared" si="5"/>
        <v>46269.39489</v>
      </c>
      <c r="AN6" s="25" t="s">
        <v>69</v>
      </c>
      <c r="AO6" s="40">
        <f t="shared" ref="AO6:AO8" si="14">if(AN6="Done", if(AO6="",NOW(),AO6),"")</f>
        <v>46272.446</v>
      </c>
      <c r="AP6" s="29"/>
      <c r="AQ6" s="29"/>
      <c r="AR6" s="29"/>
      <c r="AS6" s="22" t="str">
        <f t="shared" si="6"/>
        <v>Done</v>
      </c>
      <c r="AT6" s="23" t="s">
        <v>87</v>
      </c>
      <c r="AU6" s="40">
        <f t="shared" si="7"/>
        <v>46274.39827</v>
      </c>
      <c r="AV6" s="25" t="s">
        <v>69</v>
      </c>
      <c r="AW6" s="40">
        <f t="shared" si="8"/>
        <v>46281.74669</v>
      </c>
      <c r="AX6" s="35">
        <v>1.0</v>
      </c>
      <c r="AY6" s="22"/>
      <c r="AZ6" s="23"/>
      <c r="BA6" s="45"/>
      <c r="BB6" s="25"/>
      <c r="BC6" s="45"/>
      <c r="BD6" s="47"/>
      <c r="BE6" s="22" t="str">
        <f t="shared" si="9"/>
        <v>Done</v>
      </c>
      <c r="BF6" s="23" t="s">
        <v>66</v>
      </c>
      <c r="BG6" s="40">
        <f t="shared" si="10"/>
        <v>46280.60806</v>
      </c>
      <c r="BH6" s="25" t="s">
        <v>69</v>
      </c>
      <c r="BI6" s="40">
        <f t="shared" si="11"/>
        <v>46287.56295</v>
      </c>
      <c r="BJ6" s="46">
        <v>2.0</v>
      </c>
      <c r="BK6" s="33"/>
      <c r="BL6" s="22" t="str">
        <f t="shared" si="12"/>
        <v/>
      </c>
      <c r="BM6" s="23"/>
      <c r="BN6" s="45"/>
      <c r="BO6" s="25"/>
      <c r="BP6" s="45"/>
      <c r="BQ6" s="29"/>
      <c r="BR6" s="29"/>
      <c r="BS6" s="29"/>
      <c r="BT6" s="22"/>
      <c r="BU6" s="23"/>
      <c r="BV6" s="45"/>
      <c r="BW6" s="25"/>
      <c r="BX6" s="45"/>
      <c r="BY6" s="47"/>
      <c r="BZ6" s="22"/>
      <c r="CA6" s="23"/>
      <c r="CB6" s="45"/>
      <c r="CC6" s="25"/>
      <c r="CD6" s="45"/>
      <c r="CE6" s="47"/>
      <c r="CF6" s="22"/>
      <c r="CG6" s="23"/>
      <c r="CH6" s="45"/>
      <c r="CI6" s="25"/>
      <c r="CK6" s="46"/>
      <c r="CL6" s="33"/>
      <c r="CM6" s="23"/>
      <c r="CN6" s="45"/>
      <c r="CO6" s="25"/>
      <c r="CP6" s="45"/>
      <c r="CQ6" s="46"/>
    </row>
    <row r="7" ht="52.5" customHeight="1">
      <c r="A7" s="46">
        <v>3.0</v>
      </c>
      <c r="B7" s="27" t="s">
        <v>91</v>
      </c>
      <c r="C7" s="26"/>
      <c r="D7" s="20">
        <v>3.0</v>
      </c>
      <c r="E7" s="52">
        <v>5.0</v>
      </c>
      <c r="F7" s="20"/>
      <c r="G7" s="23" t="s">
        <v>66</v>
      </c>
      <c r="H7" s="33"/>
      <c r="I7" s="22">
        <f t="shared" si="1"/>
        <v>3</v>
      </c>
      <c r="J7" s="23" t="s">
        <v>67</v>
      </c>
      <c r="K7" s="40">
        <f t="shared" si="13"/>
        <v>46265.40814</v>
      </c>
      <c r="L7" s="25" t="s">
        <v>69</v>
      </c>
      <c r="M7" s="40">
        <f t="shared" si="2"/>
        <v>46265.60024</v>
      </c>
      <c r="N7" s="29"/>
      <c r="O7" s="29"/>
      <c r="P7" s="29"/>
      <c r="Q7" s="22" t="str">
        <f t="shared" ref="Q7:Q8" si="15">T7</f>
        <v/>
      </c>
      <c r="R7" s="23"/>
      <c r="S7" s="45" t="str">
        <f t="shared" ref="S7:S8" si="16">if(R7&lt;&gt;"", if(S7="",NOW(),S7),"")</f>
        <v/>
      </c>
      <c r="T7" s="25"/>
      <c r="U7" s="45" t="str">
        <f t="shared" ref="U7:U8" si="17">if(T7="Done", if(U7="",NOW(),U7),"")</f>
        <v/>
      </c>
      <c r="V7" s="47"/>
      <c r="W7" s="22" t="str">
        <f t="shared" ref="W7:W8" si="18">Z7</f>
        <v/>
      </c>
      <c r="X7" s="23"/>
      <c r="Y7" s="45"/>
      <c r="Z7" s="25"/>
      <c r="AA7" s="45"/>
      <c r="AB7" s="47"/>
      <c r="AC7" s="22" t="str">
        <f t="shared" si="3"/>
        <v>Done</v>
      </c>
      <c r="AD7" s="22">
        <v>1.0</v>
      </c>
      <c r="AE7" s="23" t="s">
        <v>66</v>
      </c>
      <c r="AF7" s="40">
        <v>46282.6184115625</v>
      </c>
      <c r="AG7" s="25" t="s">
        <v>69</v>
      </c>
      <c r="AH7" s="53">
        <v>46285.70174768518</v>
      </c>
      <c r="AI7" s="46">
        <v>1.0</v>
      </c>
      <c r="AJ7" s="33"/>
      <c r="AK7" s="22">
        <f t="shared" si="4"/>
        <v>5</v>
      </c>
      <c r="AL7" s="23" t="s">
        <v>67</v>
      </c>
      <c r="AM7" s="40">
        <f t="shared" si="5"/>
        <v>46269.62707</v>
      </c>
      <c r="AN7" s="25" t="s">
        <v>69</v>
      </c>
      <c r="AO7" s="40">
        <f t="shared" si="14"/>
        <v>46287.6288</v>
      </c>
      <c r="AP7" s="29"/>
      <c r="AQ7" s="29"/>
      <c r="AR7" s="29"/>
      <c r="AS7" s="22" t="str">
        <f t="shared" si="6"/>
        <v/>
      </c>
      <c r="AT7" s="23"/>
      <c r="AU7" s="45" t="str">
        <f t="shared" si="7"/>
        <v/>
      </c>
      <c r="AV7" s="25"/>
      <c r="AW7" s="45" t="str">
        <f t="shared" si="8"/>
        <v/>
      </c>
      <c r="AX7" s="47"/>
      <c r="AY7" s="22"/>
      <c r="AZ7" s="23"/>
      <c r="BA7" s="45" t="str">
        <f t="shared" ref="BA7:BA8" si="19">if(AZ7&lt;&gt;"", if(BA7="",NOW(),BA7),"")</f>
        <v/>
      </c>
      <c r="BB7" s="25"/>
      <c r="BC7" s="45" t="str">
        <f t="shared" ref="BC7:BC8" si="20">if(BB7="Done", if(BC7="",NOW(),BC7),"")</f>
        <v/>
      </c>
      <c r="BD7" s="47"/>
      <c r="BE7" s="22" t="str">
        <f t="shared" si="9"/>
        <v>Done</v>
      </c>
      <c r="BF7" s="23" t="s">
        <v>66</v>
      </c>
      <c r="BG7" s="40">
        <f t="shared" si="10"/>
        <v>46282.61841</v>
      </c>
      <c r="BH7" s="25" t="s">
        <v>69</v>
      </c>
      <c r="BI7" s="40">
        <f t="shared" si="11"/>
        <v>46287.58516</v>
      </c>
      <c r="BJ7" s="46">
        <v>2.0</v>
      </c>
      <c r="BK7" s="33"/>
      <c r="BL7" s="22" t="str">
        <f t="shared" si="12"/>
        <v/>
      </c>
      <c r="BM7" s="23"/>
      <c r="BN7" s="45" t="str">
        <f t="shared" ref="BN7:BN8" si="21">if(BM7&lt;&gt;"", if(BN7="",NOW(),BN7),"")</f>
        <v/>
      </c>
      <c r="BO7" s="25"/>
      <c r="BP7" s="45" t="str">
        <f t="shared" ref="BP7:BP8" si="22">if(BO7="Done", if(BP7="",NOW(),BP7),"")</f>
        <v/>
      </c>
      <c r="BQ7" s="29"/>
      <c r="BR7" s="29"/>
      <c r="BS7" s="29"/>
      <c r="BT7" s="22" t="str">
        <f t="shared" ref="BT7:BT8" si="23">BW7</f>
        <v/>
      </c>
      <c r="BU7" s="23"/>
      <c r="BV7" s="45" t="str">
        <f t="shared" ref="BV7:BV8" si="24">if(BU7&lt;&gt;"", if(BV7="",NOW(),BV7),"")</f>
        <v/>
      </c>
      <c r="BW7" s="25"/>
      <c r="BX7" s="45" t="str">
        <f t="shared" ref="BX7:BX8" si="25">if(BW7="Done", if(BX7="",NOW(),BX7),"")</f>
        <v/>
      </c>
      <c r="BY7" s="47"/>
      <c r="BZ7" s="22" t="str">
        <f t="shared" ref="BZ7:BZ8" si="26">CC7</f>
        <v/>
      </c>
      <c r="CA7" s="23"/>
      <c r="CB7" s="45" t="str">
        <f t="shared" ref="CB7:CB8" si="27">if(CA7&lt;&gt;"", if(CB7="",NOW(),CB7),"")</f>
        <v/>
      </c>
      <c r="CC7" s="25"/>
      <c r="CD7" s="45" t="str">
        <f t="shared" ref="CD7:CD8" si="28">if(CC7="Done", if(CD7="",NOW(),CD7),"")</f>
        <v/>
      </c>
      <c r="CE7" s="47"/>
      <c r="CF7" s="22" t="str">
        <f t="shared" ref="CF7:CF8" si="29">CI7</f>
        <v/>
      </c>
      <c r="CG7" s="23"/>
      <c r="CH7" s="45"/>
      <c r="CI7" s="25"/>
      <c r="CK7" s="46"/>
      <c r="CL7" s="33"/>
      <c r="CM7" s="23"/>
      <c r="CN7" s="45"/>
      <c r="CO7" s="25"/>
      <c r="CP7" s="45"/>
      <c r="CQ7" s="46"/>
    </row>
    <row r="8" ht="52.5" customHeight="1">
      <c r="A8" s="46">
        <v>4.0</v>
      </c>
      <c r="B8" s="27" t="s">
        <v>100</v>
      </c>
      <c r="C8" s="26"/>
      <c r="D8" s="20">
        <v>3.0</v>
      </c>
      <c r="E8" s="52">
        <v>4.0</v>
      </c>
      <c r="F8" s="20"/>
      <c r="G8" s="23" t="s">
        <v>66</v>
      </c>
      <c r="H8" s="33"/>
      <c r="I8" s="22">
        <f t="shared" si="1"/>
        <v>3</v>
      </c>
      <c r="J8" s="23" t="s">
        <v>67</v>
      </c>
      <c r="K8" s="40">
        <f t="shared" si="13"/>
        <v>46265.61923</v>
      </c>
      <c r="L8" s="25" t="s">
        <v>69</v>
      </c>
      <c r="M8" s="40">
        <f t="shared" si="2"/>
        <v>46267.43775</v>
      </c>
      <c r="N8" s="29">
        <f>IF(AND(K8&lt;&gt;"",M8&lt;&gt;""),(M8-K8)*1440,"")</f>
        <v>2618.665183</v>
      </c>
      <c r="O8" s="29">
        <f>IF(
  INT(K8)=INT(M8),
  IF(
    AND(MOD(K8,1)&lt;TIME(12,0,0), MOD(M8,1)&gt;TIME(12,0,0)),
    60,
    0
  ),
  IF(
    MOD(M8,1)&lt;=TIME(12,0,0),
    (INT(M8)-INT(K8))*960,
    (INT(M8)-INT(K8))*1020
  )
)</f>
        <v>1920</v>
      </c>
      <c r="P8" s="29">
        <f>(N8-O8)/60</f>
        <v>11.64441972</v>
      </c>
      <c r="Q8" s="22" t="str">
        <f t="shared" si="15"/>
        <v/>
      </c>
      <c r="R8" s="23"/>
      <c r="S8" s="45" t="str">
        <f t="shared" si="16"/>
        <v/>
      </c>
      <c r="T8" s="25"/>
      <c r="U8" s="45" t="str">
        <f t="shared" si="17"/>
        <v/>
      </c>
      <c r="V8" s="47"/>
      <c r="W8" s="22" t="str">
        <f t="shared" si="18"/>
        <v/>
      </c>
      <c r="X8" s="23"/>
      <c r="Y8" s="45" t="str">
        <f>if(X8&lt;&gt;"", if(Y8="",NOW(),Y8),"")</f>
        <v/>
      </c>
      <c r="Z8" s="25"/>
      <c r="AA8" s="45" t="str">
        <f>if(Z8="Done", if(AA8="",NOW(),AA8),"")</f>
        <v/>
      </c>
      <c r="AB8" s="47"/>
      <c r="AC8" s="22" t="str">
        <f t="shared" si="3"/>
        <v>Done</v>
      </c>
      <c r="AD8" s="22">
        <v>1.0</v>
      </c>
      <c r="AE8" s="23" t="s">
        <v>66</v>
      </c>
      <c r="AF8" s="40">
        <v>46287.39823378473</v>
      </c>
      <c r="AG8" s="25" t="s">
        <v>69</v>
      </c>
      <c r="AH8" s="40">
        <v>46287.448613333334</v>
      </c>
      <c r="AI8" s="46">
        <v>1.0</v>
      </c>
      <c r="AJ8" s="33"/>
      <c r="AK8" s="22">
        <f t="shared" si="4"/>
        <v>4</v>
      </c>
      <c r="AL8" s="23" t="s">
        <v>67</v>
      </c>
      <c r="AM8" s="40">
        <f t="shared" si="5"/>
        <v>46274.49838</v>
      </c>
      <c r="AN8" s="25" t="s">
        <v>69</v>
      </c>
      <c r="AO8" s="40">
        <f t="shared" si="14"/>
        <v>46275.68038</v>
      </c>
      <c r="AP8" s="29">
        <f>IF(AND(AM8&lt;&gt;"",AO8&lt;&gt;""),(AO8-AM8)*1440,"")</f>
        <v>1702.084933</v>
      </c>
      <c r="AQ8" s="29">
        <f>IF(
  INT(AM8)=INT(AO8),
  IF(
    AND(MOD(AM8,1)&lt;TIME(12,0,0), MOD(AO8,1)&gt;TIME(12,0,0)),
    60,
    0
  ),
  IF(
    MOD(AO8,1)&lt;=TIME(12,0,0),
    (INT(AO8)-INT(AM8))*960,
    (INT(AO8)-INT(AM8))*1020
  )
)</f>
        <v>1020</v>
      </c>
      <c r="AR8" s="29">
        <f>(AP8-AQ8)/60</f>
        <v>11.36808222</v>
      </c>
      <c r="AS8" s="22" t="str">
        <f t="shared" si="6"/>
        <v/>
      </c>
      <c r="AT8" s="23"/>
      <c r="AU8" s="45" t="str">
        <f t="shared" si="7"/>
        <v/>
      </c>
      <c r="AV8" s="25"/>
      <c r="AW8" s="45" t="str">
        <f t="shared" si="8"/>
        <v/>
      </c>
      <c r="AX8" s="47"/>
      <c r="AY8" s="22" t="str">
        <f>BB8</f>
        <v/>
      </c>
      <c r="AZ8" s="23"/>
      <c r="BA8" s="45" t="str">
        <f t="shared" si="19"/>
        <v/>
      </c>
      <c r="BB8" s="25"/>
      <c r="BC8" s="45" t="str">
        <f t="shared" si="20"/>
        <v/>
      </c>
      <c r="BD8" s="47"/>
      <c r="BE8" s="22" t="str">
        <f t="shared" si="9"/>
        <v>Done</v>
      </c>
      <c r="BF8" s="23" t="s">
        <v>66</v>
      </c>
      <c r="BG8" s="40">
        <f t="shared" si="10"/>
        <v>46287.39823</v>
      </c>
      <c r="BH8" s="25" t="s">
        <v>69</v>
      </c>
      <c r="BI8" s="40">
        <f t="shared" si="11"/>
        <v>46287.44861</v>
      </c>
      <c r="BJ8" s="46">
        <v>1.0</v>
      </c>
      <c r="BK8" s="33"/>
      <c r="BL8" s="22" t="str">
        <f t="shared" si="12"/>
        <v/>
      </c>
      <c r="BM8" s="23"/>
      <c r="BN8" s="45" t="str">
        <f t="shared" si="21"/>
        <v/>
      </c>
      <c r="BO8" s="25"/>
      <c r="BP8" s="45" t="str">
        <f t="shared" si="22"/>
        <v/>
      </c>
      <c r="BQ8" s="29" t="str">
        <f>IF(AND(BN8&lt;&gt;"",BP8&lt;&gt;""),(BP8-BN8)*1440,"")</f>
        <v/>
      </c>
      <c r="BR8" s="29">
        <f>IF(
  INT(BN8)=INT(BP8),
  IF(
    AND(MOD(BN8,1)&lt;TIME(12,0,0), MOD(BP8,1)&gt;TIME(12,0,0)),
    60,
    0
  ),
  IF(
    MOD(BP8,1)&lt;=TIME(12,0,0),
    (INT(BP8)-INT(BN8))*960,
    (INT(BP8)-INT(BN8))*1020
  )
)</f>
        <v>0</v>
      </c>
      <c r="BS8" s="29">
        <f>(BQ8-BR8)/60</f>
        <v>0</v>
      </c>
      <c r="BT8" s="22" t="str">
        <f t="shared" si="23"/>
        <v/>
      </c>
      <c r="BU8" s="23"/>
      <c r="BV8" s="45" t="str">
        <f t="shared" si="24"/>
        <v/>
      </c>
      <c r="BW8" s="25"/>
      <c r="BX8" s="45" t="str">
        <f t="shared" si="25"/>
        <v/>
      </c>
      <c r="BY8" s="47"/>
      <c r="BZ8" s="22" t="str">
        <f t="shared" si="26"/>
        <v/>
      </c>
      <c r="CA8" s="23"/>
      <c r="CB8" s="45" t="str">
        <f t="shared" si="27"/>
        <v/>
      </c>
      <c r="CC8" s="25"/>
      <c r="CD8" s="45" t="str">
        <f t="shared" si="28"/>
        <v/>
      </c>
      <c r="CE8" s="47"/>
      <c r="CF8" s="22" t="str">
        <f t="shared" si="29"/>
        <v/>
      </c>
      <c r="CG8" s="23"/>
      <c r="CH8" s="45" t="str">
        <f>if(CG8&lt;&gt;"", if(CH8="",NOW(),CH8),"")</f>
        <v/>
      </c>
      <c r="CI8" s="25"/>
      <c r="CK8" s="46">
        <v>0.0</v>
      </c>
      <c r="CL8" s="33"/>
      <c r="CM8" s="23"/>
      <c r="CN8" s="45" t="str">
        <f>if(CM8&lt;&gt;"", if(CN8="",NOW(),CN8),"")</f>
        <v/>
      </c>
      <c r="CO8" s="25"/>
      <c r="CP8" s="45" t="str">
        <f>if(CO8="Done", if(CP8="",NOW(),CP8),"")</f>
        <v/>
      </c>
      <c r="CQ8" s="46">
        <v>0.0</v>
      </c>
    </row>
    <row r="9" ht="52.5" customHeight="1">
      <c r="A9" s="46">
        <v>5.0</v>
      </c>
      <c r="B9" s="27" t="s">
        <v>110</v>
      </c>
      <c r="C9" s="26"/>
      <c r="D9" s="20"/>
      <c r="E9" s="20"/>
      <c r="F9" s="20"/>
      <c r="G9" s="23"/>
      <c r="H9" s="33"/>
      <c r="I9" s="22"/>
      <c r="J9" s="23" t="s">
        <v>78</v>
      </c>
      <c r="K9" s="40">
        <f t="shared" si="13"/>
        <v>46304.65868</v>
      </c>
      <c r="L9" s="25" t="s">
        <v>69</v>
      </c>
      <c r="M9" s="40">
        <f t="shared" si="2"/>
        <v>46307.43966</v>
      </c>
      <c r="N9" s="29"/>
      <c r="O9" s="29"/>
      <c r="P9" s="29"/>
      <c r="Q9" s="22"/>
      <c r="R9" s="23"/>
      <c r="S9" s="45"/>
      <c r="T9" s="25"/>
      <c r="U9" s="45"/>
      <c r="V9" s="47"/>
      <c r="W9" s="22"/>
      <c r="X9" s="23"/>
      <c r="Y9" s="45"/>
      <c r="Z9" s="25"/>
      <c r="AA9" s="45"/>
      <c r="AB9" s="47"/>
      <c r="AC9" s="22" t="str">
        <f t="shared" si="3"/>
        <v>Done</v>
      </c>
      <c r="AD9" s="22"/>
      <c r="AE9" s="23" t="s">
        <v>67</v>
      </c>
      <c r="AF9" s="40">
        <f t="shared" ref="AF9:AF10" si="30">if(AE9&lt;&gt;"", if(AF9="",NOW(),AF9),"")</f>
        <v>46311.65821</v>
      </c>
      <c r="AG9" s="25" t="s">
        <v>69</v>
      </c>
      <c r="AH9" s="40">
        <f>if(AG9&lt;&gt;"", if(AH9="",NOW(),AH9),"")</f>
        <v>46311.65824</v>
      </c>
      <c r="AI9" s="46">
        <v>1.0</v>
      </c>
      <c r="AJ9" s="33"/>
      <c r="AK9" s="22"/>
      <c r="AL9" s="56"/>
      <c r="AM9" s="45"/>
      <c r="AN9" s="25"/>
      <c r="AO9" s="45"/>
      <c r="AP9" s="29"/>
      <c r="AQ9" s="29"/>
      <c r="AR9" s="29"/>
      <c r="AS9" s="22"/>
      <c r="AT9" s="23"/>
      <c r="AU9" s="45"/>
      <c r="AV9" s="25"/>
      <c r="AW9" s="45"/>
      <c r="AX9" s="47"/>
      <c r="AY9" s="22"/>
      <c r="AZ9" s="23"/>
      <c r="BA9" s="45"/>
      <c r="BB9" s="25"/>
      <c r="BC9" s="45"/>
      <c r="BD9" s="47"/>
      <c r="BE9" s="22"/>
      <c r="BF9" s="23"/>
      <c r="BG9" s="45"/>
      <c r="BH9" s="25"/>
      <c r="BI9" s="45"/>
      <c r="BJ9" s="46"/>
      <c r="BK9" s="33"/>
      <c r="BL9" s="22"/>
      <c r="BM9" s="23"/>
      <c r="BN9" s="45"/>
      <c r="BO9" s="25"/>
      <c r="BP9" s="45"/>
      <c r="BQ9" s="29"/>
      <c r="BR9" s="29"/>
      <c r="BS9" s="29"/>
      <c r="BT9" s="22"/>
      <c r="BU9" s="23"/>
      <c r="BV9" s="45"/>
      <c r="BW9" s="25"/>
      <c r="BX9" s="45"/>
      <c r="BY9" s="47"/>
      <c r="BZ9" s="22"/>
      <c r="CA9" s="23"/>
      <c r="CB9" s="45"/>
      <c r="CC9" s="25"/>
      <c r="CD9" s="45"/>
      <c r="CE9" s="47"/>
      <c r="CF9" s="22"/>
      <c r="CG9" s="23"/>
      <c r="CH9" s="45"/>
      <c r="CI9" s="25"/>
      <c r="CK9" s="46"/>
      <c r="CL9" s="33"/>
      <c r="CM9" s="23"/>
      <c r="CN9" s="45"/>
      <c r="CO9" s="25"/>
      <c r="CP9" s="45"/>
      <c r="CQ9" s="46"/>
    </row>
    <row r="10" ht="52.5" customHeight="1">
      <c r="A10" s="46">
        <v>6.0</v>
      </c>
      <c r="B10" s="27" t="s">
        <v>115</v>
      </c>
      <c r="C10" s="26"/>
      <c r="D10" s="20"/>
      <c r="E10" s="20"/>
      <c r="F10" s="20"/>
      <c r="G10" s="23"/>
      <c r="H10" s="33"/>
      <c r="I10" s="22"/>
      <c r="J10" s="23" t="s">
        <v>67</v>
      </c>
      <c r="K10" s="40">
        <f t="shared" si="13"/>
        <v>46307.40429</v>
      </c>
      <c r="L10" s="25" t="s">
        <v>69</v>
      </c>
      <c r="M10" s="40">
        <f t="shared" si="2"/>
        <v>46307.66497</v>
      </c>
      <c r="N10" s="29"/>
      <c r="O10" s="29"/>
      <c r="P10" s="29"/>
      <c r="Q10" s="22"/>
      <c r="R10" s="23"/>
      <c r="S10" s="45"/>
      <c r="T10" s="25"/>
      <c r="U10" s="45"/>
      <c r="V10" s="47"/>
      <c r="W10" s="22"/>
      <c r="X10" s="23"/>
      <c r="Y10" s="45"/>
      <c r="Z10" s="25"/>
      <c r="AA10" s="45"/>
      <c r="AB10" s="47"/>
      <c r="AC10" s="22" t="str">
        <f t="shared" si="3"/>
        <v>Done</v>
      </c>
      <c r="AD10" s="22"/>
      <c r="AE10" s="23" t="s">
        <v>78</v>
      </c>
      <c r="AF10" s="40">
        <f t="shared" si="30"/>
        <v>46310.38458</v>
      </c>
      <c r="AG10" s="25" t="s">
        <v>69</v>
      </c>
      <c r="AH10" s="40">
        <v>46310.60341512732</v>
      </c>
      <c r="AI10" s="46">
        <v>1.0</v>
      </c>
      <c r="AJ10" s="33"/>
      <c r="AK10" s="22"/>
      <c r="AL10" s="56"/>
      <c r="AM10" s="45"/>
      <c r="AN10" s="25"/>
      <c r="AO10" s="45"/>
      <c r="AP10" s="29"/>
      <c r="AQ10" s="29"/>
      <c r="AR10" s="29"/>
      <c r="AS10" s="22"/>
      <c r="AT10" s="23"/>
      <c r="AU10" s="45"/>
      <c r="AV10" s="25"/>
      <c r="AW10" s="45"/>
      <c r="AX10" s="47"/>
      <c r="AY10" s="22"/>
      <c r="AZ10" s="23"/>
      <c r="BA10" s="45"/>
      <c r="BB10" s="25"/>
      <c r="BC10" s="45"/>
      <c r="BD10" s="47"/>
      <c r="BE10" s="22"/>
      <c r="BF10" s="23"/>
      <c r="BG10" s="45"/>
      <c r="BH10" s="25"/>
      <c r="BI10" s="45"/>
      <c r="BJ10" s="46"/>
      <c r="BK10" s="33"/>
      <c r="BL10" s="22"/>
      <c r="BM10" s="23"/>
      <c r="BN10" s="45"/>
      <c r="BO10" s="25"/>
      <c r="BP10" s="45"/>
      <c r="BQ10" s="29"/>
      <c r="BR10" s="29"/>
      <c r="BS10" s="29"/>
      <c r="BT10" s="22"/>
      <c r="BU10" s="23"/>
      <c r="BV10" s="45"/>
      <c r="BW10" s="25"/>
      <c r="BX10" s="45"/>
      <c r="BY10" s="47"/>
      <c r="BZ10" s="22"/>
      <c r="CA10" s="23"/>
      <c r="CB10" s="45"/>
      <c r="CC10" s="25"/>
      <c r="CD10" s="45"/>
      <c r="CE10" s="47"/>
      <c r="CF10" s="22"/>
      <c r="CG10" s="23"/>
      <c r="CH10" s="45"/>
      <c r="CI10" s="25"/>
      <c r="CK10" s="46"/>
      <c r="CL10" s="33"/>
      <c r="CM10" s="23"/>
      <c r="CN10" s="45"/>
      <c r="CO10" s="25"/>
      <c r="CP10" s="45"/>
      <c r="CQ10" s="46"/>
    </row>
    <row r="11" ht="52.5" hidden="1" customHeight="1">
      <c r="A11" s="46">
        <v>5.0</v>
      </c>
      <c r="B11" s="27" t="s">
        <v>116</v>
      </c>
      <c r="C11" s="26"/>
      <c r="D11" s="20">
        <v>3.0</v>
      </c>
      <c r="E11" s="20">
        <v>3.0</v>
      </c>
      <c r="F11" s="20"/>
      <c r="G11" s="23"/>
      <c r="H11" s="33"/>
      <c r="I11" s="22"/>
      <c r="J11" s="23" t="s">
        <v>87</v>
      </c>
      <c r="K11" s="40">
        <f t="shared" si="13"/>
        <v>46266.57742</v>
      </c>
      <c r="L11" s="25" t="s">
        <v>69</v>
      </c>
      <c r="M11" s="40">
        <f t="shared" si="2"/>
        <v>46267.48748</v>
      </c>
      <c r="N11" s="29"/>
      <c r="O11" s="29"/>
      <c r="P11" s="29"/>
      <c r="Q11" s="22"/>
      <c r="R11" s="23"/>
      <c r="S11" s="45"/>
      <c r="T11" s="25"/>
      <c r="U11" s="45"/>
      <c r="V11" s="47"/>
      <c r="W11" s="22"/>
      <c r="X11" s="23"/>
      <c r="Y11" s="45"/>
      <c r="Z11" s="25"/>
      <c r="AA11" s="45"/>
      <c r="AB11" s="47"/>
      <c r="AC11" s="22"/>
      <c r="AD11" s="22" t="str">
        <f>Y11</f>
        <v/>
      </c>
      <c r="AE11" s="23"/>
      <c r="AF11" s="45"/>
      <c r="AG11" s="25"/>
      <c r="AH11" s="45"/>
      <c r="AI11" s="46"/>
      <c r="AJ11" s="33"/>
      <c r="AK11" s="22"/>
      <c r="AL11" s="23"/>
      <c r="AM11" s="45"/>
      <c r="AN11" s="25"/>
      <c r="AO11" s="45"/>
      <c r="AP11" s="29"/>
      <c r="AQ11" s="29"/>
      <c r="AR11" s="29"/>
      <c r="AS11" s="22"/>
      <c r="AT11" s="23"/>
      <c r="AU11" s="45"/>
      <c r="AV11" s="25"/>
      <c r="AW11" s="45"/>
      <c r="AX11" s="47"/>
      <c r="AY11" s="22"/>
      <c r="AZ11" s="23"/>
      <c r="BA11" s="45"/>
      <c r="BB11" s="25"/>
      <c r="BC11" s="45"/>
      <c r="BD11" s="47"/>
      <c r="BE11" s="22"/>
      <c r="BF11" s="23"/>
      <c r="BG11" s="45"/>
      <c r="BH11" s="25"/>
      <c r="BI11" s="45"/>
      <c r="BJ11" s="46"/>
      <c r="BK11" s="33"/>
      <c r="BL11" s="22"/>
      <c r="BM11" s="23"/>
      <c r="BN11" s="45"/>
      <c r="BO11" s="25"/>
      <c r="BP11" s="45"/>
      <c r="BQ11" s="29"/>
      <c r="BR11" s="29"/>
      <c r="BS11" s="29"/>
      <c r="BT11" s="22"/>
      <c r="BU11" s="23"/>
      <c r="BV11" s="45"/>
      <c r="BW11" s="25"/>
      <c r="BX11" s="45"/>
      <c r="BY11" s="47"/>
      <c r="BZ11" s="22"/>
      <c r="CA11" s="23"/>
      <c r="CB11" s="45"/>
      <c r="CC11" s="25"/>
      <c r="CD11" s="45"/>
      <c r="CE11" s="47"/>
      <c r="CF11" s="22"/>
      <c r="CG11" s="23"/>
      <c r="CH11" s="45"/>
      <c r="CI11" s="25"/>
      <c r="CK11" s="46"/>
      <c r="CL11" s="33"/>
      <c r="CM11" s="23"/>
      <c r="CN11" s="45"/>
      <c r="CO11" s="25"/>
      <c r="CP11" s="45"/>
      <c r="CQ11" s="46"/>
    </row>
    <row r="12" ht="52.5" customHeight="1">
      <c r="A12" s="39" t="s">
        <v>118</v>
      </c>
      <c r="B12" s="41" t="s">
        <v>119</v>
      </c>
      <c r="C12" s="42"/>
      <c r="D12" s="42"/>
      <c r="E12" s="42"/>
      <c r="F12" s="42"/>
      <c r="G12" s="42"/>
      <c r="H12" s="43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3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3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3"/>
      <c r="CM12" s="48"/>
      <c r="CN12" s="49"/>
      <c r="CO12" s="50"/>
      <c r="CP12" s="49"/>
      <c r="CQ12" s="51"/>
    </row>
    <row r="13" ht="52.5" customHeight="1">
      <c r="A13" s="46">
        <v>1.0</v>
      </c>
      <c r="B13" s="27" t="s">
        <v>120</v>
      </c>
      <c r="C13" s="26"/>
      <c r="D13" s="20">
        <v>3.0</v>
      </c>
      <c r="E13" s="52">
        <v>5.0</v>
      </c>
      <c r="F13" s="20"/>
      <c r="G13" s="23" t="s">
        <v>66</v>
      </c>
      <c r="H13" s="33"/>
      <c r="I13" s="22">
        <f t="shared" ref="I13:I15" si="31">D13</f>
        <v>3</v>
      </c>
      <c r="J13" s="23" t="s">
        <v>87</v>
      </c>
      <c r="K13" s="40">
        <f t="shared" ref="K13:K17" si="32">if(J13&lt;&gt;"", if(K13="",NOW(),K13),"")</f>
        <v>46261.38904</v>
      </c>
      <c r="L13" s="25" t="s">
        <v>69</v>
      </c>
      <c r="M13" s="40">
        <f t="shared" ref="M13:M17" si="33">if(L13="Done", if(M13="",NOW(),M13),"")</f>
        <v>46261.68821</v>
      </c>
      <c r="N13" s="29"/>
      <c r="O13" s="29"/>
      <c r="P13" s="29"/>
      <c r="Q13" s="22" t="str">
        <f t="shared" ref="Q13:Q15" si="34">T13</f>
        <v/>
      </c>
      <c r="R13" s="23"/>
      <c r="S13" s="45" t="str">
        <f t="shared" ref="S13:S15" si="35">if(R13&lt;&gt;"", if(S13="",NOW(),S13),"")</f>
        <v/>
      </c>
      <c r="T13" s="25"/>
      <c r="U13" s="45" t="str">
        <f t="shared" ref="U13:U15" si="36">if(T13="Done", if(U13="",NOW(),U13),"")</f>
        <v/>
      </c>
      <c r="V13" s="47"/>
      <c r="W13" s="22" t="str">
        <f t="shared" ref="W13:W15" si="37">Z13</f>
        <v/>
      </c>
      <c r="X13" s="23"/>
      <c r="Y13" s="45"/>
      <c r="Z13" s="25"/>
      <c r="AA13" s="45"/>
      <c r="AB13" s="47"/>
      <c r="AC13" s="22" t="str">
        <f t="shared" ref="AC13:AC17" si="38">AG13</f>
        <v>Done</v>
      </c>
      <c r="AD13" s="22">
        <v>1.0</v>
      </c>
      <c r="AE13" s="23" t="s">
        <v>66</v>
      </c>
      <c r="AF13" s="53">
        <v>46262.40893518519</v>
      </c>
      <c r="AG13" s="25" t="s">
        <v>69</v>
      </c>
      <c r="AH13" s="40">
        <f>if(AG13&lt;&gt;"", if(AH13="",NOW(),AH13),"")</f>
        <v>46262.49157</v>
      </c>
      <c r="AI13" s="46">
        <v>1.0</v>
      </c>
      <c r="AJ13" s="33"/>
      <c r="AK13" s="22">
        <f t="shared" ref="AK13:AK15" si="39">E13</f>
        <v>5</v>
      </c>
      <c r="AL13" s="23" t="s">
        <v>87</v>
      </c>
      <c r="AM13" s="40">
        <f t="shared" ref="AM13:AM16" si="40">if(AL13&lt;&gt;"", if(AM13="",NOW(),AM13),"")</f>
        <v>46280.40539</v>
      </c>
      <c r="AN13" s="25" t="s">
        <v>69</v>
      </c>
      <c r="AO13" s="40">
        <f t="shared" ref="AO13:AO16" si="41">if(AN13="Done", if(AO13="",NOW(),AO13),"")</f>
        <v>46289.48091</v>
      </c>
      <c r="AP13" s="29"/>
      <c r="AQ13" s="29"/>
      <c r="AR13" s="29"/>
      <c r="AS13" s="22" t="str">
        <f t="shared" ref="AS13:AS15" si="42">AV13</f>
        <v/>
      </c>
      <c r="AT13" s="23"/>
      <c r="AU13" s="45" t="str">
        <f t="shared" ref="AU13:AU15" si="43">if(AT13&lt;&gt;"", if(AU13="",NOW(),AU13),"")</f>
        <v/>
      </c>
      <c r="AV13" s="25"/>
      <c r="AW13" s="45" t="str">
        <f t="shared" ref="AW13:AW15" si="44">if(AV13="Done", if(AW13="",NOW(),AW13),"")</f>
        <v/>
      </c>
      <c r="AX13" s="47"/>
      <c r="AY13" s="22"/>
      <c r="AZ13" s="23"/>
      <c r="BA13" s="45" t="str">
        <f t="shared" ref="BA13:BA15" si="45">if(AZ13&lt;&gt;"", if(BA13="",NOW(),BA13),"")</f>
        <v/>
      </c>
      <c r="BB13" s="25"/>
      <c r="BC13" s="45" t="str">
        <f t="shared" ref="BC13:BC15" si="46">if(BB13="Done", if(BC13="",NOW(),BC13),"")</f>
        <v/>
      </c>
      <c r="BD13" s="47"/>
      <c r="BE13" s="22" t="str">
        <f t="shared" ref="BE13:BE15" si="47">BH13</f>
        <v>Done</v>
      </c>
      <c r="BF13" s="23" t="s">
        <v>66</v>
      </c>
      <c r="BG13" s="40">
        <f t="shared" ref="BG13:BG15" si="48">if(BF13&lt;&gt;"", if(BG13="",NOW(),BG13),"")</f>
        <v>46287.65729</v>
      </c>
      <c r="BH13" s="25" t="s">
        <v>69</v>
      </c>
      <c r="BI13" s="40">
        <f t="shared" ref="BI13:BI15" si="49">if(BH13="Done", if(BI13="",NOW(),BI13),"")</f>
        <v>46288.58295</v>
      </c>
      <c r="BJ13" s="46">
        <v>2.0</v>
      </c>
      <c r="BK13" s="33"/>
      <c r="BL13" s="22" t="str">
        <f t="shared" ref="BL13:BL15" si="50">F13</f>
        <v/>
      </c>
      <c r="BM13" s="23"/>
      <c r="BN13" s="45" t="str">
        <f t="shared" ref="BN13:BN15" si="51">if(BM13&lt;&gt;"", if(BN13="",NOW(),BN13),"")</f>
        <v/>
      </c>
      <c r="BO13" s="25"/>
      <c r="BP13" s="45" t="str">
        <f t="shared" ref="BP13:BP15" si="52">if(BO13="Done", if(BP13="",NOW(),BP13),"")</f>
        <v/>
      </c>
      <c r="BQ13" s="29"/>
      <c r="BR13" s="29"/>
      <c r="BS13" s="29"/>
      <c r="BT13" s="22" t="str">
        <f t="shared" ref="BT13:BT15" si="53">BW13</f>
        <v/>
      </c>
      <c r="BU13" s="23"/>
      <c r="BV13" s="45" t="str">
        <f t="shared" ref="BV13:BV15" si="54">if(BU13&lt;&gt;"", if(BV13="",NOW(),BV13),"")</f>
        <v/>
      </c>
      <c r="BW13" s="25"/>
      <c r="BX13" s="45" t="str">
        <f t="shared" ref="BX13:BX15" si="55">if(BW13="Done", if(BX13="",NOW(),BX13),"")</f>
        <v/>
      </c>
      <c r="BY13" s="35"/>
      <c r="BZ13" s="22" t="str">
        <f t="shared" ref="BZ13:BZ15" si="56">CC13</f>
        <v/>
      </c>
      <c r="CA13" s="23"/>
      <c r="CB13" s="45" t="str">
        <f t="shared" ref="CB13:CB15" si="57">if(CA13&lt;&gt;"", if(CB13="",NOW(),CB13),"")</f>
        <v/>
      </c>
      <c r="CC13" s="25"/>
      <c r="CD13" s="45" t="str">
        <f t="shared" ref="CD13:CD15" si="58">if(CC13="Done", if(CD13="",NOW(),CD13),"")</f>
        <v/>
      </c>
      <c r="CE13" s="47"/>
      <c r="CF13" s="22" t="str">
        <f t="shared" ref="CF13:CF15" si="59">CI13</f>
        <v/>
      </c>
      <c r="CG13" s="23"/>
      <c r="CH13" s="45"/>
      <c r="CI13" s="25"/>
      <c r="CJ13" s="45"/>
      <c r="CK13" s="46"/>
      <c r="CL13" s="33"/>
      <c r="CM13" s="23"/>
      <c r="CN13" s="45"/>
      <c r="CO13" s="25"/>
      <c r="CP13" s="45"/>
      <c r="CQ13" s="46"/>
    </row>
    <row r="14" ht="52.5" customHeight="1">
      <c r="A14" s="46">
        <v>2.0</v>
      </c>
      <c r="B14" s="27" t="s">
        <v>123</v>
      </c>
      <c r="C14" s="26"/>
      <c r="D14" s="20">
        <v>3.0</v>
      </c>
      <c r="E14" s="52">
        <v>3.0</v>
      </c>
      <c r="F14" s="20"/>
      <c r="G14" s="23" t="s">
        <v>66</v>
      </c>
      <c r="H14" s="33"/>
      <c r="I14" s="22">
        <f t="shared" si="31"/>
        <v>3</v>
      </c>
      <c r="J14" s="23" t="s">
        <v>124</v>
      </c>
      <c r="K14" s="40">
        <f t="shared" si="32"/>
        <v>46261.41418</v>
      </c>
      <c r="L14" s="25" t="s">
        <v>69</v>
      </c>
      <c r="M14" s="40">
        <f t="shared" si="33"/>
        <v>46261.69053</v>
      </c>
      <c r="N14" s="29"/>
      <c r="O14" s="29"/>
      <c r="P14" s="29"/>
      <c r="Q14" s="22" t="str">
        <f t="shared" si="34"/>
        <v>Done</v>
      </c>
      <c r="R14" s="23" t="s">
        <v>124</v>
      </c>
      <c r="S14" s="40">
        <f t="shared" si="35"/>
        <v>46267.3797</v>
      </c>
      <c r="T14" s="25" t="s">
        <v>69</v>
      </c>
      <c r="U14" s="40">
        <f t="shared" si="36"/>
        <v>46267.66873</v>
      </c>
      <c r="V14" s="35">
        <v>1.0</v>
      </c>
      <c r="W14" s="22" t="str">
        <f t="shared" si="37"/>
        <v/>
      </c>
      <c r="X14" s="23"/>
      <c r="Y14" s="45"/>
      <c r="Z14" s="25"/>
      <c r="AA14" s="45"/>
      <c r="AB14" s="47"/>
      <c r="AC14" s="22" t="str">
        <f t="shared" si="38"/>
        <v>Done</v>
      </c>
      <c r="AD14" s="22">
        <v>1.0</v>
      </c>
      <c r="AE14" s="23" t="s">
        <v>66</v>
      </c>
      <c r="AF14" s="40">
        <f t="shared" ref="AF14:AF17" si="60">if(AE14&lt;&gt;"", if(AF14="",NOW(),AF14),"")</f>
        <v>46262.49157</v>
      </c>
      <c r="AG14" s="25" t="s">
        <v>69</v>
      </c>
      <c r="AH14" s="53">
        <v>46262.68393518519</v>
      </c>
      <c r="AI14" s="46">
        <v>1.0</v>
      </c>
      <c r="AJ14" s="33"/>
      <c r="AK14" s="22">
        <f t="shared" si="39"/>
        <v>3</v>
      </c>
      <c r="AL14" s="23" t="s">
        <v>124</v>
      </c>
      <c r="AM14" s="40">
        <f t="shared" si="40"/>
        <v>46269.39323</v>
      </c>
      <c r="AN14" s="25" t="s">
        <v>69</v>
      </c>
      <c r="AO14" s="40">
        <f t="shared" si="41"/>
        <v>46269.61638</v>
      </c>
      <c r="AP14" s="29"/>
      <c r="AQ14" s="29"/>
      <c r="AR14" s="29"/>
      <c r="AS14" s="22" t="str">
        <f t="shared" si="42"/>
        <v>Done</v>
      </c>
      <c r="AT14" s="23" t="s">
        <v>124</v>
      </c>
      <c r="AU14" s="40">
        <f t="shared" si="43"/>
        <v>46273.47478</v>
      </c>
      <c r="AV14" s="25" t="s">
        <v>69</v>
      </c>
      <c r="AW14" s="40">
        <f t="shared" si="44"/>
        <v>46282.70561</v>
      </c>
      <c r="AX14" s="35">
        <v>0.3</v>
      </c>
      <c r="AY14" s="22"/>
      <c r="AZ14" s="23"/>
      <c r="BA14" s="45" t="str">
        <f t="shared" si="45"/>
        <v/>
      </c>
      <c r="BB14" s="25"/>
      <c r="BC14" s="45" t="str">
        <f t="shared" si="46"/>
        <v/>
      </c>
      <c r="BD14" s="47"/>
      <c r="BE14" s="22" t="str">
        <f t="shared" si="47"/>
        <v>Done</v>
      </c>
      <c r="BF14" s="23" t="s">
        <v>66</v>
      </c>
      <c r="BG14" s="40">
        <f t="shared" si="48"/>
        <v>46281.55459</v>
      </c>
      <c r="BH14" s="25" t="s">
        <v>69</v>
      </c>
      <c r="BI14" s="40">
        <f t="shared" si="49"/>
        <v>46288.63115</v>
      </c>
      <c r="BJ14" s="46">
        <v>2.0</v>
      </c>
      <c r="BK14" s="33"/>
      <c r="BL14" s="22" t="str">
        <f t="shared" si="50"/>
        <v/>
      </c>
      <c r="BM14" s="23"/>
      <c r="BN14" s="45" t="str">
        <f t="shared" si="51"/>
        <v/>
      </c>
      <c r="BO14" s="25"/>
      <c r="BP14" s="45" t="str">
        <f t="shared" si="52"/>
        <v/>
      </c>
      <c r="BQ14" s="29"/>
      <c r="BR14" s="29"/>
      <c r="BS14" s="29"/>
      <c r="BT14" s="22" t="str">
        <f t="shared" si="53"/>
        <v/>
      </c>
      <c r="BU14" s="23"/>
      <c r="BV14" s="45" t="str">
        <f t="shared" si="54"/>
        <v/>
      </c>
      <c r="BW14" s="25"/>
      <c r="BX14" s="45" t="str">
        <f t="shared" si="55"/>
        <v/>
      </c>
      <c r="BY14" s="35"/>
      <c r="BZ14" s="22" t="str">
        <f t="shared" si="56"/>
        <v/>
      </c>
      <c r="CA14" s="23"/>
      <c r="CB14" s="45" t="str">
        <f t="shared" si="57"/>
        <v/>
      </c>
      <c r="CC14" s="25"/>
      <c r="CD14" s="45" t="str">
        <f t="shared" si="58"/>
        <v/>
      </c>
      <c r="CE14" s="47"/>
      <c r="CF14" s="22" t="str">
        <f t="shared" si="59"/>
        <v/>
      </c>
      <c r="CG14" s="23"/>
      <c r="CH14" s="45" t="s">
        <v>127</v>
      </c>
      <c r="CI14" s="25"/>
      <c r="CJ14" s="45" t="s">
        <v>127</v>
      </c>
      <c r="CK14" s="46">
        <v>0.0</v>
      </c>
      <c r="CL14" s="33"/>
      <c r="CM14" s="23"/>
      <c r="CN14" s="45"/>
      <c r="CO14" s="25"/>
      <c r="CP14" s="45"/>
      <c r="CQ14" s="46"/>
    </row>
    <row r="15" ht="52.5" customHeight="1">
      <c r="A15" s="46">
        <v>3.0</v>
      </c>
      <c r="B15" s="27" t="s">
        <v>128</v>
      </c>
      <c r="C15" s="26"/>
      <c r="D15" s="20">
        <v>3.0</v>
      </c>
      <c r="E15" s="52">
        <v>3.0</v>
      </c>
      <c r="F15" s="20"/>
      <c r="G15" s="23" t="s">
        <v>66</v>
      </c>
      <c r="H15" s="33"/>
      <c r="I15" s="22">
        <f t="shared" si="31"/>
        <v>3</v>
      </c>
      <c r="J15" s="23" t="s">
        <v>78</v>
      </c>
      <c r="K15" s="40">
        <f t="shared" si="32"/>
        <v>46261.39714</v>
      </c>
      <c r="L15" s="25" t="s">
        <v>69</v>
      </c>
      <c r="M15" s="40">
        <f t="shared" si="33"/>
        <v>46261.59496</v>
      </c>
      <c r="N15" s="29"/>
      <c r="O15" s="29"/>
      <c r="P15" s="29"/>
      <c r="Q15" s="22" t="str">
        <f t="shared" si="34"/>
        <v>Done</v>
      </c>
      <c r="R15" s="23" t="s">
        <v>78</v>
      </c>
      <c r="S15" s="40">
        <f t="shared" si="35"/>
        <v>46266.38063</v>
      </c>
      <c r="T15" s="25" t="s">
        <v>69</v>
      </c>
      <c r="U15" s="40">
        <f t="shared" si="36"/>
        <v>46266.43753</v>
      </c>
      <c r="V15" s="35">
        <v>0.3</v>
      </c>
      <c r="W15" s="22" t="str">
        <f t="shared" si="37"/>
        <v/>
      </c>
      <c r="X15" s="23"/>
      <c r="Y15" s="45"/>
      <c r="Z15" s="25"/>
      <c r="AA15" s="45"/>
      <c r="AB15" s="47"/>
      <c r="AC15" s="22" t="str">
        <f t="shared" si="38"/>
        <v>Done</v>
      </c>
      <c r="AD15" s="22">
        <v>1.0</v>
      </c>
      <c r="AE15" s="23" t="s">
        <v>66</v>
      </c>
      <c r="AF15" s="40">
        <f t="shared" si="60"/>
        <v>46265.63349</v>
      </c>
      <c r="AG15" s="25" t="s">
        <v>69</v>
      </c>
      <c r="AH15" s="53">
        <v>46265.65366898148</v>
      </c>
      <c r="AI15" s="46">
        <v>1.0</v>
      </c>
      <c r="AJ15" s="33"/>
      <c r="AK15" s="22">
        <f t="shared" si="39"/>
        <v>3</v>
      </c>
      <c r="AL15" s="23" t="s">
        <v>78</v>
      </c>
      <c r="AM15" s="40">
        <f t="shared" si="40"/>
        <v>46269.39326</v>
      </c>
      <c r="AN15" s="25" t="s">
        <v>69</v>
      </c>
      <c r="AO15" s="40">
        <f t="shared" si="41"/>
        <v>46269.59273</v>
      </c>
      <c r="AP15" s="29"/>
      <c r="AQ15" s="29"/>
      <c r="AR15" s="29"/>
      <c r="AS15" s="22" t="str">
        <f t="shared" si="42"/>
        <v>Done</v>
      </c>
      <c r="AT15" s="23" t="s">
        <v>78</v>
      </c>
      <c r="AU15" s="40">
        <f t="shared" si="43"/>
        <v>46273.47478</v>
      </c>
      <c r="AV15" s="25" t="s">
        <v>69</v>
      </c>
      <c r="AW15" s="40">
        <f t="shared" si="44"/>
        <v>46283.66022</v>
      </c>
      <c r="AX15" s="35">
        <v>0.3</v>
      </c>
      <c r="AY15" s="22" t="str">
        <f>BB15</f>
        <v/>
      </c>
      <c r="AZ15" s="23"/>
      <c r="BA15" s="45" t="str">
        <f t="shared" si="45"/>
        <v/>
      </c>
      <c r="BB15" s="25"/>
      <c r="BC15" s="45" t="str">
        <f t="shared" si="46"/>
        <v/>
      </c>
      <c r="BD15" s="47"/>
      <c r="BE15" s="22" t="str">
        <f t="shared" si="47"/>
        <v>Done</v>
      </c>
      <c r="BF15" s="23" t="s">
        <v>66</v>
      </c>
      <c r="BG15" s="40">
        <f t="shared" si="48"/>
        <v>46282.40076</v>
      </c>
      <c r="BH15" s="25" t="s">
        <v>69</v>
      </c>
      <c r="BI15" s="40">
        <f t="shared" si="49"/>
        <v>46289.43597</v>
      </c>
      <c r="BJ15" s="46">
        <v>2.0</v>
      </c>
      <c r="BK15" s="33"/>
      <c r="BL15" s="22" t="str">
        <f t="shared" si="50"/>
        <v/>
      </c>
      <c r="BM15" s="23"/>
      <c r="BN15" s="45" t="str">
        <f t="shared" si="51"/>
        <v/>
      </c>
      <c r="BO15" s="25"/>
      <c r="BP15" s="45" t="str">
        <f t="shared" si="52"/>
        <v/>
      </c>
      <c r="BQ15" s="29"/>
      <c r="BR15" s="29"/>
      <c r="BS15" s="29"/>
      <c r="BT15" s="22" t="str">
        <f t="shared" si="53"/>
        <v/>
      </c>
      <c r="BU15" s="23"/>
      <c r="BV15" s="45" t="str">
        <f t="shared" si="54"/>
        <v/>
      </c>
      <c r="BW15" s="25"/>
      <c r="BX15" s="45" t="str">
        <f t="shared" si="55"/>
        <v/>
      </c>
      <c r="BY15" s="35"/>
      <c r="BZ15" s="22" t="str">
        <f t="shared" si="56"/>
        <v/>
      </c>
      <c r="CA15" s="23"/>
      <c r="CB15" s="45" t="str">
        <f t="shared" si="57"/>
        <v/>
      </c>
      <c r="CC15" s="25"/>
      <c r="CD15" s="45" t="str">
        <f t="shared" si="58"/>
        <v/>
      </c>
      <c r="CE15" s="47"/>
      <c r="CF15" s="22" t="str">
        <f t="shared" si="59"/>
        <v/>
      </c>
      <c r="CG15" s="23"/>
      <c r="CH15" s="45" t="str">
        <f>if(CG15&lt;&gt;"", if(CH15="",NOW(),CH15),"")</f>
        <v/>
      </c>
      <c r="CI15" s="25"/>
      <c r="CJ15" s="45" t="str">
        <f>if(CI15="Done", if(CJ15="",NOW(),CJ15),"")</f>
        <v/>
      </c>
      <c r="CK15" s="46">
        <v>0.0</v>
      </c>
      <c r="CL15" s="33"/>
      <c r="CM15" s="23"/>
      <c r="CN15" s="45"/>
      <c r="CO15" s="25"/>
      <c r="CP15" s="45"/>
      <c r="CQ15" s="46"/>
    </row>
    <row r="16" ht="52.5" customHeight="1">
      <c r="A16" s="46">
        <v>4.0</v>
      </c>
      <c r="B16" s="27" t="s">
        <v>132</v>
      </c>
      <c r="C16" s="26"/>
      <c r="D16" s="20"/>
      <c r="E16" s="20"/>
      <c r="F16" s="20"/>
      <c r="G16" s="23"/>
      <c r="H16" s="33"/>
      <c r="I16" s="22"/>
      <c r="J16" s="23" t="s">
        <v>87</v>
      </c>
      <c r="K16" s="40">
        <f t="shared" si="32"/>
        <v>46307.40702</v>
      </c>
      <c r="L16" s="25" t="s">
        <v>69</v>
      </c>
      <c r="M16" s="40">
        <f t="shared" si="33"/>
        <v>46307.68147</v>
      </c>
      <c r="N16" s="29"/>
      <c r="O16" s="29"/>
      <c r="P16" s="29"/>
      <c r="Q16" s="22"/>
      <c r="R16" s="23"/>
      <c r="S16" s="45"/>
      <c r="T16" s="25"/>
      <c r="U16" s="45"/>
      <c r="V16" s="35"/>
      <c r="W16" s="22"/>
      <c r="X16" s="23"/>
      <c r="Y16" s="45"/>
      <c r="Z16" s="25"/>
      <c r="AA16" s="45"/>
      <c r="AB16" s="47"/>
      <c r="AC16" s="22" t="str">
        <f t="shared" si="38"/>
        <v>Done</v>
      </c>
      <c r="AD16" s="22">
        <v>1.0</v>
      </c>
      <c r="AE16" s="23" t="s">
        <v>78</v>
      </c>
      <c r="AF16" s="40">
        <f t="shared" si="60"/>
        <v>46310.60342</v>
      </c>
      <c r="AG16" s="25" t="s">
        <v>69</v>
      </c>
      <c r="AH16" s="40">
        <f>if(AG16&lt;&gt;"", if(AH16="",NOW(),AH16),"")</f>
        <v>46310.89199</v>
      </c>
      <c r="AI16" s="46">
        <v>1.0</v>
      </c>
      <c r="AJ16" s="33"/>
      <c r="AK16" s="22"/>
      <c r="AL16" s="56" t="s">
        <v>87</v>
      </c>
      <c r="AM16" s="40">
        <f t="shared" si="40"/>
        <v>46316.40832</v>
      </c>
      <c r="AN16" s="25" t="s">
        <v>147</v>
      </c>
      <c r="AO16" s="45" t="str">
        <f t="shared" si="41"/>
        <v/>
      </c>
      <c r="AP16" s="29"/>
      <c r="AQ16" s="29"/>
      <c r="AR16" s="29"/>
      <c r="AS16" s="22"/>
      <c r="AT16" s="23"/>
      <c r="AU16" s="45"/>
      <c r="AV16" s="25"/>
      <c r="AW16" s="45"/>
      <c r="AX16" s="35"/>
      <c r="AY16" s="22"/>
      <c r="AZ16" s="23"/>
      <c r="BA16" s="45"/>
      <c r="BB16" s="25"/>
      <c r="BC16" s="45"/>
      <c r="BD16" s="47"/>
      <c r="BE16" s="22"/>
      <c r="BF16" s="23"/>
      <c r="BG16" s="45"/>
      <c r="BH16" s="25"/>
      <c r="BI16" s="45"/>
      <c r="BJ16" s="46"/>
      <c r="BK16" s="33"/>
      <c r="BL16" s="22"/>
      <c r="BM16" s="23"/>
      <c r="BN16" s="45"/>
      <c r="BO16" s="25"/>
      <c r="BP16" s="45"/>
      <c r="BQ16" s="29"/>
      <c r="BR16" s="29"/>
      <c r="BS16" s="29"/>
      <c r="BT16" s="22"/>
      <c r="BU16" s="23"/>
      <c r="BV16" s="45"/>
      <c r="BW16" s="25"/>
      <c r="BX16" s="45"/>
      <c r="BY16" s="35"/>
      <c r="BZ16" s="22"/>
      <c r="CA16" s="23"/>
      <c r="CB16" s="45"/>
      <c r="CC16" s="25"/>
      <c r="CD16" s="45"/>
      <c r="CE16" s="47"/>
      <c r="CF16" s="22"/>
      <c r="CG16" s="23"/>
      <c r="CH16" s="45"/>
      <c r="CI16" s="25"/>
      <c r="CJ16" s="45"/>
      <c r="CK16" s="46"/>
      <c r="CL16" s="33"/>
      <c r="CM16" s="23"/>
      <c r="CN16" s="45"/>
      <c r="CO16" s="25"/>
      <c r="CP16" s="45"/>
      <c r="CQ16" s="46"/>
    </row>
    <row r="17" ht="52.5" customHeight="1">
      <c r="A17" s="46">
        <v>5.0</v>
      </c>
      <c r="B17" s="27" t="s">
        <v>149</v>
      </c>
      <c r="C17" s="26"/>
      <c r="D17" s="20"/>
      <c r="E17" s="20"/>
      <c r="F17" s="20"/>
      <c r="G17" s="23"/>
      <c r="H17" s="33"/>
      <c r="I17" s="22"/>
      <c r="J17" s="23" t="s">
        <v>78</v>
      </c>
      <c r="K17" s="40">
        <f t="shared" si="32"/>
        <v>46307.442</v>
      </c>
      <c r="L17" s="25" t="s">
        <v>69</v>
      </c>
      <c r="M17" s="40">
        <f t="shared" si="33"/>
        <v>46307.70552</v>
      </c>
      <c r="N17" s="29"/>
      <c r="O17" s="29"/>
      <c r="P17" s="29"/>
      <c r="Q17" s="22"/>
      <c r="R17" s="23"/>
      <c r="S17" s="45"/>
      <c r="T17" s="25"/>
      <c r="U17" s="45"/>
      <c r="V17" s="35"/>
      <c r="W17" s="22"/>
      <c r="X17" s="23"/>
      <c r="Y17" s="45"/>
      <c r="Z17" s="25"/>
      <c r="AA17" s="45"/>
      <c r="AB17" s="47"/>
      <c r="AC17" s="22" t="str">
        <f t="shared" si="38"/>
        <v>Done</v>
      </c>
      <c r="AD17" s="22">
        <v>1.0</v>
      </c>
      <c r="AE17" s="23" t="s">
        <v>67</v>
      </c>
      <c r="AF17" s="40">
        <f t="shared" si="60"/>
        <v>46314.41586</v>
      </c>
      <c r="AG17" s="25" t="s">
        <v>69</v>
      </c>
      <c r="AH17" s="53">
        <v>46314.47565972222</v>
      </c>
      <c r="AI17" s="46">
        <v>1.0</v>
      </c>
      <c r="AJ17" s="33"/>
      <c r="AK17" s="22"/>
      <c r="AL17" s="56"/>
      <c r="AM17" s="45"/>
      <c r="AN17" s="25"/>
      <c r="AO17" s="45"/>
      <c r="AP17" s="29"/>
      <c r="AQ17" s="29"/>
      <c r="AR17" s="29"/>
      <c r="AS17" s="22"/>
      <c r="AT17" s="23"/>
      <c r="AU17" s="45"/>
      <c r="AV17" s="25"/>
      <c r="AW17" s="45"/>
      <c r="AX17" s="35"/>
      <c r="AY17" s="22"/>
      <c r="AZ17" s="23"/>
      <c r="BA17" s="45"/>
      <c r="BB17" s="25"/>
      <c r="BC17" s="45"/>
      <c r="BD17" s="47"/>
      <c r="BE17" s="22"/>
      <c r="BF17" s="23"/>
      <c r="BG17" s="45"/>
      <c r="BH17" s="25"/>
      <c r="BI17" s="45"/>
      <c r="BJ17" s="46"/>
      <c r="BK17" s="33"/>
      <c r="BL17" s="22"/>
      <c r="BM17" s="23"/>
      <c r="BN17" s="45"/>
      <c r="BO17" s="25"/>
      <c r="BP17" s="45"/>
      <c r="BQ17" s="29"/>
      <c r="BR17" s="29"/>
      <c r="BS17" s="29"/>
      <c r="BT17" s="22"/>
      <c r="BU17" s="23"/>
      <c r="BV17" s="45"/>
      <c r="BW17" s="25"/>
      <c r="BX17" s="45"/>
      <c r="BY17" s="35"/>
      <c r="BZ17" s="22"/>
      <c r="CA17" s="23"/>
      <c r="CB17" s="45"/>
      <c r="CC17" s="25"/>
      <c r="CD17" s="45"/>
      <c r="CE17" s="47"/>
      <c r="CF17" s="22"/>
      <c r="CG17" s="23"/>
      <c r="CH17" s="45"/>
      <c r="CI17" s="25"/>
      <c r="CJ17" s="45"/>
      <c r="CK17" s="46"/>
      <c r="CL17" s="33"/>
      <c r="CM17" s="23"/>
      <c r="CN17" s="45"/>
      <c r="CO17" s="25"/>
      <c r="CP17" s="45"/>
      <c r="CQ17" s="46"/>
    </row>
    <row r="18" ht="52.5" customHeight="1">
      <c r="A18" s="39" t="s">
        <v>150</v>
      </c>
      <c r="B18" s="41" t="s">
        <v>151</v>
      </c>
      <c r="C18" s="42"/>
      <c r="D18" s="42"/>
      <c r="E18" s="42"/>
      <c r="F18" s="42"/>
      <c r="G18" s="42"/>
      <c r="H18" s="43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3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3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3"/>
      <c r="CM18" s="48"/>
      <c r="CN18" s="49"/>
      <c r="CO18" s="50"/>
      <c r="CP18" s="49"/>
      <c r="CQ18" s="51"/>
    </row>
    <row r="19" ht="52.5" customHeight="1">
      <c r="A19" s="46">
        <v>1.0</v>
      </c>
      <c r="B19" s="27" t="s">
        <v>153</v>
      </c>
      <c r="C19" s="26"/>
      <c r="D19" s="20">
        <v>3.0</v>
      </c>
      <c r="E19" s="52">
        <v>3.0</v>
      </c>
      <c r="F19" s="20"/>
      <c r="G19" s="23"/>
      <c r="H19" s="33"/>
      <c r="I19" s="22">
        <f t="shared" ref="I19:I20" si="61">D19</f>
        <v>3</v>
      </c>
      <c r="J19" s="23" t="s">
        <v>78</v>
      </c>
      <c r="K19" s="40">
        <f t="shared" ref="K19:K20" si="62">if(J19&lt;&gt;"", if(K19="",NOW(),K19),"")</f>
        <v>46261.61051</v>
      </c>
      <c r="L19" s="25" t="s">
        <v>69</v>
      </c>
      <c r="M19" s="40">
        <f t="shared" ref="M19:M20" si="63">if(L19="Done", if(M19="",NOW(),M19),"")</f>
        <v>46262.57264</v>
      </c>
      <c r="N19" s="29"/>
      <c r="O19" s="29"/>
      <c r="P19" s="29"/>
      <c r="Q19" s="22" t="str">
        <f t="shared" ref="Q19:Q20" si="64">T19</f>
        <v/>
      </c>
      <c r="R19" s="23"/>
      <c r="S19" s="45" t="str">
        <f t="shared" ref="S19:S20" si="65">if(R19&lt;&gt;"", if(S19="",NOW(),S19),"")</f>
        <v/>
      </c>
      <c r="T19" s="25"/>
      <c r="U19" s="45" t="str">
        <f t="shared" ref="U19:U20" si="66">if(T19="Done", if(U19="",NOW(),U19),"")</f>
        <v/>
      </c>
      <c r="V19" s="47"/>
      <c r="W19" s="22" t="str">
        <f>Z19</f>
        <v/>
      </c>
      <c r="X19" s="23"/>
      <c r="Y19" s="45"/>
      <c r="Z19" s="25"/>
      <c r="AA19" s="45"/>
      <c r="AB19" s="47"/>
      <c r="AC19" s="22" t="str">
        <f t="shared" ref="AC19:AC20" si="67">AG19</f>
        <v>Done</v>
      </c>
      <c r="AD19" s="20">
        <v>1.0</v>
      </c>
      <c r="AE19" s="23" t="s">
        <v>67</v>
      </c>
      <c r="AF19" s="40">
        <f>if(AE19&lt;&gt;"", if(AF19="",NOW(),AF19),"")</f>
        <v>46314.55035</v>
      </c>
      <c r="AG19" s="25" t="s">
        <v>69</v>
      </c>
      <c r="AH19" s="40">
        <f>if(AG19&lt;&gt;"", if(AH19="",NOW(),AH19),"")</f>
        <v>46314.55036</v>
      </c>
      <c r="AI19" s="46">
        <v>1.0</v>
      </c>
      <c r="AJ19" s="33"/>
      <c r="AK19" s="22">
        <f t="shared" ref="AK19:AK20" si="68">E19</f>
        <v>3</v>
      </c>
      <c r="AL19" s="23" t="s">
        <v>78</v>
      </c>
      <c r="AM19" s="40">
        <f t="shared" ref="AM19:AM20" si="69">if(AL19&lt;&gt;"", if(AM19="",NOW(),AM19),"")</f>
        <v>46269.59277</v>
      </c>
      <c r="AN19" s="25" t="s">
        <v>69</v>
      </c>
      <c r="AO19" s="40">
        <f t="shared" ref="AO19:AO20" si="70">if(AN19="Done", if(AO19="",NOW(),AO19),"")</f>
        <v>46272.48339</v>
      </c>
      <c r="AP19" s="29"/>
      <c r="AQ19" s="29"/>
      <c r="AR19" s="29"/>
      <c r="AS19" s="22" t="str">
        <f t="shared" ref="AS19:AS20" si="71">AV19</f>
        <v>Done</v>
      </c>
      <c r="AT19" s="23" t="s">
        <v>78</v>
      </c>
      <c r="AU19" s="40">
        <f t="shared" ref="AU19:AU20" si="72">if(AT19&lt;&gt;"", if(AU19="",NOW(),AU19),"")</f>
        <v>46273.47478</v>
      </c>
      <c r="AV19" s="25" t="s">
        <v>69</v>
      </c>
      <c r="AW19" s="40">
        <f t="shared" ref="AW19:AW20" si="73">if(AV19="Done", if(AW19="",NOW(),AW19),"")</f>
        <v>46273.47478</v>
      </c>
      <c r="AX19" s="47"/>
      <c r="AY19" s="22"/>
      <c r="AZ19" s="23"/>
      <c r="BA19" s="45" t="str">
        <f t="shared" ref="BA19:BA20" si="74">if(AZ19&lt;&gt;"", if(BA19="",NOW(),BA19),"")</f>
        <v/>
      </c>
      <c r="BB19" s="25"/>
      <c r="BC19" s="45" t="str">
        <f t="shared" ref="BC19:BC20" si="75">if(BB19="Done", if(BC19="",NOW(),BC19),"")</f>
        <v/>
      </c>
      <c r="BD19" s="47"/>
      <c r="BE19" s="22" t="str">
        <f t="shared" ref="BE19:BE20" si="76">BH19</f>
        <v>Done</v>
      </c>
      <c r="BF19" s="56" t="s">
        <v>66</v>
      </c>
      <c r="BG19" s="40">
        <f t="shared" ref="BG19:BG20" si="77">if(BF19&lt;&gt;"", if(BG19="",NOW(),BG19),"")</f>
        <v>46311.68288</v>
      </c>
      <c r="BH19" s="25" t="s">
        <v>69</v>
      </c>
      <c r="BI19" s="40">
        <f t="shared" ref="BI19:BI20" si="78">if(BH19="Done", if(BI19="",NOW(),BI19),"")</f>
        <v>46315.56968</v>
      </c>
      <c r="BJ19" s="46">
        <v>1.0</v>
      </c>
      <c r="BK19" s="33"/>
      <c r="BL19" s="22" t="str">
        <f t="shared" ref="BL19:BL20" si="79">F19</f>
        <v/>
      </c>
      <c r="BM19" s="23"/>
      <c r="BN19" s="45" t="str">
        <f t="shared" ref="BN19:BN20" si="80">if(BM19&lt;&gt;"", if(BN19="",NOW(),BN19),"")</f>
        <v/>
      </c>
      <c r="BO19" s="25"/>
      <c r="BP19" s="45" t="str">
        <f t="shared" ref="BP19:BP20" si="81">if(BO19="Done", if(BP19="",NOW(),BP19),"")</f>
        <v/>
      </c>
      <c r="BQ19" s="29"/>
      <c r="BR19" s="29"/>
      <c r="BS19" s="29"/>
      <c r="BT19" s="22" t="str">
        <f>BW19</f>
        <v/>
      </c>
      <c r="BU19" s="23"/>
      <c r="BV19" s="45" t="str">
        <f t="shared" ref="BV19:BV20" si="82">if(BU19&lt;&gt;"", if(BV19="",NOW(),BV19),"")</f>
        <v/>
      </c>
      <c r="BW19" s="25"/>
      <c r="BX19" s="45" t="str">
        <f t="shared" ref="BX19:BX20" si="83">if(BW19="Done", if(BX19="",NOW(),BX19),"")</f>
        <v/>
      </c>
      <c r="BY19" s="35"/>
      <c r="BZ19" s="22" t="str">
        <f>CC19</f>
        <v/>
      </c>
      <c r="CA19" s="23"/>
      <c r="CB19" s="45" t="str">
        <f t="shared" ref="CB19:CB20" si="84">if(CA19&lt;&gt;"", if(CB19="",NOW(),CB19),"")</f>
        <v/>
      </c>
      <c r="CC19" s="25"/>
      <c r="CD19" s="45" t="str">
        <f t="shared" ref="CD19:CD20" si="85">if(CC19="Done", if(CD19="",NOW(),CD19),"")</f>
        <v/>
      </c>
      <c r="CE19" s="47"/>
      <c r="CF19" s="22" t="str">
        <f>CI19</f>
        <v/>
      </c>
      <c r="CG19" s="23"/>
      <c r="CH19" s="45"/>
      <c r="CI19" s="25"/>
      <c r="CJ19" s="45"/>
      <c r="CK19" s="46"/>
      <c r="CL19" s="33"/>
      <c r="CM19" s="23"/>
      <c r="CN19" s="45"/>
      <c r="CO19" s="25"/>
      <c r="CP19" s="45"/>
      <c r="CQ19" s="46"/>
    </row>
    <row r="20" ht="52.5" customHeight="1">
      <c r="A20" s="46">
        <v>2.0</v>
      </c>
      <c r="B20" s="27" t="s">
        <v>177</v>
      </c>
      <c r="C20" s="26"/>
      <c r="D20" s="20">
        <v>3.0</v>
      </c>
      <c r="E20" s="52">
        <v>3.0</v>
      </c>
      <c r="F20" s="20"/>
      <c r="G20" s="23"/>
      <c r="H20" s="33"/>
      <c r="I20" s="22">
        <f t="shared" si="61"/>
        <v>3</v>
      </c>
      <c r="J20" s="23" t="s">
        <v>124</v>
      </c>
      <c r="K20" s="40">
        <f t="shared" si="62"/>
        <v>46261.69076</v>
      </c>
      <c r="L20" s="25" t="s">
        <v>69</v>
      </c>
      <c r="M20" s="40">
        <f t="shared" si="63"/>
        <v>46262.58773</v>
      </c>
      <c r="N20" s="29"/>
      <c r="O20" s="29"/>
      <c r="P20" s="29"/>
      <c r="Q20" s="22" t="str">
        <f t="shared" si="64"/>
        <v>Done</v>
      </c>
      <c r="R20" s="23" t="s">
        <v>124</v>
      </c>
      <c r="S20" s="40">
        <f t="shared" si="65"/>
        <v>46267.68651</v>
      </c>
      <c r="T20" s="25" t="s">
        <v>69</v>
      </c>
      <c r="U20" s="40">
        <f t="shared" si="66"/>
        <v>46268.70593</v>
      </c>
      <c r="V20" s="35">
        <v>1.0</v>
      </c>
      <c r="W20" s="22"/>
      <c r="X20" s="23"/>
      <c r="Y20" s="45"/>
      <c r="Z20" s="25"/>
      <c r="AA20" s="45"/>
      <c r="AB20" s="47"/>
      <c r="AC20" s="22" t="str">
        <f t="shared" si="67"/>
        <v>Done</v>
      </c>
      <c r="AD20" s="20">
        <v>1.0</v>
      </c>
      <c r="AE20" s="23" t="s">
        <v>66</v>
      </c>
      <c r="AF20" s="40">
        <v>46315.5697669213</v>
      </c>
      <c r="AG20" s="25" t="s">
        <v>69</v>
      </c>
      <c r="AH20" s="40">
        <f>if(AG20="Done", if(AH20="",NOW(),AH20),"")</f>
        <v>46316.07831</v>
      </c>
      <c r="AI20" s="46">
        <v>1.0</v>
      </c>
      <c r="AJ20" s="33"/>
      <c r="AK20" s="22">
        <f t="shared" si="68"/>
        <v>3</v>
      </c>
      <c r="AL20" s="23" t="s">
        <v>124</v>
      </c>
      <c r="AM20" s="40">
        <f t="shared" si="69"/>
        <v>46269.61653</v>
      </c>
      <c r="AN20" s="25" t="s">
        <v>69</v>
      </c>
      <c r="AO20" s="40">
        <f t="shared" si="70"/>
        <v>46273.70279</v>
      </c>
      <c r="AP20" s="29"/>
      <c r="AQ20" s="29"/>
      <c r="AR20" s="29"/>
      <c r="AS20" s="22" t="str">
        <f t="shared" si="71"/>
        <v/>
      </c>
      <c r="AT20" s="23"/>
      <c r="AU20" s="45" t="str">
        <f t="shared" si="72"/>
        <v/>
      </c>
      <c r="AV20" s="25"/>
      <c r="AW20" s="45" t="str">
        <f t="shared" si="73"/>
        <v/>
      </c>
      <c r="AX20" s="47"/>
      <c r="AY20" s="22"/>
      <c r="AZ20" s="23"/>
      <c r="BA20" s="45" t="str">
        <f t="shared" si="74"/>
        <v/>
      </c>
      <c r="BB20" s="25"/>
      <c r="BC20" s="45" t="str">
        <f t="shared" si="75"/>
        <v/>
      </c>
      <c r="BD20" s="47"/>
      <c r="BE20" s="22" t="str">
        <f t="shared" si="76"/>
        <v>Done</v>
      </c>
      <c r="BF20" s="56" t="s">
        <v>66</v>
      </c>
      <c r="BG20" s="40">
        <f t="shared" si="77"/>
        <v>46315.56976</v>
      </c>
      <c r="BH20" s="25" t="s">
        <v>69</v>
      </c>
      <c r="BI20" s="40">
        <f t="shared" si="78"/>
        <v>46316.07831</v>
      </c>
      <c r="BJ20" s="46">
        <v>1.0</v>
      </c>
      <c r="BK20" s="33"/>
      <c r="BL20" s="22" t="str">
        <f t="shared" si="79"/>
        <v/>
      </c>
      <c r="BM20" s="23"/>
      <c r="BN20" s="45" t="str">
        <f t="shared" si="80"/>
        <v/>
      </c>
      <c r="BO20" s="25"/>
      <c r="BP20" s="45" t="str">
        <f t="shared" si="81"/>
        <v/>
      </c>
      <c r="BQ20" s="29"/>
      <c r="BR20" s="29"/>
      <c r="BS20" s="29"/>
      <c r="BT20" s="22"/>
      <c r="BU20" s="23"/>
      <c r="BV20" s="45" t="str">
        <f t="shared" si="82"/>
        <v/>
      </c>
      <c r="BW20" s="25"/>
      <c r="BX20" s="45" t="str">
        <f t="shared" si="83"/>
        <v/>
      </c>
      <c r="BY20" s="35"/>
      <c r="BZ20" s="22"/>
      <c r="CA20" s="23"/>
      <c r="CB20" s="45" t="str">
        <f t="shared" si="84"/>
        <v/>
      </c>
      <c r="CC20" s="25"/>
      <c r="CD20" s="45" t="str">
        <f t="shared" si="85"/>
        <v/>
      </c>
      <c r="CE20" s="47"/>
      <c r="CF20" s="22"/>
      <c r="CG20" s="23"/>
      <c r="CH20" s="45"/>
      <c r="CI20" s="25"/>
      <c r="CJ20" s="45"/>
      <c r="CK20" s="46"/>
      <c r="CL20" s="33"/>
      <c r="CM20" s="23"/>
      <c r="CN20" s="45"/>
      <c r="CO20" s="25"/>
      <c r="CP20" s="45"/>
      <c r="CQ20" s="46"/>
    </row>
    <row r="21" ht="52.5" customHeight="1">
      <c r="A21" s="39" t="s">
        <v>181</v>
      </c>
      <c r="B21" s="41" t="s">
        <v>182</v>
      </c>
      <c r="C21" s="42"/>
      <c r="D21" s="42"/>
      <c r="E21" s="42"/>
      <c r="F21" s="42"/>
      <c r="G21" s="42"/>
      <c r="H21" s="43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 t="str">
        <f>Y21</f>
        <v/>
      </c>
      <c r="AE21" s="42"/>
      <c r="AF21" s="42"/>
      <c r="AG21" s="42"/>
      <c r="AH21" s="42"/>
      <c r="AI21" s="42"/>
      <c r="AJ21" s="43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3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3"/>
      <c r="CM21" s="48"/>
      <c r="CN21" s="49"/>
      <c r="CO21" s="50"/>
      <c r="CP21" s="49"/>
      <c r="CQ21" s="51"/>
    </row>
    <row r="22" ht="52.5" customHeight="1">
      <c r="A22" s="46">
        <v>1.0</v>
      </c>
      <c r="B22" s="27" t="s">
        <v>183</v>
      </c>
      <c r="C22" s="26"/>
      <c r="D22" s="20">
        <v>3.0</v>
      </c>
      <c r="E22" s="52">
        <v>3.0</v>
      </c>
      <c r="F22" s="20"/>
      <c r="G22" s="23"/>
      <c r="H22" s="33"/>
      <c r="I22" s="22">
        <f t="shared" ref="I22:I23" si="86">D22</f>
        <v>3</v>
      </c>
      <c r="J22" s="23" t="s">
        <v>87</v>
      </c>
      <c r="K22" s="40">
        <f t="shared" ref="K22:K23" si="87">if(J22&lt;&gt;"", if(K22="",NOW(),K22),"")</f>
        <v>46261.69248</v>
      </c>
      <c r="L22" s="25" t="s">
        <v>69</v>
      </c>
      <c r="M22" s="40">
        <f t="shared" ref="M22:M23" si="88">if(L22="Done", if(M22="",NOW(),M22),"")</f>
        <v>46262.63982</v>
      </c>
      <c r="N22" s="29"/>
      <c r="O22" s="29"/>
      <c r="P22" s="29"/>
      <c r="Q22" s="22" t="str">
        <f t="shared" ref="Q22:Q23" si="89">T22</f>
        <v>Done</v>
      </c>
      <c r="R22" s="23" t="s">
        <v>78</v>
      </c>
      <c r="S22" s="53">
        <v>46279.44305555556</v>
      </c>
      <c r="T22" s="25" t="s">
        <v>69</v>
      </c>
      <c r="U22" s="53">
        <v>46279.58337962963</v>
      </c>
      <c r="V22" s="35">
        <v>0.4</v>
      </c>
      <c r="W22" s="22" t="str">
        <f t="shared" ref="W22:W23" si="90">Z22</f>
        <v/>
      </c>
      <c r="X22" s="23"/>
      <c r="Y22" s="45"/>
      <c r="Z22" s="25"/>
      <c r="AA22" s="45"/>
      <c r="AB22" s="47"/>
      <c r="AC22" s="22" t="str">
        <f t="shared" ref="AC22:AC23" si="91">AG22</f>
        <v>Done</v>
      </c>
      <c r="AD22" s="20">
        <v>1.0</v>
      </c>
      <c r="AE22" s="23" t="s">
        <v>67</v>
      </c>
      <c r="AF22" s="40">
        <f t="shared" ref="AF22:AF23" si="92">if(AE22&lt;&gt;"", if(AF22="",NOW(),AF22),"")</f>
        <v>46315.6568</v>
      </c>
      <c r="AG22" s="25" t="s">
        <v>69</v>
      </c>
      <c r="AH22" s="40">
        <f t="shared" ref="AH22:AH23" si="93">if(AG22&lt;&gt;"", if(AH22="",NOW(),AH22),"")</f>
        <v>46315.65683</v>
      </c>
      <c r="AI22" s="46">
        <v>1.0</v>
      </c>
      <c r="AJ22" s="33"/>
      <c r="AK22" s="22">
        <f t="shared" ref="AK22:AK23" si="94">E22</f>
        <v>3</v>
      </c>
      <c r="AL22" s="23" t="s">
        <v>78</v>
      </c>
      <c r="AM22" s="40">
        <f t="shared" ref="AM22:AM23" si="95">if(AL22&lt;&gt;"", if(AM22="",NOW(),AM22),"")</f>
        <v>46275.67774</v>
      </c>
      <c r="AN22" s="25" t="s">
        <v>69</v>
      </c>
      <c r="AO22" s="40">
        <f t="shared" ref="AO22:AO23" si="96">if(AN22="Done", if(AO22="",NOW(),AO22),"")</f>
        <v>46279.62286</v>
      </c>
      <c r="AP22" s="29"/>
      <c r="AQ22" s="29"/>
      <c r="AR22" s="29"/>
      <c r="AS22" s="22" t="str">
        <f t="shared" ref="AS22:AS23" si="97">AV22</f>
        <v/>
      </c>
      <c r="AT22" s="23"/>
      <c r="AU22" s="45" t="str">
        <f t="shared" ref="AU22:AU23" si="98">if(AT22&lt;&gt;"", if(AU22="",NOW(),AU22),"")</f>
        <v/>
      </c>
      <c r="AV22" s="25"/>
      <c r="AW22" s="45" t="str">
        <f t="shared" ref="AW22:AW23" si="99">if(AV22="Done", if(AW22="",NOW(),AW22),"")</f>
        <v/>
      </c>
      <c r="AX22" s="47"/>
      <c r="AY22" s="22"/>
      <c r="AZ22" s="23"/>
      <c r="BA22" s="45" t="str">
        <f t="shared" ref="BA22:BA23" si="100">if(AZ22&lt;&gt;"", if(BA22="",NOW(),BA22),"")</f>
        <v/>
      </c>
      <c r="BB22" s="25"/>
      <c r="BC22" s="45" t="str">
        <f t="shared" ref="BC22:BC23" si="101">if(BB22="Done", if(BC22="",NOW(),BC22),"")</f>
        <v/>
      </c>
      <c r="BD22" s="47"/>
      <c r="BE22" s="22" t="str">
        <f t="shared" ref="BE22:BE23" si="102">BH22</f>
        <v/>
      </c>
      <c r="BF22" s="56"/>
      <c r="BG22" s="45" t="str">
        <f t="shared" ref="BG22:BG23" si="103">if(BF22&lt;&gt;"", if(BG22="",NOW(),BG22),"")</f>
        <v/>
      </c>
      <c r="BH22" s="25"/>
      <c r="BI22" s="45" t="str">
        <f t="shared" ref="BI22:BI23" si="104">if(BH22="Done", if(BI22="",NOW(),BI22),"")</f>
        <v/>
      </c>
      <c r="BJ22" s="46">
        <v>0.0</v>
      </c>
      <c r="BK22" s="33"/>
      <c r="BL22" s="22" t="str">
        <f t="shared" ref="BL22:BL23" si="105">F22</f>
        <v/>
      </c>
      <c r="BM22" s="23"/>
      <c r="BN22" s="45" t="str">
        <f t="shared" ref="BN22:BN23" si="106">if(BM22&lt;&gt;"", if(BN22="",NOW(),BN22),"")</f>
        <v/>
      </c>
      <c r="BO22" s="25"/>
      <c r="BP22" s="45" t="str">
        <f t="shared" ref="BP22:BP23" si="107">if(BO22="Done", if(BP22="",NOW(),BP22),"")</f>
        <v/>
      </c>
      <c r="BQ22" s="29"/>
      <c r="BR22" s="29"/>
      <c r="BS22" s="29"/>
      <c r="BT22" s="22" t="str">
        <f t="shared" ref="BT22:BT23" si="108">BW22</f>
        <v/>
      </c>
      <c r="BU22" s="23"/>
      <c r="BV22" s="45" t="str">
        <f t="shared" ref="BV22:BV23" si="109">if(BU22&lt;&gt;"", if(BV22="",NOW(),BV22),"")</f>
        <v/>
      </c>
      <c r="BW22" s="25"/>
      <c r="BX22" s="45" t="str">
        <f t="shared" ref="BX22:BX23" si="110">if(BW22="Done", if(BX22="",NOW(),BX22),"")</f>
        <v/>
      </c>
      <c r="BY22" s="35"/>
      <c r="BZ22" s="22" t="str">
        <f t="shared" ref="BZ22:BZ23" si="111">CC22</f>
        <v/>
      </c>
      <c r="CA22" s="23"/>
      <c r="CB22" s="45" t="str">
        <f t="shared" ref="CB22:CB23" si="112">if(CA22&lt;&gt;"", if(CB22="",NOW(),CB22),"")</f>
        <v/>
      </c>
      <c r="CC22" s="25"/>
      <c r="CD22" s="45" t="str">
        <f t="shared" ref="CD22:CD23" si="113">if(CC22="Done", if(CD22="",NOW(),CD22),"")</f>
        <v/>
      </c>
      <c r="CE22" s="47"/>
      <c r="CF22" s="22" t="str">
        <f t="shared" ref="CF22:CF23" si="114">CI22</f>
        <v/>
      </c>
      <c r="CG22" s="23"/>
      <c r="CH22" s="45"/>
      <c r="CI22" s="25"/>
      <c r="CJ22" s="45"/>
      <c r="CK22" s="46"/>
      <c r="CL22" s="33"/>
      <c r="CM22" s="23"/>
      <c r="CN22" s="45"/>
      <c r="CO22" s="25"/>
      <c r="CP22" s="45"/>
      <c r="CQ22" s="46"/>
    </row>
    <row r="23" ht="52.5" customHeight="1">
      <c r="A23" s="66">
        <v>2.0</v>
      </c>
      <c r="B23" s="67" t="s">
        <v>189</v>
      </c>
      <c r="C23" s="68"/>
      <c r="D23" s="20">
        <v>3.0</v>
      </c>
      <c r="E23" s="52">
        <v>3.0</v>
      </c>
      <c r="F23" s="20"/>
      <c r="G23" s="23"/>
      <c r="H23" s="33"/>
      <c r="I23" s="22">
        <f t="shared" si="86"/>
        <v>3</v>
      </c>
      <c r="J23" s="23" t="s">
        <v>78</v>
      </c>
      <c r="K23" s="40">
        <f t="shared" si="87"/>
        <v>46262.57269</v>
      </c>
      <c r="L23" s="25" t="s">
        <v>69</v>
      </c>
      <c r="M23" s="40">
        <f t="shared" si="88"/>
        <v>46262.70591</v>
      </c>
      <c r="N23" s="29"/>
      <c r="O23" s="29"/>
      <c r="P23" s="29"/>
      <c r="Q23" s="22" t="str">
        <f t="shared" si="89"/>
        <v/>
      </c>
      <c r="R23" s="23"/>
      <c r="S23" s="45" t="str">
        <f>if(R23&lt;&gt;"", if(S23="",NOW(),S23),"")</f>
        <v/>
      </c>
      <c r="T23" s="25"/>
      <c r="U23" s="45" t="str">
        <f>if(T23="Done", if(U23="",NOW(),U23),"")</f>
        <v/>
      </c>
      <c r="V23" s="47"/>
      <c r="W23" s="22" t="str">
        <f t="shared" si="90"/>
        <v/>
      </c>
      <c r="X23" s="23"/>
      <c r="Y23" s="45"/>
      <c r="Z23" s="25"/>
      <c r="AA23" s="45"/>
      <c r="AB23" s="47"/>
      <c r="AC23" s="22" t="str">
        <f t="shared" si="91"/>
        <v>Done</v>
      </c>
      <c r="AD23" s="20">
        <v>1.0</v>
      </c>
      <c r="AE23" s="23" t="s">
        <v>67</v>
      </c>
      <c r="AF23" s="40">
        <f t="shared" si="92"/>
        <v>46314.6153</v>
      </c>
      <c r="AG23" s="25" t="s">
        <v>69</v>
      </c>
      <c r="AH23" s="40">
        <f t="shared" si="93"/>
        <v>46314.6153</v>
      </c>
      <c r="AI23" s="46">
        <v>1.0</v>
      </c>
      <c r="AJ23" s="33"/>
      <c r="AK23" s="22">
        <f t="shared" si="94"/>
        <v>3</v>
      </c>
      <c r="AL23" s="23" t="s">
        <v>78</v>
      </c>
      <c r="AM23" s="40">
        <f t="shared" si="95"/>
        <v>46272.48358</v>
      </c>
      <c r="AN23" s="25" t="s">
        <v>69</v>
      </c>
      <c r="AO23" s="40">
        <f t="shared" si="96"/>
        <v>46274.46811</v>
      </c>
      <c r="AP23" s="29"/>
      <c r="AQ23" s="29"/>
      <c r="AR23" s="29"/>
      <c r="AS23" s="22" t="str">
        <f t="shared" si="97"/>
        <v/>
      </c>
      <c r="AT23" s="23"/>
      <c r="AU23" s="45" t="str">
        <f t="shared" si="98"/>
        <v/>
      </c>
      <c r="AV23" s="25"/>
      <c r="AW23" s="45" t="str">
        <f t="shared" si="99"/>
        <v/>
      </c>
      <c r="AX23" s="47"/>
      <c r="AY23" s="22"/>
      <c r="AZ23" s="23"/>
      <c r="BA23" s="45" t="str">
        <f t="shared" si="100"/>
        <v/>
      </c>
      <c r="BB23" s="25"/>
      <c r="BC23" s="45" t="str">
        <f t="shared" si="101"/>
        <v/>
      </c>
      <c r="BD23" s="47"/>
      <c r="BE23" s="22" t="str">
        <f t="shared" si="102"/>
        <v/>
      </c>
      <c r="BF23" s="56"/>
      <c r="BG23" s="45" t="str">
        <f t="shared" si="103"/>
        <v/>
      </c>
      <c r="BH23" s="25"/>
      <c r="BI23" s="45" t="str">
        <f t="shared" si="104"/>
        <v/>
      </c>
      <c r="BJ23" s="46">
        <v>0.0</v>
      </c>
      <c r="BK23" s="33"/>
      <c r="BL23" s="22" t="str">
        <f t="shared" si="105"/>
        <v/>
      </c>
      <c r="BM23" s="23"/>
      <c r="BN23" s="45" t="str">
        <f t="shared" si="106"/>
        <v/>
      </c>
      <c r="BO23" s="25"/>
      <c r="BP23" s="45" t="str">
        <f t="shared" si="107"/>
        <v/>
      </c>
      <c r="BQ23" s="29"/>
      <c r="BR23" s="29"/>
      <c r="BS23" s="29"/>
      <c r="BT23" s="22" t="str">
        <f t="shared" si="108"/>
        <v/>
      </c>
      <c r="BU23" s="23"/>
      <c r="BV23" s="45" t="str">
        <f t="shared" si="109"/>
        <v/>
      </c>
      <c r="BW23" s="25"/>
      <c r="BX23" s="45" t="str">
        <f t="shared" si="110"/>
        <v/>
      </c>
      <c r="BY23" s="35"/>
      <c r="BZ23" s="22" t="str">
        <f t="shared" si="111"/>
        <v/>
      </c>
      <c r="CA23" s="23"/>
      <c r="CB23" s="45" t="str">
        <f t="shared" si="112"/>
        <v/>
      </c>
      <c r="CC23" s="25"/>
      <c r="CD23" s="45" t="str">
        <f t="shared" si="113"/>
        <v/>
      </c>
      <c r="CE23" s="47"/>
      <c r="CF23" s="22" t="str">
        <f t="shared" si="114"/>
        <v/>
      </c>
      <c r="CG23" s="23"/>
      <c r="CH23" s="45"/>
      <c r="CI23" s="25"/>
      <c r="CJ23" s="45"/>
      <c r="CK23" s="46"/>
      <c r="CL23" s="33"/>
      <c r="CM23" s="23"/>
      <c r="CN23" s="45"/>
      <c r="CO23" s="25"/>
      <c r="CP23" s="45"/>
      <c r="CQ23" s="46"/>
    </row>
    <row r="24" ht="52.5" customHeight="1">
      <c r="A24" s="39" t="s">
        <v>191</v>
      </c>
      <c r="B24" s="41" t="s">
        <v>192</v>
      </c>
      <c r="C24" s="42"/>
      <c r="D24" s="42"/>
      <c r="E24" s="42"/>
      <c r="F24" s="42"/>
      <c r="G24" s="42"/>
      <c r="H24" s="43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 t="str">
        <f>Y24</f>
        <v/>
      </c>
      <c r="AE24" s="42"/>
      <c r="AF24" s="42"/>
      <c r="AG24" s="42"/>
      <c r="AH24" s="42"/>
      <c r="AI24" s="42"/>
      <c r="AJ24" s="43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3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3"/>
      <c r="CM24" s="48"/>
      <c r="CN24" s="49"/>
      <c r="CO24" s="50"/>
      <c r="CP24" s="49"/>
      <c r="CQ24" s="51"/>
    </row>
    <row r="25" ht="52.5" customHeight="1">
      <c r="A25" s="46">
        <v>1.0</v>
      </c>
      <c r="B25" s="27" t="s">
        <v>195</v>
      </c>
      <c r="C25" s="26"/>
      <c r="D25" s="20">
        <v>3.0</v>
      </c>
      <c r="E25" s="52">
        <v>2.0</v>
      </c>
      <c r="F25" s="20"/>
      <c r="G25" s="23"/>
      <c r="H25" s="33"/>
      <c r="I25" s="22">
        <f t="shared" ref="I25:I26" si="115">D25</f>
        <v>3</v>
      </c>
      <c r="J25" s="23" t="s">
        <v>87</v>
      </c>
      <c r="K25" s="40">
        <v>46274.60498575232</v>
      </c>
      <c r="L25" s="25" t="s">
        <v>69</v>
      </c>
      <c r="M25" s="40">
        <v>46275.58411431713</v>
      </c>
      <c r="N25" s="29"/>
      <c r="O25" s="29"/>
      <c r="P25" s="29"/>
      <c r="Q25" s="22"/>
      <c r="R25" s="23"/>
      <c r="S25" s="45" t="s">
        <v>127</v>
      </c>
      <c r="T25" s="25"/>
      <c r="U25" s="45" t="s">
        <v>127</v>
      </c>
      <c r="V25" s="47"/>
      <c r="W25" s="22"/>
      <c r="X25" s="23"/>
      <c r="Y25" s="45"/>
      <c r="Z25" s="25"/>
      <c r="AA25" s="45"/>
      <c r="AB25" s="47"/>
      <c r="AC25" s="22" t="str">
        <f t="shared" ref="AC25:AC26" si="116">AG25</f>
        <v>Done</v>
      </c>
      <c r="AD25" s="20">
        <v>1.0</v>
      </c>
      <c r="AE25" s="23" t="s">
        <v>66</v>
      </c>
      <c r="AF25" s="53">
        <v>46294.41832175926</v>
      </c>
      <c r="AG25" s="25" t="s">
        <v>69</v>
      </c>
      <c r="AH25" s="40">
        <v>46294.64607737269</v>
      </c>
      <c r="AI25" s="46">
        <v>1.0</v>
      </c>
      <c r="AJ25" s="33"/>
      <c r="AK25" s="22">
        <v>1.0</v>
      </c>
      <c r="AL25" s="23" t="s">
        <v>87</v>
      </c>
      <c r="AM25" s="40">
        <v>46275.58585791667</v>
      </c>
      <c r="AN25" s="25" t="s">
        <v>69</v>
      </c>
      <c r="AO25" s="40">
        <v>46279.7496078588</v>
      </c>
      <c r="AP25" s="29"/>
      <c r="AQ25" s="29"/>
      <c r="AR25" s="29"/>
      <c r="AS25" s="22" t="s">
        <v>69</v>
      </c>
      <c r="AT25" s="23" t="s">
        <v>87</v>
      </c>
      <c r="AU25" s="40">
        <v>46294.64607737269</v>
      </c>
      <c r="AV25" s="25" t="s">
        <v>69</v>
      </c>
      <c r="AW25" s="40">
        <v>46294.655212881946</v>
      </c>
      <c r="AX25" s="35">
        <v>0.2</v>
      </c>
      <c r="AY25" s="22"/>
      <c r="AZ25" s="23"/>
      <c r="BA25" s="45" t="s">
        <v>127</v>
      </c>
      <c r="BB25" s="25"/>
      <c r="BC25" s="45" t="s">
        <v>127</v>
      </c>
      <c r="BD25" s="47"/>
      <c r="BE25" s="22" t="s">
        <v>69</v>
      </c>
      <c r="BF25" s="23" t="s">
        <v>66</v>
      </c>
      <c r="BG25" s="53">
        <v>46294.41832175926</v>
      </c>
      <c r="BH25" s="25" t="s">
        <v>69</v>
      </c>
      <c r="BI25" s="40">
        <v>46294.64607737269</v>
      </c>
      <c r="BJ25" s="46">
        <v>2.0</v>
      </c>
      <c r="BK25" s="33"/>
      <c r="BL25" s="22"/>
      <c r="BM25" s="23"/>
      <c r="BN25" s="45" t="str">
        <f t="shared" ref="BN25:BN26" si="117">if(BM25&lt;&gt;"", if(BN25="",NOW(),BN25),"")</f>
        <v/>
      </c>
      <c r="BO25" s="25"/>
      <c r="BP25" s="45" t="str">
        <f t="shared" ref="BP25:BP26" si="118">if(BO25="Done", if(BP25="",NOW(),BP25),"")</f>
        <v/>
      </c>
      <c r="BQ25" s="29"/>
      <c r="BR25" s="29"/>
      <c r="BS25" s="29"/>
      <c r="BT25" s="22"/>
      <c r="BU25" s="23"/>
      <c r="BV25" s="45" t="s">
        <v>127</v>
      </c>
      <c r="BW25" s="25"/>
      <c r="BX25" s="45" t="s">
        <v>127</v>
      </c>
      <c r="BY25" s="35"/>
      <c r="BZ25" s="22"/>
      <c r="CA25" s="23"/>
      <c r="CB25" s="45" t="s">
        <v>127</v>
      </c>
      <c r="CC25" s="25"/>
      <c r="CD25" s="45" t="s">
        <v>127</v>
      </c>
      <c r="CE25" s="47"/>
      <c r="CF25" s="22"/>
      <c r="CG25" s="23"/>
      <c r="CH25" s="45"/>
      <c r="CI25" s="25"/>
      <c r="CJ25" s="45"/>
      <c r="CK25" s="46"/>
      <c r="CL25" s="33"/>
      <c r="CM25" s="23"/>
      <c r="CN25" s="45"/>
      <c r="CO25" s="25"/>
      <c r="CP25" s="45"/>
      <c r="CQ25" s="46"/>
    </row>
    <row r="26" ht="52.5" customHeight="1">
      <c r="A26" s="46">
        <v>2.0</v>
      </c>
      <c r="B26" s="27" t="s">
        <v>198</v>
      </c>
      <c r="C26" s="26"/>
      <c r="D26" s="20">
        <v>3.0</v>
      </c>
      <c r="E26" s="52">
        <v>3.0</v>
      </c>
      <c r="F26" s="20"/>
      <c r="G26" s="23"/>
      <c r="H26" s="33"/>
      <c r="I26" s="22">
        <f t="shared" si="115"/>
        <v>3</v>
      </c>
      <c r="J26" s="23" t="s">
        <v>67</v>
      </c>
      <c r="K26" s="40">
        <f>if(J26&lt;&gt;"", if(K26="",NOW(),K26),"")</f>
        <v>46268.46008</v>
      </c>
      <c r="L26" s="25" t="s">
        <v>69</v>
      </c>
      <c r="M26" s="40">
        <f>if(L26="Done", if(M26="",NOW(),M26),"")</f>
        <v>46268.7086</v>
      </c>
      <c r="N26" s="29"/>
      <c r="O26" s="29"/>
      <c r="P26" s="29"/>
      <c r="Q26" s="22" t="str">
        <f>T26</f>
        <v/>
      </c>
      <c r="R26" s="23"/>
      <c r="S26" s="45" t="str">
        <f>if(R26&lt;&gt;"", if(S26="",NOW(),S26),"")</f>
        <v/>
      </c>
      <c r="T26" s="25"/>
      <c r="U26" s="45" t="str">
        <f>if(T26="Done", if(U26="",NOW(),U26),"")</f>
        <v/>
      </c>
      <c r="V26" s="47"/>
      <c r="W26" s="22" t="str">
        <f>Z26</f>
        <v/>
      </c>
      <c r="X26" s="23"/>
      <c r="Y26" s="45"/>
      <c r="Z26" s="25"/>
      <c r="AA26" s="45"/>
      <c r="AB26" s="47"/>
      <c r="AC26" s="22" t="str">
        <f t="shared" si="116"/>
        <v>Done</v>
      </c>
      <c r="AD26" s="20">
        <v>1.0</v>
      </c>
      <c r="AE26" s="23" t="s">
        <v>66</v>
      </c>
      <c r="AF26" s="40">
        <f>if(AE26&lt;&gt;"", if(AF26="",NOW(),AF26),"")</f>
        <v>46293.47193</v>
      </c>
      <c r="AG26" s="25" t="s">
        <v>69</v>
      </c>
      <c r="AH26" s="40">
        <f>if(AG26&lt;&gt;"", if(AH26="",NOW(),AH26),"")</f>
        <v>46293.47193</v>
      </c>
      <c r="AI26" s="46">
        <v>1.0</v>
      </c>
      <c r="AJ26" s="33"/>
      <c r="AK26" s="22">
        <f>E26</f>
        <v>3</v>
      </c>
      <c r="AL26" s="23" t="s">
        <v>67</v>
      </c>
      <c r="AM26" s="40">
        <f>if(AL26&lt;&gt;"", if(AM26="",NOW(),AM26),"")</f>
        <v>46275.68055</v>
      </c>
      <c r="AN26" s="25" t="s">
        <v>69</v>
      </c>
      <c r="AO26" s="40">
        <f>if(AN26="Done", if(AO26="",NOW(),AO26),"")</f>
        <v>46279.59802</v>
      </c>
      <c r="AP26" s="29"/>
      <c r="AQ26" s="29"/>
      <c r="AR26" s="29"/>
      <c r="AS26" s="22" t="str">
        <f>AV26</f>
        <v/>
      </c>
      <c r="AT26" s="23"/>
      <c r="AU26" s="45" t="str">
        <f>if(AT26&lt;&gt;"", if(AU26="",NOW(),AU26),"")</f>
        <v/>
      </c>
      <c r="AV26" s="25"/>
      <c r="AW26" s="45" t="str">
        <f>if(AV26="Done", if(AW26="",NOW(),AW26),"")</f>
        <v/>
      </c>
      <c r="AX26" s="47"/>
      <c r="AY26" s="22"/>
      <c r="AZ26" s="23"/>
      <c r="BA26" s="45" t="str">
        <f>if(AZ26&lt;&gt;"", if(BA26="",NOW(),BA26),"")</f>
        <v/>
      </c>
      <c r="BB26" s="25"/>
      <c r="BC26" s="45" t="str">
        <f>if(BB26="Done", if(BC26="",NOW(),BC26),"")</f>
        <v/>
      </c>
      <c r="BD26" s="47"/>
      <c r="BE26" s="22" t="str">
        <f>BH26</f>
        <v>Done</v>
      </c>
      <c r="BF26" s="23" t="s">
        <v>66</v>
      </c>
      <c r="BG26" s="40">
        <v>46293.69075706018</v>
      </c>
      <c r="BH26" s="25" t="s">
        <v>69</v>
      </c>
      <c r="BI26" s="40">
        <v>46294.40662622685</v>
      </c>
      <c r="BJ26" s="46">
        <v>1.0</v>
      </c>
      <c r="BK26" s="33"/>
      <c r="BL26" s="22"/>
      <c r="BM26" s="23"/>
      <c r="BN26" s="45" t="str">
        <f t="shared" si="117"/>
        <v/>
      </c>
      <c r="BO26" s="25"/>
      <c r="BP26" s="45" t="str">
        <f t="shared" si="118"/>
        <v/>
      </c>
      <c r="BQ26" s="29"/>
      <c r="BR26" s="29"/>
      <c r="BS26" s="29"/>
      <c r="BT26" s="22" t="str">
        <f>BW26</f>
        <v/>
      </c>
      <c r="BU26" s="23"/>
      <c r="BV26" s="45" t="str">
        <f>if(BU26&lt;&gt;"", if(BV26="",NOW(),BV26),"")</f>
        <v/>
      </c>
      <c r="BW26" s="25"/>
      <c r="BX26" s="45" t="str">
        <f>if(BW26="Done", if(BX26="",NOW(),BX26),"")</f>
        <v/>
      </c>
      <c r="BY26" s="35"/>
      <c r="BZ26" s="22" t="str">
        <f>CC26</f>
        <v/>
      </c>
      <c r="CA26" s="23"/>
      <c r="CB26" s="45" t="str">
        <f>if(CA26&lt;&gt;"", if(CB26="",NOW(),CB26),"")</f>
        <v/>
      </c>
      <c r="CC26" s="25"/>
      <c r="CD26" s="45" t="str">
        <f>if(CC26="Done", if(CD26="",NOW(),CD26),"")</f>
        <v/>
      </c>
      <c r="CE26" s="47"/>
      <c r="CF26" s="22" t="str">
        <f>CI26</f>
        <v/>
      </c>
      <c r="CG26" s="23"/>
      <c r="CH26" s="45"/>
      <c r="CI26" s="25"/>
      <c r="CJ26" s="45"/>
      <c r="CK26" s="46"/>
      <c r="CL26" s="33"/>
      <c r="CM26" s="23"/>
      <c r="CN26" s="45"/>
      <c r="CO26" s="25"/>
      <c r="CP26" s="45"/>
      <c r="CQ26" s="46"/>
    </row>
    <row r="27" ht="52.5" customHeight="1">
      <c r="A27" s="28" t="s">
        <v>203</v>
      </c>
      <c r="B27" s="30" t="s">
        <v>204</v>
      </c>
      <c r="C27" s="31"/>
      <c r="D27" s="31"/>
      <c r="E27" s="31"/>
      <c r="F27" s="31"/>
      <c r="G27" s="31"/>
      <c r="H27" s="33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 t="str">
        <f t="shared" ref="AD27:AD28" si="119">Y27</f>
        <v/>
      </c>
      <c r="AE27" s="31"/>
      <c r="AF27" s="31"/>
      <c r="AG27" s="31"/>
      <c r="AH27" s="31"/>
      <c r="AI27" s="31"/>
      <c r="AJ27" s="33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6"/>
      <c r="CN27" s="37"/>
      <c r="CO27" s="38"/>
      <c r="CP27" s="37"/>
      <c r="CQ27" s="28"/>
    </row>
    <row r="28" ht="52.5" customHeight="1">
      <c r="A28" s="39" t="s">
        <v>74</v>
      </c>
      <c r="B28" s="41" t="s">
        <v>207</v>
      </c>
      <c r="C28" s="42"/>
      <c r="D28" s="42"/>
      <c r="E28" s="42"/>
      <c r="F28" s="42"/>
      <c r="G28" s="42"/>
      <c r="H28" s="43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 t="str">
        <f t="shared" si="119"/>
        <v/>
      </c>
      <c r="AE28" s="42"/>
      <c r="AF28" s="42"/>
      <c r="AG28" s="42"/>
      <c r="AH28" s="42"/>
      <c r="AI28" s="42"/>
      <c r="AJ28" s="43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3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3"/>
      <c r="CM28" s="48"/>
      <c r="CN28" s="49"/>
      <c r="CO28" s="50"/>
      <c r="CP28" s="49"/>
      <c r="CQ28" s="51"/>
    </row>
    <row r="29" ht="52.5" customHeight="1">
      <c r="A29" s="46">
        <v>1.0</v>
      </c>
      <c r="B29" s="27" t="s">
        <v>208</v>
      </c>
      <c r="C29" s="26"/>
      <c r="D29" s="20">
        <v>3.0</v>
      </c>
      <c r="E29" s="52">
        <v>3.0</v>
      </c>
      <c r="F29" s="20"/>
      <c r="G29" s="23"/>
      <c r="H29" s="33"/>
      <c r="I29" s="22">
        <f t="shared" ref="I29:I30" si="120">D29</f>
        <v>3</v>
      </c>
      <c r="J29" s="23" t="s">
        <v>124</v>
      </c>
      <c r="K29" s="40">
        <f t="shared" ref="K29:K31" si="121">if(J29&lt;&gt;"", if(K29="",NOW(),K29),"")</f>
        <v>46262.58966</v>
      </c>
      <c r="L29" s="25" t="s">
        <v>69</v>
      </c>
      <c r="M29" s="40">
        <f t="shared" ref="M29:M31" si="122">if(L29="Done", if(M29="",NOW(),M29),"")</f>
        <v>46265.47126</v>
      </c>
      <c r="N29" s="29"/>
      <c r="O29" s="29"/>
      <c r="P29" s="29"/>
      <c r="Q29" s="22" t="str">
        <f t="shared" ref="Q29:Q31" si="123">T29</f>
        <v/>
      </c>
      <c r="R29" s="23"/>
      <c r="S29" s="45" t="str">
        <f>if(R29&lt;&gt;"", if(S29="",NOW(),S29),"")</f>
        <v/>
      </c>
      <c r="T29" s="25"/>
      <c r="U29" s="45" t="str">
        <f>if(T29="Done", if(U29="",NOW(),U29),"")</f>
        <v/>
      </c>
      <c r="V29" s="47"/>
      <c r="W29" s="22" t="str">
        <f>Z29</f>
        <v/>
      </c>
      <c r="X29" s="23"/>
      <c r="Y29" s="45"/>
      <c r="Z29" s="25"/>
      <c r="AA29" s="45"/>
      <c r="AB29" s="47"/>
      <c r="AC29" s="22" t="str">
        <f t="shared" ref="AC29:AC31" si="124">AG29</f>
        <v>Ongoing</v>
      </c>
      <c r="AD29" s="20">
        <v>1.0</v>
      </c>
      <c r="AE29" s="56" t="s">
        <v>67</v>
      </c>
      <c r="AF29" s="40">
        <f t="shared" ref="AF29:AF31" si="125">if(AE29&lt;&gt;"", if(AF29="",NOW(),AF29),"")</f>
        <v>46316.3853</v>
      </c>
      <c r="AG29" s="25" t="s">
        <v>147</v>
      </c>
      <c r="AH29" s="45" t="str">
        <f t="shared" ref="AH29:AH30" si="126">if(AG29="Done", if(AH29="",NOW(),AH29),"")</f>
        <v/>
      </c>
      <c r="AI29" s="46">
        <v>0.0</v>
      </c>
      <c r="AJ29" s="33"/>
      <c r="AK29" s="22">
        <f t="shared" ref="AK29:AK30" si="127">E29</f>
        <v>3</v>
      </c>
      <c r="AL29" s="23" t="s">
        <v>124</v>
      </c>
      <c r="AM29" s="40">
        <f t="shared" ref="AM29:AM30" si="128">if(AL29&lt;&gt;"", if(AM29="",NOW(),AM29),"")</f>
        <v>46274.38081</v>
      </c>
      <c r="AN29" s="25" t="s">
        <v>69</v>
      </c>
      <c r="AO29" s="40">
        <f t="shared" ref="AO29:AO30" si="129">if(AN29="Done", if(AO29="",NOW(),AO29),"")</f>
        <v>46274.70523</v>
      </c>
      <c r="AP29" s="29"/>
      <c r="AQ29" s="29"/>
      <c r="AR29" s="29"/>
      <c r="AS29" s="22" t="str">
        <f t="shared" ref="AS29:AS30" si="130">AV29</f>
        <v/>
      </c>
      <c r="AT29" s="23"/>
      <c r="AU29" s="45" t="str">
        <f t="shared" ref="AU29:AU30" si="131">if(AT29&lt;&gt;"", if(AU29="",NOW(),AU29),"")</f>
        <v/>
      </c>
      <c r="AV29" s="25"/>
      <c r="AW29" s="45" t="str">
        <f t="shared" ref="AW29:AW30" si="132">if(AV29="Done", if(AW29="",NOW(),AW29),"")</f>
        <v/>
      </c>
      <c r="AX29" s="47"/>
      <c r="AY29" s="22"/>
      <c r="AZ29" s="23"/>
      <c r="BA29" s="45" t="str">
        <f t="shared" ref="BA29:BA30" si="133">if(AZ29&lt;&gt;"", if(BA29="",NOW(),BA29),"")</f>
        <v/>
      </c>
      <c r="BB29" s="25"/>
      <c r="BC29" s="45" t="str">
        <f t="shared" ref="BC29:BC30" si="134">if(BB29="Done", if(BC29="",NOW(),BC29),"")</f>
        <v/>
      </c>
      <c r="BD29" s="47"/>
      <c r="BE29" s="22" t="str">
        <f t="shared" ref="BE29:BE30" si="135">BH29</f>
        <v/>
      </c>
      <c r="BF29" s="56"/>
      <c r="BG29" s="45" t="str">
        <f t="shared" ref="BG29:BG30" si="136">if(BF29&lt;&gt;"", if(BG29="",NOW(),BG29),"")</f>
        <v/>
      </c>
      <c r="BH29" s="25"/>
      <c r="BI29" s="45" t="str">
        <f t="shared" ref="BI29:BI30" si="137">if(BH29="Done", if(BI29="",NOW(),BI29),"")</f>
        <v/>
      </c>
      <c r="BJ29" s="46">
        <v>0.0</v>
      </c>
      <c r="BK29" s="33"/>
      <c r="BL29" s="22" t="str">
        <f>AG29</f>
        <v>Ongoing</v>
      </c>
      <c r="BM29" s="23"/>
      <c r="BN29" s="45" t="str">
        <f t="shared" ref="BN29:BN30" si="138">if(BM29&lt;&gt;"", if(BN29="",NOW(),BN29),"")</f>
        <v/>
      </c>
      <c r="BO29" s="25"/>
      <c r="BP29" s="45" t="str">
        <f t="shared" ref="BP29:BP30" si="139">if(BO29="Done", if(BP29="",NOW(),BP29),"")</f>
        <v/>
      </c>
      <c r="BQ29" s="29"/>
      <c r="BR29" s="29"/>
      <c r="BS29" s="29"/>
      <c r="BT29" s="22" t="str">
        <f>BW29</f>
        <v/>
      </c>
      <c r="BU29" s="23"/>
      <c r="BV29" s="45" t="str">
        <f t="shared" ref="BV29:BV30" si="140">if(BU29&lt;&gt;"", if(BV29="",NOW(),BV29),"")</f>
        <v/>
      </c>
      <c r="BW29" s="25"/>
      <c r="BX29" s="45" t="str">
        <f t="shared" ref="BX29:BX30" si="141">if(BW29="Done", if(BX29="",NOW(),BX29),"")</f>
        <v/>
      </c>
      <c r="BY29" s="35"/>
      <c r="BZ29" s="22" t="str">
        <f>CC29</f>
        <v/>
      </c>
      <c r="CA29" s="23"/>
      <c r="CB29" s="45" t="str">
        <f t="shared" ref="CB29:CB30" si="142">if(CA29&lt;&gt;"", if(CB29="",NOW(),CB29),"")</f>
        <v/>
      </c>
      <c r="CC29" s="25"/>
      <c r="CD29" s="45" t="str">
        <f t="shared" ref="CD29:CD30" si="143">if(CC29="Done", if(CD29="",NOW(),CD29),"")</f>
        <v/>
      </c>
      <c r="CE29" s="47"/>
      <c r="CF29" s="22" t="str">
        <f>CI29</f>
        <v/>
      </c>
      <c r="CG29" s="23"/>
      <c r="CH29" s="45"/>
      <c r="CI29" s="25"/>
      <c r="CJ29" s="45"/>
      <c r="CK29" s="46"/>
      <c r="CL29" s="33"/>
      <c r="CM29" s="23"/>
      <c r="CN29" s="45"/>
      <c r="CO29" s="25"/>
      <c r="CP29" s="45"/>
      <c r="CQ29" s="46"/>
    </row>
    <row r="30" ht="52.5" customHeight="1">
      <c r="A30" s="46">
        <v>2.0</v>
      </c>
      <c r="B30" s="27" t="s">
        <v>215</v>
      </c>
      <c r="C30" s="26"/>
      <c r="D30" s="20">
        <v>3.0</v>
      </c>
      <c r="E30" s="52">
        <v>3.0</v>
      </c>
      <c r="F30" s="20"/>
      <c r="G30" s="23"/>
      <c r="H30" s="33"/>
      <c r="I30" s="22">
        <f t="shared" si="120"/>
        <v>3</v>
      </c>
      <c r="J30" s="23" t="s">
        <v>87</v>
      </c>
      <c r="K30" s="40">
        <f t="shared" si="121"/>
        <v>46262.64048</v>
      </c>
      <c r="L30" s="25" t="s">
        <v>69</v>
      </c>
      <c r="M30" s="40">
        <f t="shared" si="122"/>
        <v>46304.65399</v>
      </c>
      <c r="N30" s="29"/>
      <c r="O30" s="29"/>
      <c r="P30" s="29"/>
      <c r="Q30" s="22" t="str">
        <f t="shared" si="123"/>
        <v>Revision</v>
      </c>
      <c r="R30" s="56"/>
      <c r="S30" s="45"/>
      <c r="T30" s="25" t="s">
        <v>93</v>
      </c>
      <c r="U30" s="45"/>
      <c r="V30" s="47"/>
      <c r="W30" s="22"/>
      <c r="X30" s="23"/>
      <c r="Y30" s="45"/>
      <c r="Z30" s="25"/>
      <c r="AA30" s="45"/>
      <c r="AB30" s="47"/>
      <c r="AC30" s="22" t="str">
        <f t="shared" si="124"/>
        <v/>
      </c>
      <c r="AD30" s="20">
        <v>1.0</v>
      </c>
      <c r="AE30" s="23"/>
      <c r="AF30" s="45" t="str">
        <f t="shared" si="125"/>
        <v/>
      </c>
      <c r="AG30" s="25"/>
      <c r="AH30" s="45" t="str">
        <f t="shared" si="126"/>
        <v/>
      </c>
      <c r="AI30" s="46">
        <v>0.0</v>
      </c>
      <c r="AJ30" s="33"/>
      <c r="AK30" s="22">
        <f t="shared" si="127"/>
        <v>3</v>
      </c>
      <c r="AL30" s="23" t="s">
        <v>124</v>
      </c>
      <c r="AM30" s="40">
        <f t="shared" si="128"/>
        <v>46279.49023</v>
      </c>
      <c r="AN30" s="25" t="s">
        <v>69</v>
      </c>
      <c r="AO30" s="40">
        <f t="shared" si="129"/>
        <v>46280.4425</v>
      </c>
      <c r="AP30" s="29"/>
      <c r="AQ30" s="29"/>
      <c r="AR30" s="29"/>
      <c r="AS30" s="22" t="str">
        <f t="shared" si="130"/>
        <v>Revision</v>
      </c>
      <c r="AT30" s="23"/>
      <c r="AU30" s="45" t="str">
        <f t="shared" si="131"/>
        <v/>
      </c>
      <c r="AV30" s="25" t="s">
        <v>93</v>
      </c>
      <c r="AW30" s="45" t="str">
        <f t="shared" si="132"/>
        <v/>
      </c>
      <c r="AX30" s="47"/>
      <c r="AY30" s="22"/>
      <c r="AZ30" s="23"/>
      <c r="BA30" s="45" t="str">
        <f t="shared" si="133"/>
        <v/>
      </c>
      <c r="BB30" s="25"/>
      <c r="BC30" s="45" t="str">
        <f t="shared" si="134"/>
        <v/>
      </c>
      <c r="BD30" s="47"/>
      <c r="BE30" s="22" t="str">
        <f t="shared" si="135"/>
        <v/>
      </c>
      <c r="BF30" s="23"/>
      <c r="BG30" s="45" t="str">
        <f t="shared" si="136"/>
        <v/>
      </c>
      <c r="BH30" s="25"/>
      <c r="BI30" s="45" t="str">
        <f t="shared" si="137"/>
        <v/>
      </c>
      <c r="BJ30" s="46">
        <v>0.0</v>
      </c>
      <c r="BK30" s="33"/>
      <c r="BL30" s="22"/>
      <c r="BM30" s="23"/>
      <c r="BN30" s="45" t="str">
        <f t="shared" si="138"/>
        <v/>
      </c>
      <c r="BO30" s="25"/>
      <c r="BP30" s="45" t="str">
        <f t="shared" si="139"/>
        <v/>
      </c>
      <c r="BQ30" s="29"/>
      <c r="BR30" s="29"/>
      <c r="BS30" s="29"/>
      <c r="BT30" s="22"/>
      <c r="BU30" s="23"/>
      <c r="BV30" s="45" t="str">
        <f t="shared" si="140"/>
        <v/>
      </c>
      <c r="BW30" s="25"/>
      <c r="BX30" s="45" t="str">
        <f t="shared" si="141"/>
        <v/>
      </c>
      <c r="BY30" s="35"/>
      <c r="BZ30" s="22"/>
      <c r="CA30" s="23"/>
      <c r="CB30" s="45" t="str">
        <f t="shared" si="142"/>
        <v/>
      </c>
      <c r="CC30" s="25"/>
      <c r="CD30" s="45" t="str">
        <f t="shared" si="143"/>
        <v/>
      </c>
      <c r="CE30" s="47"/>
      <c r="CF30" s="22"/>
      <c r="CG30" s="23"/>
      <c r="CH30" s="45"/>
      <c r="CI30" s="25"/>
      <c r="CJ30" s="45"/>
      <c r="CK30" s="46"/>
      <c r="CL30" s="33"/>
      <c r="CM30" s="23"/>
      <c r="CN30" s="45"/>
      <c r="CO30" s="25"/>
      <c r="CP30" s="45"/>
      <c r="CQ30" s="46"/>
    </row>
    <row r="31" ht="52.5" customHeight="1">
      <c r="A31" s="46">
        <v>3.0</v>
      </c>
      <c r="B31" s="27" t="s">
        <v>217</v>
      </c>
      <c r="C31" s="26"/>
      <c r="D31" s="20"/>
      <c r="E31" s="20"/>
      <c r="F31" s="20"/>
      <c r="G31" s="23"/>
      <c r="H31" s="33"/>
      <c r="I31" s="22"/>
      <c r="J31" s="23" t="s">
        <v>67</v>
      </c>
      <c r="K31" s="40">
        <f t="shared" si="121"/>
        <v>46307.67345</v>
      </c>
      <c r="L31" s="25" t="s">
        <v>69</v>
      </c>
      <c r="M31" s="40">
        <f t="shared" si="122"/>
        <v>46309.46919</v>
      </c>
      <c r="N31" s="29"/>
      <c r="O31" s="29"/>
      <c r="P31" s="29"/>
      <c r="Q31" s="22" t="str">
        <f t="shared" si="123"/>
        <v/>
      </c>
      <c r="R31" s="23"/>
      <c r="S31" s="45"/>
      <c r="T31" s="25"/>
      <c r="U31" s="45"/>
      <c r="V31" s="47"/>
      <c r="W31" s="22"/>
      <c r="X31" s="23"/>
      <c r="Y31" s="45"/>
      <c r="Z31" s="25"/>
      <c r="AA31" s="45"/>
      <c r="AB31" s="47"/>
      <c r="AC31" s="22" t="str">
        <f t="shared" si="124"/>
        <v>Done</v>
      </c>
      <c r="AD31" s="20">
        <v>1.0</v>
      </c>
      <c r="AE31" s="23" t="s">
        <v>78</v>
      </c>
      <c r="AF31" s="40">
        <f t="shared" si="125"/>
        <v>46311.4046</v>
      </c>
      <c r="AG31" s="25" t="s">
        <v>69</v>
      </c>
      <c r="AH31" s="40">
        <f>if(AG31&lt;&gt;"", if(AH31="",NOW(),AH31),"")</f>
        <v>46311.45171</v>
      </c>
      <c r="AI31" s="46">
        <v>1.0</v>
      </c>
      <c r="AJ31" s="33"/>
      <c r="AK31" s="22"/>
      <c r="AL31" s="56"/>
      <c r="AM31" s="45"/>
      <c r="AN31" s="25"/>
      <c r="AO31" s="45"/>
      <c r="AP31" s="29"/>
      <c r="AQ31" s="29"/>
      <c r="AR31" s="29"/>
      <c r="AS31" s="22"/>
      <c r="AT31" s="23"/>
      <c r="AU31" s="45"/>
      <c r="AV31" s="25"/>
      <c r="AW31" s="45"/>
      <c r="AX31" s="47"/>
      <c r="AY31" s="22"/>
      <c r="AZ31" s="23"/>
      <c r="BA31" s="45"/>
      <c r="BB31" s="25"/>
      <c r="BC31" s="45"/>
      <c r="BD31" s="47"/>
      <c r="BE31" s="22"/>
      <c r="BF31" s="23"/>
      <c r="BG31" s="45"/>
      <c r="BH31" s="25"/>
      <c r="BI31" s="45"/>
      <c r="BJ31" s="46"/>
      <c r="BK31" s="33"/>
      <c r="BL31" s="22"/>
      <c r="BM31" s="23"/>
      <c r="BN31" s="45"/>
      <c r="BO31" s="25"/>
      <c r="BP31" s="45"/>
      <c r="BQ31" s="29"/>
      <c r="BR31" s="29"/>
      <c r="BS31" s="29"/>
      <c r="BT31" s="22"/>
      <c r="BU31" s="23"/>
      <c r="BV31" s="45"/>
      <c r="BW31" s="25"/>
      <c r="BX31" s="45"/>
      <c r="BY31" s="35"/>
      <c r="BZ31" s="22"/>
      <c r="CA31" s="23"/>
      <c r="CB31" s="45"/>
      <c r="CC31" s="25"/>
      <c r="CD31" s="45"/>
      <c r="CE31" s="47"/>
      <c r="CF31" s="22"/>
      <c r="CG31" s="23"/>
      <c r="CH31" s="45"/>
      <c r="CI31" s="25"/>
      <c r="CJ31" s="45"/>
      <c r="CK31" s="46"/>
      <c r="CL31" s="33"/>
      <c r="CM31" s="23"/>
      <c r="CN31" s="45"/>
      <c r="CO31" s="25"/>
      <c r="CP31" s="45"/>
      <c r="CQ31" s="46"/>
    </row>
    <row r="32" ht="52.5" customHeight="1">
      <c r="A32" s="39" t="s">
        <v>118</v>
      </c>
      <c r="B32" s="41" t="s">
        <v>219</v>
      </c>
      <c r="C32" s="42"/>
      <c r="D32" s="42"/>
      <c r="E32" s="42"/>
      <c r="F32" s="42"/>
      <c r="G32" s="42"/>
      <c r="H32" s="43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 t="str">
        <f>Y32</f>
        <v/>
      </c>
      <c r="AE32" s="42"/>
      <c r="AF32" s="42"/>
      <c r="AG32" s="42"/>
      <c r="AH32" s="42"/>
      <c r="AI32" s="42"/>
      <c r="AJ32" s="43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3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3"/>
      <c r="CM32" s="48"/>
      <c r="CN32" s="49"/>
      <c r="CO32" s="50"/>
      <c r="CP32" s="49"/>
      <c r="CQ32" s="51"/>
    </row>
    <row r="33" ht="52.5" customHeight="1">
      <c r="A33" s="66">
        <v>1.0</v>
      </c>
      <c r="B33" s="67" t="s">
        <v>221</v>
      </c>
      <c r="C33" s="68"/>
      <c r="D33" s="20">
        <v>3.0</v>
      </c>
      <c r="E33" s="52">
        <v>5.0</v>
      </c>
      <c r="F33" s="20"/>
      <c r="G33" s="23"/>
      <c r="H33" s="33"/>
      <c r="I33" s="22">
        <f t="shared" ref="I33:I34" si="144">D33</f>
        <v>3</v>
      </c>
      <c r="J33" s="23" t="s">
        <v>78</v>
      </c>
      <c r="K33" s="40">
        <f t="shared" ref="K33:K36" si="145">if(J33&lt;&gt;"", if(K33="",NOW(),K33),"")</f>
        <v>46265.39739</v>
      </c>
      <c r="L33" s="25" t="s">
        <v>69</v>
      </c>
      <c r="M33" s="40">
        <f t="shared" ref="M33:M36" si="146">if(L33="Done", if(M33="",NOW(),M33),"")</f>
        <v>46265.46753</v>
      </c>
      <c r="N33" s="29"/>
      <c r="O33" s="29"/>
      <c r="P33" s="29"/>
      <c r="Q33" s="22" t="str">
        <f t="shared" ref="Q33:Q34" si="147">T33</f>
        <v/>
      </c>
      <c r="R33" s="23"/>
      <c r="S33" s="45" t="str">
        <f t="shared" ref="S33:S34" si="148">if(R33&lt;&gt;"", if(S33="",NOW(),S33),"")</f>
        <v/>
      </c>
      <c r="T33" s="25"/>
      <c r="U33" s="45" t="str">
        <f t="shared" ref="U33:U34" si="149">if(T33="Done", if(U33="",NOW(),U33),"")</f>
        <v/>
      </c>
      <c r="V33" s="47"/>
      <c r="W33" s="22" t="str">
        <f t="shared" ref="W33:W34" si="150">Z33</f>
        <v/>
      </c>
      <c r="X33" s="23"/>
      <c r="Y33" s="45"/>
      <c r="Z33" s="25"/>
      <c r="AA33" s="45"/>
      <c r="AB33" s="47"/>
      <c r="AC33" s="22" t="str">
        <f t="shared" ref="AC33:AC36" si="151">AG33</f>
        <v/>
      </c>
      <c r="AD33" s="20">
        <v>1.0</v>
      </c>
      <c r="AE33" s="23"/>
      <c r="AF33" s="45" t="str">
        <f t="shared" ref="AF33:AF36" si="152">if(AE33&lt;&gt;"", if(AF33="",NOW(),AF33),"")</f>
        <v/>
      </c>
      <c r="AG33" s="25"/>
      <c r="AH33" s="45" t="str">
        <f t="shared" ref="AH33:AH34" si="153">if(AG33="Done", if(AH33="",NOW(),AH33),"")</f>
        <v/>
      </c>
      <c r="AI33" s="46">
        <v>0.0</v>
      </c>
      <c r="AJ33" s="33"/>
      <c r="AK33" s="22">
        <f t="shared" ref="AK33:AK34" si="154">E33</f>
        <v>5</v>
      </c>
      <c r="AL33" s="23" t="s">
        <v>78</v>
      </c>
      <c r="AM33" s="40">
        <f t="shared" ref="AM33:AM34" si="155">if(AL33&lt;&gt;"", if(AM33="",NOW(),AM33),"")</f>
        <v>46274.47087</v>
      </c>
      <c r="AN33" s="25" t="s">
        <v>69</v>
      </c>
      <c r="AO33" s="40">
        <f t="shared" ref="AO33:AO34" si="156">if(AN33="Done", if(AO33="",NOW(),AO33),"")</f>
        <v>46293.60971</v>
      </c>
      <c r="AP33" s="29"/>
      <c r="AQ33" s="29"/>
      <c r="AR33" s="29"/>
      <c r="AS33" s="22" t="str">
        <f t="shared" ref="AS33:AS34" si="157">AV33</f>
        <v>Done</v>
      </c>
      <c r="AT33" s="23" t="s">
        <v>78</v>
      </c>
      <c r="AU33" s="40">
        <f t="shared" ref="AU33:AU34" si="158">if(AT33&lt;&gt;"", if(AU33="",NOW(),AU33),"")</f>
        <v>46290.3933</v>
      </c>
      <c r="AV33" s="25" t="s">
        <v>69</v>
      </c>
      <c r="AW33" s="40">
        <f t="shared" ref="AW33:AW34" si="159">if(AV33="Done", if(AW33="",NOW(),AW33),"")</f>
        <v>46293.60971</v>
      </c>
      <c r="AX33" s="35">
        <v>0.5</v>
      </c>
      <c r="AY33" s="22" t="str">
        <f t="shared" ref="AY33:AY34" si="160">BB33</f>
        <v/>
      </c>
      <c r="AZ33" s="23"/>
      <c r="BA33" s="45" t="str">
        <f t="shared" ref="BA33:BA34" si="161">if(AZ33&lt;&gt;"", if(BA33="",NOW(),BA33),"")</f>
        <v/>
      </c>
      <c r="BB33" s="25"/>
      <c r="BC33" s="45" t="str">
        <f t="shared" ref="BC33:BC34" si="162">if(BB33="Done", if(BC33="",NOW(),BC33),"")</f>
        <v/>
      </c>
      <c r="BD33" s="47"/>
      <c r="BE33" s="22" t="str">
        <f t="shared" ref="BE33:BE34" si="163">BH33</f>
        <v>Done</v>
      </c>
      <c r="BF33" s="23" t="s">
        <v>66</v>
      </c>
      <c r="BG33" s="40">
        <f t="shared" ref="BG33:BG34" si="164">if(BF33&lt;&gt;"", if(BG33="",NOW(),BG33),"")</f>
        <v>46289.45133</v>
      </c>
      <c r="BH33" s="25" t="s">
        <v>69</v>
      </c>
      <c r="BI33" s="40">
        <f t="shared" ref="BI33:BI34" si="165">if(BH33="Done", if(BI33="",NOW(),BI33),"")</f>
        <v>46289.68448</v>
      </c>
      <c r="BJ33" s="46">
        <v>2.0</v>
      </c>
      <c r="BK33" s="33"/>
      <c r="BL33" s="22"/>
      <c r="BM33" s="23"/>
      <c r="BN33" s="45" t="str">
        <f t="shared" ref="BN33:BN34" si="166">if(BM33&lt;&gt;"", if(BN33="",NOW(),BN33),"")</f>
        <v/>
      </c>
      <c r="BO33" s="25"/>
      <c r="BP33" s="45" t="str">
        <f t="shared" ref="BP33:BP34" si="167">if(BO33="Done", if(BP33="",NOW(),BP33),"")</f>
        <v/>
      </c>
      <c r="BQ33" s="29"/>
      <c r="BR33" s="29"/>
      <c r="BS33" s="29"/>
      <c r="BT33" s="22" t="str">
        <f t="shared" ref="BT33:BT34" si="168">BW33</f>
        <v/>
      </c>
      <c r="BU33" s="23"/>
      <c r="BV33" s="45" t="str">
        <f t="shared" ref="BV33:BV34" si="169">if(BU33&lt;&gt;"", if(BV33="",NOW(),BV33),"")</f>
        <v/>
      </c>
      <c r="BW33" s="25"/>
      <c r="BX33" s="45" t="str">
        <f t="shared" ref="BX33:BX34" si="170">if(BW33="Done", if(BX33="",NOW(),BX33),"")</f>
        <v/>
      </c>
      <c r="BY33" s="47"/>
      <c r="BZ33" s="22" t="str">
        <f t="shared" ref="BZ33:BZ34" si="171">CC33</f>
        <v/>
      </c>
      <c r="CA33" s="23"/>
      <c r="CB33" s="45" t="str">
        <f t="shared" ref="CB33:CB34" si="172">if(CA33&lt;&gt;"", if(CB33="",NOW(),CB33),"")</f>
        <v/>
      </c>
      <c r="CC33" s="25"/>
      <c r="CD33" s="45" t="str">
        <f t="shared" ref="CD33:CD34" si="173">if(CC33="Done", if(CD33="",NOW(),CD33),"")</f>
        <v/>
      </c>
      <c r="CE33" s="47"/>
      <c r="CF33" s="22" t="str">
        <f t="shared" ref="CF33:CF34" si="174">CI33</f>
        <v/>
      </c>
      <c r="CG33" s="23"/>
      <c r="CH33" s="45" t="str">
        <f>if(CG33&lt;&gt;"", if(CH33="",NOW(),CH33),"")</f>
        <v/>
      </c>
      <c r="CI33" s="25"/>
      <c r="CJ33" s="45" t="str">
        <f t="shared" ref="CJ33:CJ34" si="175">if(CI33="Done", if(CJ33="",NOW(),CJ33),"")</f>
        <v/>
      </c>
      <c r="CK33" s="46">
        <v>0.0</v>
      </c>
      <c r="CL33" s="33"/>
      <c r="CM33" s="23"/>
      <c r="CN33" s="45"/>
      <c r="CO33" s="25"/>
      <c r="CP33" s="45"/>
      <c r="CQ33" s="46"/>
    </row>
    <row r="34" ht="52.5" customHeight="1">
      <c r="A34" s="46">
        <v>2.0</v>
      </c>
      <c r="B34" s="27" t="s">
        <v>229</v>
      </c>
      <c r="C34" s="26"/>
      <c r="D34" s="20">
        <v>3.0</v>
      </c>
      <c r="E34" s="52">
        <v>3.0</v>
      </c>
      <c r="F34" s="20"/>
      <c r="G34" s="23"/>
      <c r="H34" s="33"/>
      <c r="I34" s="22">
        <f t="shared" si="144"/>
        <v>3</v>
      </c>
      <c r="J34" s="23" t="s">
        <v>78</v>
      </c>
      <c r="K34" s="40">
        <f t="shared" si="145"/>
        <v>46265.46755</v>
      </c>
      <c r="L34" s="25" t="s">
        <v>69</v>
      </c>
      <c r="M34" s="40">
        <f t="shared" si="146"/>
        <v>46265.68593</v>
      </c>
      <c r="N34" s="29"/>
      <c r="O34" s="29"/>
      <c r="P34" s="29"/>
      <c r="Q34" s="22" t="str">
        <f t="shared" si="147"/>
        <v>Revision</v>
      </c>
      <c r="R34" s="56"/>
      <c r="S34" s="45" t="str">
        <f t="shared" si="148"/>
        <v/>
      </c>
      <c r="T34" s="25" t="s">
        <v>93</v>
      </c>
      <c r="U34" s="45" t="str">
        <f t="shared" si="149"/>
        <v/>
      </c>
      <c r="V34" s="47"/>
      <c r="W34" s="22" t="str">
        <f t="shared" si="150"/>
        <v/>
      </c>
      <c r="X34" s="23"/>
      <c r="Y34" s="45"/>
      <c r="Z34" s="25"/>
      <c r="AA34" s="45"/>
      <c r="AB34" s="47"/>
      <c r="AC34" s="22" t="str">
        <f t="shared" si="151"/>
        <v/>
      </c>
      <c r="AD34" s="20">
        <v>1.0</v>
      </c>
      <c r="AE34" s="23"/>
      <c r="AF34" s="45" t="str">
        <f t="shared" si="152"/>
        <v/>
      </c>
      <c r="AG34" s="25"/>
      <c r="AH34" s="45" t="str">
        <f t="shared" si="153"/>
        <v/>
      </c>
      <c r="AI34" s="46">
        <v>0.0</v>
      </c>
      <c r="AJ34" s="33"/>
      <c r="AK34" s="22">
        <f t="shared" si="154"/>
        <v>3</v>
      </c>
      <c r="AL34" s="23" t="s">
        <v>78</v>
      </c>
      <c r="AM34" s="40">
        <f t="shared" si="155"/>
        <v>46275.42468</v>
      </c>
      <c r="AN34" s="25" t="s">
        <v>69</v>
      </c>
      <c r="AO34" s="40">
        <f t="shared" si="156"/>
        <v>46275.67769</v>
      </c>
      <c r="AP34" s="29"/>
      <c r="AQ34" s="29"/>
      <c r="AR34" s="29"/>
      <c r="AS34" s="22" t="str">
        <f t="shared" si="157"/>
        <v>Revision</v>
      </c>
      <c r="AT34" s="23"/>
      <c r="AU34" s="45" t="str">
        <f t="shared" si="158"/>
        <v/>
      </c>
      <c r="AV34" s="25" t="s">
        <v>93</v>
      </c>
      <c r="AW34" s="45" t="str">
        <f t="shared" si="159"/>
        <v/>
      </c>
      <c r="AX34" s="47"/>
      <c r="AY34" s="22" t="str">
        <f t="shared" si="160"/>
        <v/>
      </c>
      <c r="AZ34" s="23"/>
      <c r="BA34" s="45" t="str">
        <f t="shared" si="161"/>
        <v/>
      </c>
      <c r="BB34" s="25"/>
      <c r="BC34" s="45" t="str">
        <f t="shared" si="162"/>
        <v/>
      </c>
      <c r="BD34" s="47"/>
      <c r="BE34" s="22" t="str">
        <f t="shared" si="163"/>
        <v>Done</v>
      </c>
      <c r="BF34" s="23" t="s">
        <v>66</v>
      </c>
      <c r="BG34" s="40">
        <f t="shared" si="164"/>
        <v>46301.38855</v>
      </c>
      <c r="BH34" s="25" t="s">
        <v>69</v>
      </c>
      <c r="BI34" s="40">
        <f t="shared" si="165"/>
        <v>46301.38855</v>
      </c>
      <c r="BJ34" s="46">
        <v>1.0</v>
      </c>
      <c r="BK34" s="33"/>
      <c r="BL34" s="22"/>
      <c r="BM34" s="23"/>
      <c r="BN34" s="45" t="str">
        <f t="shared" si="166"/>
        <v/>
      </c>
      <c r="BO34" s="25"/>
      <c r="BP34" s="45" t="str">
        <f t="shared" si="167"/>
        <v/>
      </c>
      <c r="BQ34" s="29"/>
      <c r="BR34" s="29"/>
      <c r="BS34" s="29"/>
      <c r="BT34" s="22" t="str">
        <f t="shared" si="168"/>
        <v/>
      </c>
      <c r="BU34" s="23"/>
      <c r="BV34" s="45" t="str">
        <f t="shared" si="169"/>
        <v/>
      </c>
      <c r="BW34" s="25"/>
      <c r="BX34" s="45" t="str">
        <f t="shared" si="170"/>
        <v/>
      </c>
      <c r="BY34" s="47"/>
      <c r="BZ34" s="22" t="str">
        <f t="shared" si="171"/>
        <v/>
      </c>
      <c r="CA34" s="23"/>
      <c r="CB34" s="45" t="str">
        <f t="shared" si="172"/>
        <v/>
      </c>
      <c r="CC34" s="25"/>
      <c r="CD34" s="45" t="str">
        <f t="shared" si="173"/>
        <v/>
      </c>
      <c r="CE34" s="47"/>
      <c r="CF34" s="22" t="str">
        <f t="shared" si="174"/>
        <v/>
      </c>
      <c r="CG34" s="23"/>
      <c r="CH34" s="21"/>
      <c r="CI34" s="25"/>
      <c r="CJ34" s="45" t="str">
        <f t="shared" si="175"/>
        <v/>
      </c>
      <c r="CK34" s="46">
        <v>0.0</v>
      </c>
      <c r="CL34" s="33"/>
      <c r="CM34" s="23"/>
      <c r="CN34" s="45"/>
      <c r="CO34" s="25"/>
      <c r="CP34" s="45"/>
      <c r="CQ34" s="46"/>
    </row>
    <row r="35" ht="52.5" customHeight="1">
      <c r="A35" s="66">
        <v>3.0</v>
      </c>
      <c r="B35" s="67" t="s">
        <v>231</v>
      </c>
      <c r="C35" s="68"/>
      <c r="D35" s="20"/>
      <c r="E35" s="20"/>
      <c r="F35" s="20"/>
      <c r="G35" s="23"/>
      <c r="H35" s="33"/>
      <c r="I35" s="22"/>
      <c r="J35" s="23" t="s">
        <v>87</v>
      </c>
      <c r="K35" s="40">
        <f t="shared" si="145"/>
        <v>46307.68155</v>
      </c>
      <c r="L35" s="25" t="s">
        <v>69</v>
      </c>
      <c r="M35" s="40">
        <f t="shared" si="146"/>
        <v>46308.59514</v>
      </c>
      <c r="N35" s="29"/>
      <c r="O35" s="29"/>
      <c r="P35" s="29"/>
      <c r="Q35" s="22"/>
      <c r="R35" s="23"/>
      <c r="S35" s="45"/>
      <c r="T35" s="25"/>
      <c r="U35" s="45"/>
      <c r="V35" s="47"/>
      <c r="W35" s="22"/>
      <c r="X35" s="23"/>
      <c r="Y35" s="45"/>
      <c r="Z35" s="25"/>
      <c r="AA35" s="45"/>
      <c r="AB35" s="47"/>
      <c r="AC35" s="22" t="str">
        <f t="shared" si="151"/>
        <v>Done</v>
      </c>
      <c r="AD35" s="20">
        <v>1.0</v>
      </c>
      <c r="AE35" s="23" t="s">
        <v>78</v>
      </c>
      <c r="AF35" s="40">
        <f t="shared" si="152"/>
        <v>46311.45205</v>
      </c>
      <c r="AG35" s="25" t="s">
        <v>69</v>
      </c>
      <c r="AH35" s="40">
        <f>if(AG35&lt;&gt;"", if(AH35="",NOW(),AH35),"")</f>
        <v>46311.55818</v>
      </c>
      <c r="AI35" s="46">
        <v>1.0</v>
      </c>
      <c r="AJ35" s="33"/>
      <c r="AK35" s="22"/>
      <c r="AL35" s="56"/>
      <c r="AM35" s="45"/>
      <c r="AN35" s="25"/>
      <c r="AO35" s="45"/>
      <c r="AP35" s="29"/>
      <c r="AQ35" s="29"/>
      <c r="AR35" s="29"/>
      <c r="AS35" s="22"/>
      <c r="AT35" s="23"/>
      <c r="AU35" s="45"/>
      <c r="AV35" s="25"/>
      <c r="AW35" s="45"/>
      <c r="AX35" s="47"/>
      <c r="AY35" s="22"/>
      <c r="AZ35" s="23"/>
      <c r="BA35" s="45"/>
      <c r="BB35" s="25"/>
      <c r="BC35" s="45"/>
      <c r="BD35" s="47"/>
      <c r="BE35" s="22"/>
      <c r="BF35" s="23"/>
      <c r="BG35" s="45"/>
      <c r="BH35" s="25"/>
      <c r="BI35" s="45"/>
      <c r="BJ35" s="46"/>
      <c r="BK35" s="33"/>
      <c r="BL35" s="22"/>
      <c r="BM35" s="23"/>
      <c r="BN35" s="45"/>
      <c r="BO35" s="25"/>
      <c r="BP35" s="45"/>
      <c r="BQ35" s="29"/>
      <c r="BR35" s="29"/>
      <c r="BS35" s="29"/>
      <c r="BT35" s="22"/>
      <c r="BU35" s="23"/>
      <c r="BV35" s="45"/>
      <c r="BW35" s="25"/>
      <c r="BX35" s="45"/>
      <c r="BY35" s="47"/>
      <c r="BZ35" s="22"/>
      <c r="CA35" s="23"/>
      <c r="CB35" s="45"/>
      <c r="CC35" s="25"/>
      <c r="CD35" s="45"/>
      <c r="CE35" s="47"/>
      <c r="CF35" s="22"/>
      <c r="CG35" s="23"/>
      <c r="CH35" s="21"/>
      <c r="CI35" s="25"/>
      <c r="CJ35" s="45"/>
      <c r="CK35" s="46"/>
      <c r="CL35" s="33"/>
      <c r="CM35" s="23"/>
      <c r="CN35" s="45"/>
      <c r="CO35" s="25"/>
      <c r="CP35" s="45"/>
      <c r="CQ35" s="46"/>
    </row>
    <row r="36" ht="52.5" customHeight="1">
      <c r="A36" s="46">
        <v>4.0</v>
      </c>
      <c r="B36" s="27" t="s">
        <v>233</v>
      </c>
      <c r="C36" s="26"/>
      <c r="D36" s="20"/>
      <c r="E36" s="20"/>
      <c r="F36" s="20"/>
      <c r="G36" s="23"/>
      <c r="H36" s="33"/>
      <c r="I36" s="22"/>
      <c r="J36" s="23" t="s">
        <v>78</v>
      </c>
      <c r="K36" s="40">
        <f t="shared" si="145"/>
        <v>46308.37734</v>
      </c>
      <c r="L36" s="25" t="s">
        <v>69</v>
      </c>
      <c r="M36" s="40">
        <f t="shared" si="146"/>
        <v>46308.68754</v>
      </c>
      <c r="N36" s="29"/>
      <c r="O36" s="29"/>
      <c r="P36" s="29"/>
      <c r="Q36" s="22"/>
      <c r="R36" s="23"/>
      <c r="S36" s="45"/>
      <c r="T36" s="25"/>
      <c r="U36" s="45"/>
      <c r="V36" s="47"/>
      <c r="W36" s="22"/>
      <c r="X36" s="23"/>
      <c r="Y36" s="45"/>
      <c r="Z36" s="25"/>
      <c r="AA36" s="45"/>
      <c r="AB36" s="47"/>
      <c r="AC36" s="22" t="str">
        <f t="shared" si="151"/>
        <v>Done</v>
      </c>
      <c r="AD36" s="20">
        <v>1.0</v>
      </c>
      <c r="AE36" s="23" t="s">
        <v>67</v>
      </c>
      <c r="AF36" s="40">
        <f t="shared" si="152"/>
        <v>46315.60163</v>
      </c>
      <c r="AG36" s="25" t="s">
        <v>69</v>
      </c>
      <c r="AH36" s="40">
        <f>if(AG36="Done", if(AH36="",NOW(),AH36),"")</f>
        <v>46315.65627</v>
      </c>
      <c r="AI36" s="46">
        <v>1.0</v>
      </c>
      <c r="AJ36" s="33"/>
      <c r="AK36" s="22"/>
      <c r="AL36" s="56"/>
      <c r="AM36" s="45"/>
      <c r="AN36" s="25"/>
      <c r="AO36" s="45"/>
      <c r="AP36" s="29"/>
      <c r="AQ36" s="29"/>
      <c r="AR36" s="29"/>
      <c r="AS36" s="22"/>
      <c r="AT36" s="23"/>
      <c r="AU36" s="45"/>
      <c r="AV36" s="25"/>
      <c r="AW36" s="45"/>
      <c r="AX36" s="47"/>
      <c r="AY36" s="22"/>
      <c r="AZ36" s="23"/>
      <c r="BA36" s="45"/>
      <c r="BB36" s="25"/>
      <c r="BC36" s="45"/>
      <c r="BD36" s="47"/>
      <c r="BE36" s="22"/>
      <c r="BF36" s="23"/>
      <c r="BG36" s="45"/>
      <c r="BH36" s="25"/>
      <c r="BI36" s="45"/>
      <c r="BJ36" s="46"/>
      <c r="BK36" s="33"/>
      <c r="BL36" s="22"/>
      <c r="BM36" s="23"/>
      <c r="BN36" s="45"/>
      <c r="BO36" s="25"/>
      <c r="BP36" s="45"/>
      <c r="BQ36" s="29"/>
      <c r="BR36" s="29"/>
      <c r="BS36" s="29"/>
      <c r="BT36" s="22"/>
      <c r="BU36" s="23"/>
      <c r="BV36" s="45"/>
      <c r="BW36" s="25"/>
      <c r="BX36" s="45"/>
      <c r="BY36" s="47"/>
      <c r="BZ36" s="22"/>
      <c r="CA36" s="23"/>
      <c r="CB36" s="45"/>
      <c r="CC36" s="25"/>
      <c r="CD36" s="45"/>
      <c r="CE36" s="47"/>
      <c r="CF36" s="22"/>
      <c r="CG36" s="23"/>
      <c r="CH36" s="21"/>
      <c r="CI36" s="25"/>
      <c r="CJ36" s="45"/>
      <c r="CK36" s="46"/>
      <c r="CL36" s="33"/>
      <c r="CM36" s="23"/>
      <c r="CN36" s="45"/>
      <c r="CO36" s="25"/>
      <c r="CP36" s="45"/>
      <c r="CQ36" s="46"/>
    </row>
    <row r="37" ht="52.5" customHeight="1">
      <c r="A37" s="39" t="s">
        <v>150</v>
      </c>
      <c r="B37" s="41" t="s">
        <v>236</v>
      </c>
      <c r="C37" s="42"/>
      <c r="D37" s="42"/>
      <c r="E37" s="42"/>
      <c r="F37" s="42"/>
      <c r="G37" s="42"/>
      <c r="H37" s="43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3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3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3"/>
      <c r="CM37" s="48"/>
      <c r="CN37" s="49"/>
      <c r="CO37" s="50"/>
      <c r="CP37" s="49"/>
      <c r="CQ37" s="51"/>
    </row>
    <row r="38" ht="52.5" customHeight="1">
      <c r="A38" s="71">
        <v>1.0</v>
      </c>
      <c r="B38" s="67" t="s">
        <v>237</v>
      </c>
      <c r="C38" s="72"/>
      <c r="D38" s="20"/>
      <c r="E38" s="20"/>
      <c r="F38" s="20"/>
      <c r="G38" s="23"/>
      <c r="H38" s="43"/>
      <c r="I38" s="22" t="str">
        <f>D38</f>
        <v/>
      </c>
      <c r="J38" s="23" t="s">
        <v>87</v>
      </c>
      <c r="K38" s="40">
        <f t="shared" ref="K38:K39" si="176">if(J38&lt;&gt;"", if(K38="",NOW(),K38),"")</f>
        <v>46308.59514</v>
      </c>
      <c r="L38" s="25" t="s">
        <v>69</v>
      </c>
      <c r="M38" s="40">
        <f t="shared" ref="M38:M39" si="177">if(L38="Done", if(M38="",NOW(),M38),"")</f>
        <v>46309.62837</v>
      </c>
      <c r="N38" s="29"/>
      <c r="O38" s="29"/>
      <c r="P38" s="29"/>
      <c r="Q38" s="22" t="str">
        <f>T38</f>
        <v/>
      </c>
      <c r="R38" s="23"/>
      <c r="S38" s="45" t="str">
        <f>if(R38&lt;&gt;"", if(S38="",NOW(),S38),"")</f>
        <v/>
      </c>
      <c r="T38" s="25"/>
      <c r="U38" s="45" t="str">
        <f>if(T38="Done", if(U38="",NOW(),U38),"")</f>
        <v/>
      </c>
      <c r="V38" s="35"/>
      <c r="W38" s="22"/>
      <c r="X38" s="23"/>
      <c r="Y38" s="45"/>
      <c r="Z38" s="25"/>
      <c r="AA38" s="45"/>
      <c r="AB38" s="47"/>
      <c r="AC38" s="22" t="str">
        <f t="shared" ref="AC38:AC39" si="178">AG38</f>
        <v/>
      </c>
      <c r="AD38" s="20"/>
      <c r="AE38" s="23"/>
      <c r="AF38" s="45" t="str">
        <f t="shared" ref="AF38:AF39" si="179">if(AE38&lt;&gt;"", if(AF38="",NOW(),AF38),"")</f>
        <v/>
      </c>
      <c r="AG38" s="25"/>
      <c r="AH38" s="45" t="str">
        <f>if(AG38="Done", if(AH38="",NOW(),AH38),"")</f>
        <v/>
      </c>
      <c r="AI38" s="46">
        <v>0.0</v>
      </c>
      <c r="AJ38" s="33"/>
      <c r="AK38" s="22" t="str">
        <f>E38</f>
        <v/>
      </c>
      <c r="AL38" s="23"/>
      <c r="AM38" s="45" t="str">
        <f>if(AL38&lt;&gt;"", if(AM38="",NOW(),AM38),"")</f>
        <v/>
      </c>
      <c r="AN38" s="25"/>
      <c r="AO38" s="45" t="str">
        <f>if(AN38="Done", if(AO38="",NOW(),AO38),"")</f>
        <v/>
      </c>
      <c r="AP38" s="29"/>
      <c r="AQ38" s="29"/>
      <c r="AR38" s="29"/>
      <c r="AS38" s="22" t="str">
        <f>AV38</f>
        <v/>
      </c>
      <c r="AT38" s="23"/>
      <c r="AU38" s="45" t="str">
        <f>if(AT38&lt;&gt;"", if(AU38="",NOW(),AU38),"")</f>
        <v/>
      </c>
      <c r="AV38" s="25"/>
      <c r="AW38" s="45" t="str">
        <f>if(AV38="Done", if(AW38="",NOW(),AW38),"")</f>
        <v/>
      </c>
      <c r="AX38" s="47"/>
      <c r="AY38" s="22" t="str">
        <f>BB38</f>
        <v/>
      </c>
      <c r="AZ38" s="23"/>
      <c r="BA38" s="45" t="str">
        <f>if(AZ38&lt;&gt;"", if(BA38="",NOW(),BA38),"")</f>
        <v/>
      </c>
      <c r="BB38" s="25"/>
      <c r="BC38" s="45" t="str">
        <f>if(BB38="Done", if(BC38="",NOW(),BC38),"")</f>
        <v/>
      </c>
      <c r="BD38" s="47"/>
      <c r="BE38" s="22" t="str">
        <f>BH38</f>
        <v/>
      </c>
      <c r="BF38" s="23"/>
      <c r="BG38" s="45" t="str">
        <f>if(BF38&lt;&gt;"", if(BG38="",NOW(),BG38),"")</f>
        <v/>
      </c>
      <c r="BH38" s="25"/>
      <c r="BI38" s="45" t="str">
        <f>if(BH38="Done", if(BI38="",NOW(),BI38),"")</f>
        <v/>
      </c>
      <c r="BJ38" s="46">
        <v>0.0</v>
      </c>
      <c r="BK38" s="33"/>
      <c r="BL38" s="22"/>
      <c r="BM38" s="23"/>
      <c r="BN38" s="45" t="str">
        <f>if(BM38&lt;&gt;"", if(BN38="",NOW(),BN38),"")</f>
        <v/>
      </c>
      <c r="BO38" s="25"/>
      <c r="BP38" s="45" t="str">
        <f>if(BO38="Done", if(BP38="",NOW(),BP38),"")</f>
        <v/>
      </c>
      <c r="BQ38" s="29"/>
      <c r="BR38" s="29"/>
      <c r="BS38" s="29"/>
      <c r="BT38" s="22" t="str">
        <f>BW38</f>
        <v/>
      </c>
      <c r="BU38" s="23"/>
      <c r="BV38" s="45" t="str">
        <f>if(BU38&lt;&gt;"", if(BV38="",NOW(),BV38),"")</f>
        <v/>
      </c>
      <c r="BW38" s="25"/>
      <c r="BX38" s="45" t="str">
        <f>if(BW38="Done", if(BX38="",NOW(),BX38),"")</f>
        <v/>
      </c>
      <c r="BY38" s="47"/>
      <c r="BZ38" s="22" t="str">
        <f>CC38</f>
        <v/>
      </c>
      <c r="CA38" s="23"/>
      <c r="CB38" s="45" t="str">
        <f>if(CA38&lt;&gt;"", if(CB38="",NOW(),CB38),"")</f>
        <v/>
      </c>
      <c r="CC38" s="25"/>
      <c r="CD38" s="45" t="str">
        <f>if(CC38="Done", if(CD38="",NOW(),CD38),"")</f>
        <v/>
      </c>
      <c r="CE38" s="47"/>
      <c r="CF38" s="22" t="str">
        <f>CI38</f>
        <v/>
      </c>
      <c r="CG38" s="74"/>
      <c r="CH38" s="74"/>
      <c r="CI38" s="74"/>
      <c r="CJ38" s="74"/>
      <c r="CK38" s="74"/>
      <c r="CL38" s="43"/>
      <c r="CM38" s="75"/>
      <c r="CN38" s="76"/>
      <c r="CO38" s="77"/>
      <c r="CP38" s="76"/>
      <c r="CQ38" s="78"/>
    </row>
    <row r="39" ht="52.5" customHeight="1">
      <c r="A39" s="78">
        <v>2.0</v>
      </c>
      <c r="B39" s="79" t="s">
        <v>242</v>
      </c>
      <c r="C39" s="74"/>
      <c r="D39" s="20"/>
      <c r="E39" s="20"/>
      <c r="F39" s="20"/>
      <c r="G39" s="23"/>
      <c r="H39" s="43"/>
      <c r="I39" s="22"/>
      <c r="J39" s="23" t="s">
        <v>87</v>
      </c>
      <c r="K39" s="40">
        <f t="shared" si="176"/>
        <v>46309.62841</v>
      </c>
      <c r="L39" s="25" t="s">
        <v>69</v>
      </c>
      <c r="M39" s="40">
        <f t="shared" si="177"/>
        <v>46310.49038</v>
      </c>
      <c r="N39" s="29"/>
      <c r="O39" s="29"/>
      <c r="P39" s="29"/>
      <c r="Q39" s="22"/>
      <c r="R39" s="23"/>
      <c r="S39" s="45"/>
      <c r="T39" s="25"/>
      <c r="U39" s="45"/>
      <c r="V39" s="35"/>
      <c r="W39" s="22"/>
      <c r="X39" s="23"/>
      <c r="Y39" s="45"/>
      <c r="Z39" s="25"/>
      <c r="AA39" s="45"/>
      <c r="AB39" s="47"/>
      <c r="AC39" s="22" t="str">
        <f t="shared" si="178"/>
        <v>Done</v>
      </c>
      <c r="AD39" s="20"/>
      <c r="AE39" s="23" t="s">
        <v>78</v>
      </c>
      <c r="AF39" s="40">
        <f t="shared" si="179"/>
        <v>46311.56961</v>
      </c>
      <c r="AG39" s="25" t="s">
        <v>69</v>
      </c>
      <c r="AH39" s="40">
        <f>if(AG39&lt;&gt;"", if(AH39="",NOW(),AH39),"")</f>
        <v>46311.65579</v>
      </c>
      <c r="AI39" s="46">
        <v>1.0</v>
      </c>
      <c r="AJ39" s="33"/>
      <c r="AK39" s="22"/>
      <c r="AL39" s="56"/>
      <c r="AM39" s="45"/>
      <c r="AN39" s="25"/>
      <c r="AO39" s="45"/>
      <c r="AP39" s="29"/>
      <c r="AQ39" s="29"/>
      <c r="AR39" s="29"/>
      <c r="AS39" s="22"/>
      <c r="AT39" s="23"/>
      <c r="AU39" s="45"/>
      <c r="AV39" s="25"/>
      <c r="AW39" s="45"/>
      <c r="AX39" s="47"/>
      <c r="AY39" s="22"/>
      <c r="AZ39" s="23"/>
      <c r="BA39" s="45"/>
      <c r="BB39" s="25"/>
      <c r="BC39" s="45"/>
      <c r="BD39" s="47"/>
      <c r="BE39" s="22"/>
      <c r="BF39" s="23"/>
      <c r="BG39" s="45"/>
      <c r="BH39" s="25"/>
      <c r="BI39" s="45"/>
      <c r="BJ39" s="46"/>
      <c r="BK39" s="33"/>
      <c r="BL39" s="22"/>
      <c r="BM39" s="23"/>
      <c r="BN39" s="45"/>
      <c r="BO39" s="25"/>
      <c r="BP39" s="45"/>
      <c r="BQ39" s="29"/>
      <c r="BR39" s="29"/>
      <c r="BS39" s="29"/>
      <c r="BT39" s="22"/>
      <c r="BU39" s="23"/>
      <c r="BV39" s="45"/>
      <c r="BW39" s="25"/>
      <c r="BX39" s="45"/>
      <c r="BY39" s="47"/>
      <c r="BZ39" s="22"/>
      <c r="CA39" s="23"/>
      <c r="CB39" s="45"/>
      <c r="CC39" s="25"/>
      <c r="CD39" s="45"/>
      <c r="CE39" s="47"/>
      <c r="CF39" s="22"/>
      <c r="CG39" s="74"/>
      <c r="CH39" s="74"/>
      <c r="CI39" s="74"/>
      <c r="CJ39" s="74"/>
      <c r="CK39" s="74"/>
      <c r="CL39" s="43"/>
      <c r="CM39" s="75"/>
      <c r="CN39" s="76"/>
      <c r="CO39" s="77"/>
      <c r="CP39" s="76"/>
      <c r="CQ39" s="78"/>
    </row>
    <row r="40" ht="52.5" customHeight="1">
      <c r="A40" s="39" t="s">
        <v>181</v>
      </c>
      <c r="B40" s="41" t="s">
        <v>245</v>
      </c>
      <c r="C40" s="42"/>
      <c r="D40" s="42"/>
      <c r="E40" s="42"/>
      <c r="F40" s="42"/>
      <c r="G40" s="42"/>
      <c r="H40" s="43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 t="str">
        <f>Y40</f>
        <v/>
      </c>
      <c r="AE40" s="42"/>
      <c r="AF40" s="42"/>
      <c r="AG40" s="42"/>
      <c r="AH40" s="42"/>
      <c r="AI40" s="42"/>
      <c r="AJ40" s="43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3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3"/>
      <c r="CM40" s="48"/>
      <c r="CN40" s="49"/>
      <c r="CO40" s="50"/>
      <c r="CP40" s="49"/>
      <c r="CQ40" s="51"/>
    </row>
    <row r="41" ht="52.5" customHeight="1">
      <c r="A41" s="46">
        <v>1.0</v>
      </c>
      <c r="B41" s="27" t="s">
        <v>246</v>
      </c>
      <c r="C41" s="26"/>
      <c r="D41" s="20">
        <v>3.0</v>
      </c>
      <c r="E41" s="52">
        <v>3.0</v>
      </c>
      <c r="F41" s="20"/>
      <c r="G41" s="23"/>
      <c r="H41" s="33"/>
      <c r="I41" s="22">
        <f t="shared" ref="I41:I42" si="180">D41</f>
        <v>3</v>
      </c>
      <c r="J41" s="23" t="s">
        <v>124</v>
      </c>
      <c r="K41" s="40">
        <f t="shared" ref="K41:K42" si="181">if(J41&lt;&gt;"", if(K41="",NOW(),K41),"")</f>
        <v>46265.47135</v>
      </c>
      <c r="L41" s="25" t="s">
        <v>69</v>
      </c>
      <c r="M41" s="40">
        <f t="shared" ref="M41:M42" si="182">if(L41="Done", if(M41="",NOW(),M41),"")</f>
        <v>46265.70145</v>
      </c>
      <c r="N41" s="29"/>
      <c r="O41" s="29"/>
      <c r="P41" s="29"/>
      <c r="Q41" s="22" t="str">
        <f t="shared" ref="Q41:Q42" si="183">T41</f>
        <v/>
      </c>
      <c r="R41" s="23"/>
      <c r="S41" s="45" t="str">
        <f t="shared" ref="S41:S42" si="184">if(R41&lt;&gt;"", if(S41="",NOW(),S41),"")</f>
        <v/>
      </c>
      <c r="T41" s="25"/>
      <c r="U41" s="45" t="str">
        <f t="shared" ref="U41:U42" si="185">if(T41="Done", if(U41="",NOW(),U41),"")</f>
        <v/>
      </c>
      <c r="V41" s="47"/>
      <c r="W41" s="22"/>
      <c r="X41" s="23"/>
      <c r="Y41" s="45"/>
      <c r="Z41" s="25"/>
      <c r="AA41" s="45"/>
      <c r="AB41" s="47"/>
      <c r="AC41" s="22" t="str">
        <f t="shared" ref="AC41:AC42" si="186">AG41</f>
        <v>Done</v>
      </c>
      <c r="AD41" s="20">
        <v>1.0</v>
      </c>
      <c r="AE41" s="23" t="s">
        <v>66</v>
      </c>
      <c r="AF41" s="40">
        <v>46301.38854532407</v>
      </c>
      <c r="AG41" s="25" t="s">
        <v>69</v>
      </c>
      <c r="AH41" s="40">
        <v>46301.38854532407</v>
      </c>
      <c r="AI41" s="46">
        <v>1.0</v>
      </c>
      <c r="AJ41" s="33"/>
      <c r="AK41" s="22">
        <f t="shared" ref="AK41:AK42" si="187">E41</f>
        <v>3</v>
      </c>
      <c r="AL41" s="23" t="s">
        <v>124</v>
      </c>
      <c r="AM41" s="40">
        <f t="shared" ref="AM41:AM42" si="188">if(AL41&lt;&gt;"", if(AM41="",NOW(),AM41),"")</f>
        <v>46275.42468</v>
      </c>
      <c r="AN41" s="25" t="s">
        <v>69</v>
      </c>
      <c r="AO41" s="40">
        <f t="shared" ref="AO41:AO42" si="189">if(AN41="Done", if(AO41="",NOW(),AO41),"")</f>
        <v>46301.50106</v>
      </c>
      <c r="AP41" s="29"/>
      <c r="AQ41" s="29"/>
      <c r="AR41" s="29"/>
      <c r="AS41" s="22" t="str">
        <f t="shared" ref="AS41:AS42" si="190">AV41</f>
        <v/>
      </c>
      <c r="AT41" s="23"/>
      <c r="AU41" s="45" t="str">
        <f t="shared" ref="AU41:AU42" si="191">if(AT41&lt;&gt;"", if(AU41="",NOW(),AU41),"")</f>
        <v/>
      </c>
      <c r="AV41" s="25"/>
      <c r="AW41" s="45" t="str">
        <f t="shared" ref="AW41:AW42" si="192">if(AV41="Done", if(AW41="",NOW(),AW41),"")</f>
        <v/>
      </c>
      <c r="AX41" s="47"/>
      <c r="AY41" s="22" t="str">
        <f t="shared" ref="AY41:AY42" si="193">BB41</f>
        <v/>
      </c>
      <c r="AZ41" s="23"/>
      <c r="BA41" s="45" t="str">
        <f t="shared" ref="BA41:BA42" si="194">if(AZ41&lt;&gt;"", if(BA41="",NOW(),BA41),"")</f>
        <v/>
      </c>
      <c r="BB41" s="25"/>
      <c r="BC41" s="45" t="str">
        <f t="shared" ref="BC41:BC42" si="195">if(BB41="Done", if(BC41="",NOW(),BC41),"")</f>
        <v/>
      </c>
      <c r="BD41" s="47"/>
      <c r="BE41" s="22" t="str">
        <f t="shared" ref="BE41:BE42" si="196">BH41</f>
        <v>Done</v>
      </c>
      <c r="BF41" s="23" t="s">
        <v>66</v>
      </c>
      <c r="BG41" s="40">
        <f t="shared" ref="BG41:BG42" si="197">if(BF41&lt;&gt;"", if(BG41="",NOW(),BG41),"")</f>
        <v>46301.38855</v>
      </c>
      <c r="BH41" s="25" t="s">
        <v>69</v>
      </c>
      <c r="BI41" s="40">
        <f t="shared" ref="BI41:BI42" si="198">if(BH41="Done", if(BI41="",NOW(),BI41),"")</f>
        <v>46301.38855</v>
      </c>
      <c r="BJ41" s="46">
        <v>1.0</v>
      </c>
      <c r="BK41" s="33"/>
      <c r="BL41" s="22"/>
      <c r="BM41" s="23"/>
      <c r="BN41" s="45" t="str">
        <f t="shared" ref="BN41:BN42" si="199">if(BM41&lt;&gt;"", if(BN41="",NOW(),BN41),"")</f>
        <v/>
      </c>
      <c r="BO41" s="25"/>
      <c r="BP41" s="45" t="str">
        <f t="shared" ref="BP41:BP42" si="200">if(BO41="Done", if(BP41="",NOW(),BP41),"")</f>
        <v/>
      </c>
      <c r="BQ41" s="29"/>
      <c r="BR41" s="29"/>
      <c r="BS41" s="29"/>
      <c r="BT41" s="22" t="str">
        <f t="shared" ref="BT41:BT42" si="201">BW41</f>
        <v/>
      </c>
      <c r="BU41" s="23"/>
      <c r="BV41" s="45" t="str">
        <f t="shared" ref="BV41:BV42" si="202">if(BU41&lt;&gt;"", if(BV41="",NOW(),BV41),"")</f>
        <v/>
      </c>
      <c r="BW41" s="25"/>
      <c r="BX41" s="45" t="str">
        <f t="shared" ref="BX41:BX42" si="203">if(BW41="Done", if(BX41="",NOW(),BX41),"")</f>
        <v/>
      </c>
      <c r="BY41" s="47"/>
      <c r="BZ41" s="22" t="str">
        <f t="shared" ref="BZ41:BZ42" si="204">CC41</f>
        <v/>
      </c>
      <c r="CA41" s="23"/>
      <c r="CB41" s="45" t="str">
        <f t="shared" ref="CB41:CB42" si="205">if(CA41&lt;&gt;"", if(CB41="",NOW(),CB41),"")</f>
        <v/>
      </c>
      <c r="CC41" s="25"/>
      <c r="CD41" s="45" t="str">
        <f t="shared" ref="CD41:CD42" si="206">if(CC41="Done", if(CD41="",NOW(),CD41),"")</f>
        <v/>
      </c>
      <c r="CE41" s="47"/>
      <c r="CF41" s="22" t="str">
        <f t="shared" ref="CF41:CF42" si="207">CI41</f>
        <v/>
      </c>
      <c r="CG41" s="23"/>
      <c r="CH41" s="45" t="str">
        <f t="shared" ref="CH41:CH42" si="208">if(CG41&lt;&gt;"", if(CH41="",NOW(),CH41),"")</f>
        <v/>
      </c>
      <c r="CI41" s="25"/>
      <c r="CJ41" s="45" t="str">
        <f t="shared" ref="CJ41:CJ42" si="209">if(CI41="Done", if(CJ41="",NOW(),CJ41),"")</f>
        <v/>
      </c>
      <c r="CK41" s="46">
        <v>0.0</v>
      </c>
      <c r="CL41" s="33"/>
      <c r="CM41" s="23"/>
      <c r="CN41" s="45"/>
      <c r="CO41" s="25"/>
      <c r="CP41" s="45"/>
      <c r="CQ41" s="46"/>
    </row>
    <row r="42" ht="52.5" customHeight="1">
      <c r="A42" s="66">
        <v>2.0</v>
      </c>
      <c r="B42" s="67" t="s">
        <v>270</v>
      </c>
      <c r="C42" s="68"/>
      <c r="D42" s="20">
        <v>3.0</v>
      </c>
      <c r="E42" s="52">
        <v>3.0</v>
      </c>
      <c r="F42" s="20"/>
      <c r="G42" s="23"/>
      <c r="H42" s="33"/>
      <c r="I42" s="22">
        <f t="shared" si="180"/>
        <v>3</v>
      </c>
      <c r="J42" s="23" t="s">
        <v>87</v>
      </c>
      <c r="K42" s="40">
        <f t="shared" si="181"/>
        <v>46265.5704</v>
      </c>
      <c r="L42" s="25" t="s">
        <v>69</v>
      </c>
      <c r="M42" s="40">
        <f t="shared" si="182"/>
        <v>46266.57573</v>
      </c>
      <c r="N42" s="29"/>
      <c r="O42" s="29"/>
      <c r="P42" s="29"/>
      <c r="Q42" s="22" t="str">
        <f t="shared" si="183"/>
        <v/>
      </c>
      <c r="R42" s="23"/>
      <c r="S42" s="45" t="str">
        <f t="shared" si="184"/>
        <v/>
      </c>
      <c r="T42" s="25"/>
      <c r="U42" s="45" t="str">
        <f t="shared" si="185"/>
        <v/>
      </c>
      <c r="V42" s="47"/>
      <c r="W42" s="22"/>
      <c r="X42" s="23"/>
      <c r="Y42" s="45"/>
      <c r="Z42" s="25"/>
      <c r="AA42" s="45"/>
      <c r="AB42" s="47"/>
      <c r="AC42" s="22" t="str">
        <f t="shared" si="186"/>
        <v>Done</v>
      </c>
      <c r="AD42" s="20">
        <v>1.0</v>
      </c>
      <c r="AE42" s="23" t="s">
        <v>66</v>
      </c>
      <c r="AF42" s="40">
        <v>46301.43420625</v>
      </c>
      <c r="AG42" s="25" t="s">
        <v>69</v>
      </c>
      <c r="AH42" s="40">
        <v>46301.62217686343</v>
      </c>
      <c r="AI42" s="46">
        <v>1.0</v>
      </c>
      <c r="AJ42" s="33"/>
      <c r="AK42" s="22">
        <f t="shared" si="187"/>
        <v>3</v>
      </c>
      <c r="AL42" s="23" t="s">
        <v>124</v>
      </c>
      <c r="AM42" s="40">
        <f t="shared" si="188"/>
        <v>46275.67072</v>
      </c>
      <c r="AN42" s="25" t="s">
        <v>69</v>
      </c>
      <c r="AO42" s="40">
        <f t="shared" si="189"/>
        <v>46303.20236</v>
      </c>
      <c r="AP42" s="29"/>
      <c r="AQ42" s="29"/>
      <c r="AR42" s="29"/>
      <c r="AS42" s="22" t="str">
        <f t="shared" si="190"/>
        <v/>
      </c>
      <c r="AT42" s="23"/>
      <c r="AU42" s="45" t="str">
        <f t="shared" si="191"/>
        <v/>
      </c>
      <c r="AV42" s="25"/>
      <c r="AW42" s="45" t="str">
        <f t="shared" si="192"/>
        <v/>
      </c>
      <c r="AX42" s="47"/>
      <c r="AY42" s="22" t="str">
        <f t="shared" si="193"/>
        <v/>
      </c>
      <c r="AZ42" s="23"/>
      <c r="BA42" s="45" t="str">
        <f t="shared" si="194"/>
        <v/>
      </c>
      <c r="BB42" s="25"/>
      <c r="BC42" s="45" t="str">
        <f t="shared" si="195"/>
        <v/>
      </c>
      <c r="BD42" s="47"/>
      <c r="BE42" s="22" t="str">
        <f t="shared" si="196"/>
        <v>Done</v>
      </c>
      <c r="BF42" s="23" t="s">
        <v>66</v>
      </c>
      <c r="BG42" s="40">
        <f t="shared" si="197"/>
        <v>46301.43421</v>
      </c>
      <c r="BH42" s="25" t="s">
        <v>69</v>
      </c>
      <c r="BI42" s="40">
        <f t="shared" si="198"/>
        <v>46301.62218</v>
      </c>
      <c r="BJ42" s="46">
        <v>1.0</v>
      </c>
      <c r="BK42" s="33"/>
      <c r="BL42" s="22"/>
      <c r="BM42" s="23"/>
      <c r="BN42" s="45" t="str">
        <f t="shared" si="199"/>
        <v/>
      </c>
      <c r="BO42" s="25"/>
      <c r="BP42" s="45" t="str">
        <f t="shared" si="200"/>
        <v/>
      </c>
      <c r="BQ42" s="29"/>
      <c r="BR42" s="29"/>
      <c r="BS42" s="29"/>
      <c r="BT42" s="22" t="str">
        <f t="shared" si="201"/>
        <v/>
      </c>
      <c r="BU42" s="23"/>
      <c r="BV42" s="45" t="str">
        <f t="shared" si="202"/>
        <v/>
      </c>
      <c r="BW42" s="25"/>
      <c r="BX42" s="45" t="str">
        <f t="shared" si="203"/>
        <v/>
      </c>
      <c r="BY42" s="47"/>
      <c r="BZ42" s="22" t="str">
        <f t="shared" si="204"/>
        <v/>
      </c>
      <c r="CA42" s="23"/>
      <c r="CB42" s="45" t="str">
        <f t="shared" si="205"/>
        <v/>
      </c>
      <c r="CC42" s="25"/>
      <c r="CD42" s="45" t="str">
        <f t="shared" si="206"/>
        <v/>
      </c>
      <c r="CE42" s="47"/>
      <c r="CF42" s="22" t="str">
        <f t="shared" si="207"/>
        <v/>
      </c>
      <c r="CG42" s="23"/>
      <c r="CH42" s="45" t="str">
        <f t="shared" si="208"/>
        <v/>
      </c>
      <c r="CI42" s="25"/>
      <c r="CJ42" s="45" t="str">
        <f t="shared" si="209"/>
        <v/>
      </c>
      <c r="CK42" s="46">
        <v>0.0</v>
      </c>
      <c r="CL42" s="33"/>
      <c r="CM42" s="23"/>
      <c r="CN42" s="45"/>
      <c r="CO42" s="25"/>
      <c r="CP42" s="45"/>
      <c r="CQ42" s="46"/>
    </row>
    <row r="43" ht="52.5" customHeight="1">
      <c r="A43" s="39" t="s">
        <v>191</v>
      </c>
      <c r="B43" s="41" t="s">
        <v>275</v>
      </c>
      <c r="C43" s="42"/>
      <c r="D43" s="42"/>
      <c r="E43" s="42"/>
      <c r="F43" s="42"/>
      <c r="G43" s="42"/>
      <c r="H43" s="43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 t="str">
        <f>Y43</f>
        <v/>
      </c>
      <c r="AE43" s="42"/>
      <c r="AF43" s="42"/>
      <c r="AG43" s="42"/>
      <c r="AH43" s="42"/>
      <c r="AI43" s="42"/>
      <c r="AJ43" s="43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3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3"/>
      <c r="CM43" s="48"/>
      <c r="CN43" s="49"/>
      <c r="CO43" s="50"/>
      <c r="CP43" s="49"/>
      <c r="CQ43" s="51"/>
    </row>
    <row r="44" ht="52.5" customHeight="1">
      <c r="A44" s="46">
        <v>1.0</v>
      </c>
      <c r="B44" s="27" t="s">
        <v>276</v>
      </c>
      <c r="C44" s="26"/>
      <c r="D44" s="20">
        <v>3.0</v>
      </c>
      <c r="E44" s="52">
        <v>2.0</v>
      </c>
      <c r="F44" s="20"/>
      <c r="G44" s="23"/>
      <c r="H44" s="33"/>
      <c r="I44" s="22">
        <f t="shared" ref="I44:I45" si="210">D44</f>
        <v>3</v>
      </c>
      <c r="J44" s="23" t="s">
        <v>67</v>
      </c>
      <c r="K44" s="40">
        <v>46279.60391800926</v>
      </c>
      <c r="L44" s="25" t="s">
        <v>69</v>
      </c>
      <c r="M44" s="40">
        <v>46280.59513152778</v>
      </c>
      <c r="N44" s="29"/>
      <c r="O44" s="29"/>
      <c r="P44" s="29"/>
      <c r="Q44" s="22"/>
      <c r="R44" s="23"/>
      <c r="S44" s="45" t="s">
        <v>127</v>
      </c>
      <c r="T44" s="25"/>
      <c r="U44" s="45" t="s">
        <v>127</v>
      </c>
      <c r="V44" s="47"/>
      <c r="W44" s="22"/>
      <c r="X44" s="23"/>
      <c r="Y44" s="45"/>
      <c r="Z44" s="25"/>
      <c r="AA44" s="45"/>
      <c r="AB44" s="47"/>
      <c r="AC44" s="22"/>
      <c r="AD44" s="20">
        <v>1.0</v>
      </c>
      <c r="AE44" s="23"/>
      <c r="AF44" s="45" t="str">
        <f t="shared" ref="AF44:AF45" si="211">if(AE44&lt;&gt;"", if(AF44="",NOW(),AF44),"")</f>
        <v/>
      </c>
      <c r="AG44" s="25"/>
      <c r="AH44" s="45" t="str">
        <f t="shared" ref="AH44:AH45" si="212">if(AG44="Done", if(AH44="",NOW(),AH44),"")</f>
        <v/>
      </c>
      <c r="AI44" s="46">
        <v>0.0</v>
      </c>
      <c r="AJ44" s="33"/>
      <c r="AK44" s="22">
        <v>1.0</v>
      </c>
      <c r="AL44" s="23" t="s">
        <v>87</v>
      </c>
      <c r="AM44" s="40">
        <v>46286.44441114583</v>
      </c>
      <c r="AN44" s="25" t="s">
        <v>69</v>
      </c>
      <c r="AO44" s="40">
        <v>46286.67196071759</v>
      </c>
      <c r="AP44" s="29"/>
      <c r="AQ44" s="29"/>
      <c r="AR44" s="29"/>
      <c r="AS44" s="22" t="s">
        <v>69</v>
      </c>
      <c r="AT44" s="23" t="s">
        <v>87</v>
      </c>
      <c r="AU44" s="40">
        <v>46295.60577256944</v>
      </c>
      <c r="AV44" s="25" t="s">
        <v>69</v>
      </c>
      <c r="AW44" s="40">
        <v>46295.6993537963</v>
      </c>
      <c r="AX44" s="35">
        <v>0.2</v>
      </c>
      <c r="AY44" s="22"/>
      <c r="AZ44" s="23"/>
      <c r="BA44" s="45" t="s">
        <v>127</v>
      </c>
      <c r="BB44" s="25"/>
      <c r="BC44" s="45" t="s">
        <v>127</v>
      </c>
      <c r="BD44" s="47"/>
      <c r="BE44" s="22"/>
      <c r="BF44" s="56"/>
      <c r="BG44" s="45" t="s">
        <v>127</v>
      </c>
      <c r="BH44" s="25"/>
      <c r="BI44" s="45" t="s">
        <v>127</v>
      </c>
      <c r="BJ44" s="46">
        <v>0.0</v>
      </c>
      <c r="BK44" s="33"/>
      <c r="BL44" s="22"/>
      <c r="BM44" s="23"/>
      <c r="BN44" s="45" t="s">
        <v>127</v>
      </c>
      <c r="BO44" s="25"/>
      <c r="BP44" s="45" t="s">
        <v>127</v>
      </c>
      <c r="BQ44" s="29"/>
      <c r="BR44" s="29"/>
      <c r="BS44" s="29"/>
      <c r="BT44" s="22"/>
      <c r="BU44" s="23"/>
      <c r="BV44" s="45" t="s">
        <v>127</v>
      </c>
      <c r="BW44" s="25"/>
      <c r="BX44" s="45" t="s">
        <v>127</v>
      </c>
      <c r="BY44" s="47"/>
      <c r="BZ44" s="22"/>
      <c r="CA44" s="23"/>
      <c r="CB44" s="45" t="s">
        <v>127</v>
      </c>
      <c r="CC44" s="25"/>
      <c r="CD44" s="45" t="s">
        <v>127</v>
      </c>
      <c r="CE44" s="47"/>
      <c r="CF44" s="22"/>
      <c r="CG44" s="23"/>
      <c r="CH44" s="45" t="s">
        <v>127</v>
      </c>
      <c r="CI44" s="25"/>
      <c r="CJ44" s="45" t="s">
        <v>127</v>
      </c>
      <c r="CK44" s="46">
        <v>0.0</v>
      </c>
      <c r="CL44" s="33"/>
      <c r="CM44" s="23"/>
      <c r="CN44" s="45"/>
      <c r="CO44" s="25"/>
      <c r="CP44" s="45"/>
      <c r="CQ44" s="46"/>
    </row>
    <row r="45" ht="52.5" customHeight="1">
      <c r="A45" s="46">
        <v>2.0</v>
      </c>
      <c r="B45" s="27" t="s">
        <v>279</v>
      </c>
      <c r="C45" s="26"/>
      <c r="D45" s="20">
        <v>4.0</v>
      </c>
      <c r="E45" s="52">
        <v>5.0</v>
      </c>
      <c r="F45" s="20"/>
      <c r="G45" s="23"/>
      <c r="H45" s="33"/>
      <c r="I45" s="22">
        <f t="shared" si="210"/>
        <v>4</v>
      </c>
      <c r="J45" s="23" t="s">
        <v>87</v>
      </c>
      <c r="K45" s="40">
        <f>if(J45&lt;&gt;"", if(K45="",NOW(),K45),"")</f>
        <v>46268.45001</v>
      </c>
      <c r="L45" s="25" t="s">
        <v>69</v>
      </c>
      <c r="M45" s="40">
        <f>if(L45="Done", if(M45="",NOW(),M45),"")</f>
        <v>46268.70713</v>
      </c>
      <c r="N45" s="29"/>
      <c r="O45" s="29"/>
      <c r="P45" s="29"/>
      <c r="Q45" s="22" t="str">
        <f>T45</f>
        <v>Done</v>
      </c>
      <c r="R45" s="23" t="s">
        <v>78</v>
      </c>
      <c r="S45" s="40">
        <f>if(R45&lt;&gt;"", if(S45="",NOW(),S45),"")</f>
        <v>46279.63521</v>
      </c>
      <c r="T45" s="25" t="s">
        <v>69</v>
      </c>
      <c r="U45" s="40">
        <f>if(T45="Done", if(U45="",NOW(),U45),"")</f>
        <v>46279.69414</v>
      </c>
      <c r="V45" s="35">
        <v>0.4</v>
      </c>
      <c r="W45" s="22"/>
      <c r="X45" s="23"/>
      <c r="Y45" s="45"/>
      <c r="Z45" s="25"/>
      <c r="AA45" s="45"/>
      <c r="AB45" s="47"/>
      <c r="AC45" s="22" t="str">
        <f>AG45</f>
        <v/>
      </c>
      <c r="AD45" s="20">
        <v>1.0</v>
      </c>
      <c r="AE45" s="23"/>
      <c r="AF45" s="45" t="str">
        <f t="shared" si="211"/>
        <v/>
      </c>
      <c r="AG45" s="25"/>
      <c r="AH45" s="45" t="str">
        <f t="shared" si="212"/>
        <v/>
      </c>
      <c r="AI45" s="46">
        <v>0.0</v>
      </c>
      <c r="AJ45" s="33"/>
      <c r="AK45" s="22">
        <f>E45</f>
        <v>5</v>
      </c>
      <c r="AL45" s="23" t="s">
        <v>78</v>
      </c>
      <c r="AM45" s="40">
        <f>if(AL45&lt;&gt;"", if(AM45="",NOW(),AM45),"")</f>
        <v>46280.38267</v>
      </c>
      <c r="AN45" s="25" t="s">
        <v>69</v>
      </c>
      <c r="AO45" s="40">
        <f>if(AN45="Done", if(AO45="",NOW(),AO45),"")</f>
        <v>46280.73619</v>
      </c>
      <c r="AP45" s="29"/>
      <c r="AQ45" s="29"/>
      <c r="AR45" s="29"/>
      <c r="AS45" s="22" t="str">
        <f>AV45</f>
        <v/>
      </c>
      <c r="AT45" s="23"/>
      <c r="AU45" s="45" t="str">
        <f>if(AT45&lt;&gt;"", if(AU45="",NOW(),AU45),"")</f>
        <v/>
      </c>
      <c r="AV45" s="25"/>
      <c r="AW45" s="45" t="str">
        <f>if(AV45="Done", if(AW45="",NOW(),AW45),"")</f>
        <v/>
      </c>
      <c r="AX45" s="47"/>
      <c r="AY45" s="22" t="str">
        <f>BB45</f>
        <v/>
      </c>
      <c r="AZ45" s="23"/>
      <c r="BA45" s="45" t="str">
        <f>if(AZ45&lt;&gt;"", if(BA45="",NOW(),BA45),"")</f>
        <v/>
      </c>
      <c r="BB45" s="25"/>
      <c r="BC45" s="45" t="str">
        <f>if(BB45="Done", if(BC45="",NOW(),BC45),"")</f>
        <v/>
      </c>
      <c r="BD45" s="47"/>
      <c r="BE45" s="22" t="str">
        <f>BH45</f>
        <v/>
      </c>
      <c r="BF45" s="56"/>
      <c r="BG45" s="45" t="str">
        <f>if(BF45&lt;&gt;"", if(BG45="",NOW(),BG45),"")</f>
        <v/>
      </c>
      <c r="BH45" s="25"/>
      <c r="BI45" s="45" t="str">
        <f>if(BH45="Done", if(BI45="",NOW(),BI45),"")</f>
        <v/>
      </c>
      <c r="BJ45" s="46">
        <v>0.0</v>
      </c>
      <c r="BK45" s="33"/>
      <c r="BL45" s="22"/>
      <c r="BM45" s="23"/>
      <c r="BN45" s="45" t="str">
        <f>if(BM45&lt;&gt;"", if(BN45="",NOW(),BN45),"")</f>
        <v/>
      </c>
      <c r="BO45" s="25"/>
      <c r="BP45" s="45" t="str">
        <f>if(BO45="Done", if(BP45="",NOW(),BP45),"")</f>
        <v/>
      </c>
      <c r="BQ45" s="29"/>
      <c r="BR45" s="29"/>
      <c r="BS45" s="29"/>
      <c r="BT45" s="22" t="str">
        <f>BW45</f>
        <v/>
      </c>
      <c r="BU45" s="23"/>
      <c r="BV45" s="45" t="str">
        <f>if(BU45&lt;&gt;"", if(BV45="",NOW(),BV45),"")</f>
        <v/>
      </c>
      <c r="BW45" s="25"/>
      <c r="BX45" s="45" t="str">
        <f>if(BW45="Done", if(BX45="",NOW(),BX45),"")</f>
        <v/>
      </c>
      <c r="BY45" s="47"/>
      <c r="BZ45" s="22" t="str">
        <f>CC45</f>
        <v/>
      </c>
      <c r="CA45" s="23"/>
      <c r="CB45" s="45" t="str">
        <f>if(CA45&lt;&gt;"", if(CB45="",NOW(),CB45),"")</f>
        <v/>
      </c>
      <c r="CC45" s="25"/>
      <c r="CD45" s="45" t="str">
        <f>if(CC45="Done", if(CD45="",NOW(),CD45),"")</f>
        <v/>
      </c>
      <c r="CE45" s="47"/>
      <c r="CF45" s="22" t="str">
        <f>CI45</f>
        <v/>
      </c>
      <c r="CG45" s="23"/>
      <c r="CH45" s="45" t="str">
        <f>if(CG45&lt;&gt;"", if(CH45="",NOW(),CH45),"")</f>
        <v/>
      </c>
      <c r="CI45" s="25"/>
      <c r="CJ45" s="45" t="str">
        <f>if(CI45="Done", if(CJ45="",NOW(),CJ45),"")</f>
        <v/>
      </c>
      <c r="CK45" s="46">
        <v>0.0</v>
      </c>
      <c r="CL45" s="33"/>
      <c r="CM45" s="23"/>
      <c r="CN45" s="45"/>
      <c r="CO45" s="25"/>
      <c r="CP45" s="45"/>
      <c r="CQ45" s="46"/>
    </row>
    <row r="46" ht="52.5" customHeight="1">
      <c r="A46" s="28" t="s">
        <v>284</v>
      </c>
      <c r="B46" s="30" t="s">
        <v>285</v>
      </c>
      <c r="C46" s="31"/>
      <c r="D46" s="31"/>
      <c r="E46" s="31"/>
      <c r="F46" s="31"/>
      <c r="G46" s="31"/>
      <c r="H46" s="33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 t="str">
        <f>Y46</f>
        <v/>
      </c>
      <c r="AE46" s="31"/>
      <c r="AF46" s="31"/>
      <c r="AG46" s="31"/>
      <c r="AH46" s="31"/>
      <c r="AI46" s="31"/>
      <c r="AJ46" s="33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3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3"/>
      <c r="CM46" s="36"/>
      <c r="CN46" s="37"/>
      <c r="CO46" s="38"/>
      <c r="CP46" s="37"/>
      <c r="CQ46" s="28"/>
    </row>
    <row r="47" ht="52.5" customHeight="1">
      <c r="A47" s="39" t="s">
        <v>74</v>
      </c>
      <c r="B47" s="41" t="s">
        <v>287</v>
      </c>
      <c r="C47" s="42"/>
      <c r="D47" s="42"/>
      <c r="E47" s="42"/>
      <c r="F47" s="42"/>
      <c r="G47" s="42"/>
      <c r="H47" s="43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3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3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3"/>
      <c r="CM47" s="48"/>
      <c r="CN47" s="49"/>
      <c r="CO47" s="50"/>
      <c r="CP47" s="49"/>
      <c r="CQ47" s="51"/>
    </row>
    <row r="48" ht="52.5" customHeight="1">
      <c r="A48" s="78">
        <v>1.0</v>
      </c>
      <c r="B48" s="79" t="s">
        <v>288</v>
      </c>
      <c r="C48" s="74"/>
      <c r="D48" s="20"/>
      <c r="E48" s="20"/>
      <c r="F48" s="20"/>
      <c r="G48" s="23"/>
      <c r="H48" s="43"/>
      <c r="I48" s="22" t="str">
        <f t="shared" ref="I48:I52" si="213">D48</f>
        <v/>
      </c>
      <c r="J48" s="23" t="s">
        <v>78</v>
      </c>
      <c r="K48" s="40">
        <f t="shared" ref="K48:K52" si="214">if(J48&lt;&gt;"", if(K48="",NOW(),K48),"")</f>
        <v>46303.57387</v>
      </c>
      <c r="L48" s="25" t="s">
        <v>69</v>
      </c>
      <c r="M48" s="40">
        <f t="shared" ref="M48:M49" si="215">if(L48="Done", if(M48="",NOW(),M48),"")</f>
        <v>46303.69742</v>
      </c>
      <c r="N48" s="29"/>
      <c r="O48" s="29"/>
      <c r="P48" s="29"/>
      <c r="Q48" s="22" t="str">
        <f t="shared" ref="Q48:Q52" si="216">T48</f>
        <v/>
      </c>
      <c r="R48" s="23"/>
      <c r="S48" s="45" t="str">
        <f t="shared" ref="S48:S52" si="217">if(R48&lt;&gt;"", if(S48="",NOW(),S48),"")</f>
        <v/>
      </c>
      <c r="T48" s="25"/>
      <c r="U48" s="45" t="str">
        <f t="shared" ref="U48:U52" si="218">if(T48="Done", if(U48="",NOW(),U48),"")</f>
        <v/>
      </c>
      <c r="V48" s="35"/>
      <c r="W48" s="22"/>
      <c r="X48" s="23"/>
      <c r="Y48" s="45"/>
      <c r="Z48" s="25"/>
      <c r="AA48" s="45"/>
      <c r="AB48" s="47"/>
      <c r="AC48" s="22" t="str">
        <f t="shared" ref="AC48:AC52" si="219">AG48</f>
        <v/>
      </c>
      <c r="AD48" s="20">
        <v>1.0</v>
      </c>
      <c r="AE48" s="23"/>
      <c r="AF48" s="45" t="str">
        <f t="shared" ref="AF48:AF52" si="220">if(AE48&lt;&gt;"", if(AF48="",NOW(),AF48),"")</f>
        <v/>
      </c>
      <c r="AG48" s="25"/>
      <c r="AH48" s="45" t="str">
        <f t="shared" ref="AH48:AH52" si="221">if(AG48="Done", if(AH48="",NOW(),AH48),"")</f>
        <v/>
      </c>
      <c r="AI48" s="46">
        <v>0.0</v>
      </c>
      <c r="AJ48" s="33"/>
      <c r="AK48" s="22" t="str">
        <f t="shared" ref="AK48:AK52" si="222">E48</f>
        <v/>
      </c>
      <c r="AL48" s="23"/>
      <c r="AM48" s="45" t="str">
        <f t="shared" ref="AM48:AM52" si="223">if(AL48&lt;&gt;"", if(AM48="",NOW(),AM48),"")</f>
        <v/>
      </c>
      <c r="AN48" s="25"/>
      <c r="AO48" s="45" t="str">
        <f t="shared" ref="AO48:AO52" si="224">if(AN48="Done", if(AO48="",NOW(),AO48),"")</f>
        <v/>
      </c>
      <c r="AP48" s="29"/>
      <c r="AQ48" s="29"/>
      <c r="AR48" s="29"/>
      <c r="AS48" s="22" t="str">
        <f t="shared" ref="AS48:AS52" si="225">AV48</f>
        <v/>
      </c>
      <c r="AT48" s="23"/>
      <c r="AU48" s="45" t="str">
        <f t="shared" ref="AU48:AU52" si="226">if(AT48&lt;&gt;"", if(AU48="",NOW(),AU48),"")</f>
        <v/>
      </c>
      <c r="AV48" s="25"/>
      <c r="AW48" s="45" t="str">
        <f t="shared" ref="AW48:AW52" si="227">if(AV48="Done", if(AW48="",NOW(),AW48),"")</f>
        <v/>
      </c>
      <c r="AX48" s="47"/>
      <c r="AY48" s="22" t="str">
        <f t="shared" ref="AY48:AY52" si="228">BB48</f>
        <v/>
      </c>
      <c r="AZ48" s="23"/>
      <c r="BA48" s="45" t="str">
        <f t="shared" ref="BA48:BA52" si="229">if(AZ48&lt;&gt;"", if(BA48="",NOW(),BA48),"")</f>
        <v/>
      </c>
      <c r="BB48" s="25"/>
      <c r="BC48" s="45" t="str">
        <f t="shared" ref="BC48:BC52" si="230">if(BB48="Done", if(BC48="",NOW(),BC48),"")</f>
        <v/>
      </c>
      <c r="BD48" s="47"/>
      <c r="BE48" s="22" t="str">
        <f t="shared" ref="BE48:BE52" si="231">BH48</f>
        <v/>
      </c>
      <c r="BF48" s="23"/>
      <c r="BG48" s="45" t="str">
        <f t="shared" ref="BG48:BG52" si="232">if(BF48&lt;&gt;"", if(BG48="",NOW(),BG48),"")</f>
        <v/>
      </c>
      <c r="BH48" s="25"/>
      <c r="BI48" s="45" t="str">
        <f t="shared" ref="BI48:BI52" si="233">if(BH48="Done", if(BI48="",NOW(),BI48),"")</f>
        <v/>
      </c>
      <c r="BJ48" s="46">
        <v>0.0</v>
      </c>
      <c r="BK48" s="33"/>
      <c r="BL48" s="22"/>
      <c r="BM48" s="23"/>
      <c r="BN48" s="45" t="str">
        <f t="shared" ref="BN48:BN52" si="234">if(BM48&lt;&gt;"", if(BN48="",NOW(),BN48),"")</f>
        <v/>
      </c>
      <c r="BO48" s="25"/>
      <c r="BP48" s="45" t="str">
        <f t="shared" ref="BP48:BP52" si="235">if(BO48="Done", if(BP48="",NOW(),BP48),"")</f>
        <v/>
      </c>
      <c r="BQ48" s="29"/>
      <c r="BR48" s="29"/>
      <c r="BS48" s="29"/>
      <c r="BT48" s="22" t="str">
        <f t="shared" ref="BT48:BT52" si="236">BW48</f>
        <v/>
      </c>
      <c r="BU48" s="23"/>
      <c r="BV48" s="45" t="str">
        <f t="shared" ref="BV48:BV52" si="237">if(BU48&lt;&gt;"", if(BV48="",NOW(),BV48),"")</f>
        <v/>
      </c>
      <c r="BW48" s="25"/>
      <c r="BX48" s="45" t="str">
        <f t="shared" ref="BX48:BX52" si="238">if(BW48="Done", if(BX48="",NOW(),BX48),"")</f>
        <v/>
      </c>
      <c r="BY48" s="47"/>
      <c r="BZ48" s="22" t="str">
        <f t="shared" ref="BZ48:BZ52" si="239">CC48</f>
        <v/>
      </c>
      <c r="CA48" s="23"/>
      <c r="CB48" s="45" t="str">
        <f t="shared" ref="CB48:CB52" si="240">if(CA48&lt;&gt;"", if(CB48="",NOW(),CB48),"")</f>
        <v/>
      </c>
      <c r="CC48" s="25"/>
      <c r="CD48" s="45" t="str">
        <f t="shared" ref="CD48:CD52" si="241">if(CC48="Done", if(CD48="",NOW(),CD48),"")</f>
        <v/>
      </c>
      <c r="CE48" s="47"/>
      <c r="CF48" s="22" t="str">
        <f t="shared" ref="CF48:CF52" si="242">CI48</f>
        <v/>
      </c>
      <c r="CG48" s="74"/>
      <c r="CH48" s="74"/>
      <c r="CI48" s="74"/>
      <c r="CJ48" s="74"/>
      <c r="CK48" s="74"/>
      <c r="CL48" s="43"/>
      <c r="CM48" s="75"/>
      <c r="CN48" s="76"/>
      <c r="CO48" s="77"/>
      <c r="CP48" s="76"/>
      <c r="CQ48" s="78"/>
    </row>
    <row r="49" ht="52.5" customHeight="1">
      <c r="A49" s="78">
        <v>2.0</v>
      </c>
      <c r="B49" s="79" t="s">
        <v>293</v>
      </c>
      <c r="C49" s="74"/>
      <c r="D49" s="20"/>
      <c r="E49" s="20"/>
      <c r="F49" s="20"/>
      <c r="G49" s="23"/>
      <c r="H49" s="43"/>
      <c r="I49" s="22" t="str">
        <f t="shared" si="213"/>
        <v/>
      </c>
      <c r="J49" s="23" t="s">
        <v>78</v>
      </c>
      <c r="K49" s="40">
        <f t="shared" si="214"/>
        <v>46304.42676</v>
      </c>
      <c r="L49" s="25" t="s">
        <v>69</v>
      </c>
      <c r="M49" s="40">
        <f t="shared" si="215"/>
        <v>46304.65841</v>
      </c>
      <c r="N49" s="29"/>
      <c r="O49" s="29"/>
      <c r="P49" s="29"/>
      <c r="Q49" s="22" t="str">
        <f t="shared" si="216"/>
        <v/>
      </c>
      <c r="R49" s="23"/>
      <c r="S49" s="45" t="str">
        <f t="shared" si="217"/>
        <v/>
      </c>
      <c r="T49" s="25"/>
      <c r="U49" s="45" t="str">
        <f t="shared" si="218"/>
        <v/>
      </c>
      <c r="V49" s="35"/>
      <c r="W49" s="22"/>
      <c r="X49" s="23"/>
      <c r="Y49" s="45"/>
      <c r="Z49" s="25"/>
      <c r="AA49" s="45"/>
      <c r="AB49" s="47"/>
      <c r="AC49" s="22" t="str">
        <f t="shared" si="219"/>
        <v/>
      </c>
      <c r="AD49" s="20">
        <v>1.0</v>
      </c>
      <c r="AE49" s="23"/>
      <c r="AF49" s="45" t="str">
        <f t="shared" si="220"/>
        <v/>
      </c>
      <c r="AG49" s="25"/>
      <c r="AH49" s="45" t="str">
        <f t="shared" si="221"/>
        <v/>
      </c>
      <c r="AI49" s="46">
        <v>0.0</v>
      </c>
      <c r="AJ49" s="33"/>
      <c r="AK49" s="22" t="str">
        <f t="shared" si="222"/>
        <v/>
      </c>
      <c r="AL49" s="23"/>
      <c r="AM49" s="45" t="str">
        <f t="shared" si="223"/>
        <v/>
      </c>
      <c r="AN49" s="25"/>
      <c r="AO49" s="45" t="str">
        <f t="shared" si="224"/>
        <v/>
      </c>
      <c r="AP49" s="29"/>
      <c r="AQ49" s="29"/>
      <c r="AR49" s="29"/>
      <c r="AS49" s="22" t="str">
        <f t="shared" si="225"/>
        <v/>
      </c>
      <c r="AT49" s="23"/>
      <c r="AU49" s="45" t="str">
        <f t="shared" si="226"/>
        <v/>
      </c>
      <c r="AV49" s="25"/>
      <c r="AW49" s="45" t="str">
        <f t="shared" si="227"/>
        <v/>
      </c>
      <c r="AX49" s="47"/>
      <c r="AY49" s="22" t="str">
        <f t="shared" si="228"/>
        <v/>
      </c>
      <c r="AZ49" s="23"/>
      <c r="BA49" s="45" t="str">
        <f t="shared" si="229"/>
        <v/>
      </c>
      <c r="BB49" s="25"/>
      <c r="BC49" s="45" t="str">
        <f t="shared" si="230"/>
        <v/>
      </c>
      <c r="BD49" s="47"/>
      <c r="BE49" s="22" t="str">
        <f t="shared" si="231"/>
        <v/>
      </c>
      <c r="BF49" s="23"/>
      <c r="BG49" s="45" t="str">
        <f t="shared" si="232"/>
        <v/>
      </c>
      <c r="BH49" s="25"/>
      <c r="BI49" s="45" t="str">
        <f t="shared" si="233"/>
        <v/>
      </c>
      <c r="BJ49" s="46">
        <v>0.0</v>
      </c>
      <c r="BK49" s="33"/>
      <c r="BL49" s="22"/>
      <c r="BM49" s="23"/>
      <c r="BN49" s="45" t="str">
        <f t="shared" si="234"/>
        <v/>
      </c>
      <c r="BO49" s="25"/>
      <c r="BP49" s="45" t="str">
        <f t="shared" si="235"/>
        <v/>
      </c>
      <c r="BQ49" s="29"/>
      <c r="BR49" s="29"/>
      <c r="BS49" s="29"/>
      <c r="BT49" s="22" t="str">
        <f t="shared" si="236"/>
        <v/>
      </c>
      <c r="BU49" s="23"/>
      <c r="BV49" s="45" t="str">
        <f t="shared" si="237"/>
        <v/>
      </c>
      <c r="BW49" s="25"/>
      <c r="BX49" s="45" t="str">
        <f t="shared" si="238"/>
        <v/>
      </c>
      <c r="BY49" s="47"/>
      <c r="BZ49" s="22" t="str">
        <f t="shared" si="239"/>
        <v/>
      </c>
      <c r="CA49" s="23"/>
      <c r="CB49" s="45" t="str">
        <f t="shared" si="240"/>
        <v/>
      </c>
      <c r="CC49" s="25"/>
      <c r="CD49" s="45" t="str">
        <f t="shared" si="241"/>
        <v/>
      </c>
      <c r="CE49" s="47"/>
      <c r="CF49" s="22" t="str">
        <f t="shared" si="242"/>
        <v/>
      </c>
      <c r="CG49" s="74"/>
      <c r="CH49" s="74"/>
      <c r="CI49" s="74"/>
      <c r="CJ49" s="74"/>
      <c r="CK49" s="74"/>
      <c r="CL49" s="43"/>
      <c r="CM49" s="75"/>
      <c r="CN49" s="76"/>
      <c r="CO49" s="77"/>
      <c r="CP49" s="76"/>
      <c r="CQ49" s="78"/>
    </row>
    <row r="50" ht="52.5" customHeight="1">
      <c r="A50" s="78">
        <v>3.0</v>
      </c>
      <c r="B50" s="79" t="s">
        <v>296</v>
      </c>
      <c r="C50" s="74"/>
      <c r="D50" s="20"/>
      <c r="E50" s="20"/>
      <c r="F50" s="20"/>
      <c r="G50" s="23"/>
      <c r="H50" s="43"/>
      <c r="I50" s="22" t="str">
        <f t="shared" si="213"/>
        <v/>
      </c>
      <c r="J50" s="23" t="s">
        <v>67</v>
      </c>
      <c r="K50" s="40">
        <f t="shared" si="214"/>
        <v>46303.59067</v>
      </c>
      <c r="L50" s="25" t="s">
        <v>69</v>
      </c>
      <c r="M50" s="53">
        <v>46304.416666666664</v>
      </c>
      <c r="N50" s="29"/>
      <c r="O50" s="29"/>
      <c r="P50" s="29"/>
      <c r="Q50" s="22" t="str">
        <f t="shared" si="216"/>
        <v/>
      </c>
      <c r="R50" s="23"/>
      <c r="S50" s="45" t="str">
        <f t="shared" si="217"/>
        <v/>
      </c>
      <c r="T50" s="25"/>
      <c r="U50" s="45" t="str">
        <f t="shared" si="218"/>
        <v/>
      </c>
      <c r="V50" s="35"/>
      <c r="W50" s="22"/>
      <c r="X50" s="23"/>
      <c r="Y50" s="45"/>
      <c r="Z50" s="25"/>
      <c r="AA50" s="45"/>
      <c r="AB50" s="47"/>
      <c r="AC50" s="22" t="str">
        <f t="shared" si="219"/>
        <v/>
      </c>
      <c r="AD50" s="20">
        <v>1.0</v>
      </c>
      <c r="AE50" s="23"/>
      <c r="AF50" s="45" t="str">
        <f t="shared" si="220"/>
        <v/>
      </c>
      <c r="AG50" s="25"/>
      <c r="AH50" s="45" t="str">
        <f t="shared" si="221"/>
        <v/>
      </c>
      <c r="AI50" s="46">
        <v>0.0</v>
      </c>
      <c r="AJ50" s="33"/>
      <c r="AK50" s="22" t="str">
        <f t="shared" si="222"/>
        <v/>
      </c>
      <c r="AL50" s="23"/>
      <c r="AM50" s="45" t="str">
        <f t="shared" si="223"/>
        <v/>
      </c>
      <c r="AN50" s="25"/>
      <c r="AO50" s="45" t="str">
        <f t="shared" si="224"/>
        <v/>
      </c>
      <c r="AP50" s="29"/>
      <c r="AQ50" s="29"/>
      <c r="AR50" s="29"/>
      <c r="AS50" s="22" t="str">
        <f t="shared" si="225"/>
        <v/>
      </c>
      <c r="AT50" s="23"/>
      <c r="AU50" s="45" t="str">
        <f t="shared" si="226"/>
        <v/>
      </c>
      <c r="AV50" s="25"/>
      <c r="AW50" s="45" t="str">
        <f t="shared" si="227"/>
        <v/>
      </c>
      <c r="AX50" s="47"/>
      <c r="AY50" s="22" t="str">
        <f t="shared" si="228"/>
        <v/>
      </c>
      <c r="AZ50" s="23"/>
      <c r="BA50" s="45" t="str">
        <f t="shared" si="229"/>
        <v/>
      </c>
      <c r="BB50" s="25"/>
      <c r="BC50" s="45" t="str">
        <f t="shared" si="230"/>
        <v/>
      </c>
      <c r="BD50" s="47"/>
      <c r="BE50" s="22" t="str">
        <f t="shared" si="231"/>
        <v/>
      </c>
      <c r="BF50" s="23"/>
      <c r="BG50" s="45" t="str">
        <f t="shared" si="232"/>
        <v/>
      </c>
      <c r="BH50" s="25"/>
      <c r="BI50" s="45" t="str">
        <f t="shared" si="233"/>
        <v/>
      </c>
      <c r="BJ50" s="46">
        <v>0.0</v>
      </c>
      <c r="BK50" s="33"/>
      <c r="BL50" s="22"/>
      <c r="BM50" s="23"/>
      <c r="BN50" s="45" t="str">
        <f t="shared" si="234"/>
        <v/>
      </c>
      <c r="BO50" s="25"/>
      <c r="BP50" s="45" t="str">
        <f t="shared" si="235"/>
        <v/>
      </c>
      <c r="BQ50" s="29"/>
      <c r="BR50" s="29"/>
      <c r="BS50" s="29"/>
      <c r="BT50" s="22" t="str">
        <f t="shared" si="236"/>
        <v/>
      </c>
      <c r="BU50" s="23"/>
      <c r="BV50" s="45" t="str">
        <f t="shared" si="237"/>
        <v/>
      </c>
      <c r="BW50" s="25"/>
      <c r="BX50" s="45" t="str">
        <f t="shared" si="238"/>
        <v/>
      </c>
      <c r="BY50" s="47"/>
      <c r="BZ50" s="22" t="str">
        <f t="shared" si="239"/>
        <v/>
      </c>
      <c r="CA50" s="23"/>
      <c r="CB50" s="45" t="str">
        <f t="shared" si="240"/>
        <v/>
      </c>
      <c r="CC50" s="25"/>
      <c r="CD50" s="45" t="str">
        <f t="shared" si="241"/>
        <v/>
      </c>
      <c r="CE50" s="47"/>
      <c r="CF50" s="22" t="str">
        <f t="shared" si="242"/>
        <v/>
      </c>
      <c r="CG50" s="74"/>
      <c r="CH50" s="74"/>
      <c r="CI50" s="74"/>
      <c r="CJ50" s="74"/>
      <c r="CK50" s="74"/>
      <c r="CL50" s="43"/>
      <c r="CM50" s="75"/>
      <c r="CN50" s="76"/>
      <c r="CO50" s="77"/>
      <c r="CP50" s="76"/>
      <c r="CQ50" s="78"/>
    </row>
    <row r="51" ht="52.5" customHeight="1">
      <c r="A51" s="78">
        <v>4.0</v>
      </c>
      <c r="B51" s="79" t="s">
        <v>299</v>
      </c>
      <c r="C51" s="74"/>
      <c r="D51" s="20"/>
      <c r="E51" s="20"/>
      <c r="F51" s="20"/>
      <c r="G51" s="23"/>
      <c r="H51" s="43"/>
      <c r="I51" s="22" t="str">
        <f t="shared" si="213"/>
        <v/>
      </c>
      <c r="J51" s="23" t="s">
        <v>87</v>
      </c>
      <c r="K51" s="40">
        <f t="shared" si="214"/>
        <v>46314.39691</v>
      </c>
      <c r="L51" s="25" t="s">
        <v>69</v>
      </c>
      <c r="M51" s="40">
        <f t="shared" ref="M51:M52" si="243">if(L51="Done", if(M51="",NOW(),M51),"")</f>
        <v>46314.64765</v>
      </c>
      <c r="N51" s="29"/>
      <c r="O51" s="29"/>
      <c r="P51" s="29"/>
      <c r="Q51" s="22" t="str">
        <f t="shared" si="216"/>
        <v/>
      </c>
      <c r="R51" s="23"/>
      <c r="S51" s="45" t="str">
        <f t="shared" si="217"/>
        <v/>
      </c>
      <c r="T51" s="25"/>
      <c r="U51" s="45" t="str">
        <f t="shared" si="218"/>
        <v/>
      </c>
      <c r="V51" s="35"/>
      <c r="W51" s="22"/>
      <c r="X51" s="23"/>
      <c r="Y51" s="45"/>
      <c r="Z51" s="25"/>
      <c r="AA51" s="45"/>
      <c r="AB51" s="47"/>
      <c r="AC51" s="22" t="str">
        <f t="shared" si="219"/>
        <v/>
      </c>
      <c r="AD51" s="20">
        <v>1.0</v>
      </c>
      <c r="AE51" s="23"/>
      <c r="AF51" s="45" t="str">
        <f t="shared" si="220"/>
        <v/>
      </c>
      <c r="AG51" s="25"/>
      <c r="AH51" s="45" t="str">
        <f t="shared" si="221"/>
        <v/>
      </c>
      <c r="AI51" s="46">
        <v>0.0</v>
      </c>
      <c r="AJ51" s="33"/>
      <c r="AK51" s="22" t="str">
        <f t="shared" si="222"/>
        <v/>
      </c>
      <c r="AL51" s="23"/>
      <c r="AM51" s="45" t="str">
        <f t="shared" si="223"/>
        <v/>
      </c>
      <c r="AN51" s="25"/>
      <c r="AO51" s="45" t="str">
        <f t="shared" si="224"/>
        <v/>
      </c>
      <c r="AP51" s="29"/>
      <c r="AQ51" s="29"/>
      <c r="AR51" s="29"/>
      <c r="AS51" s="22" t="str">
        <f t="shared" si="225"/>
        <v/>
      </c>
      <c r="AT51" s="23"/>
      <c r="AU51" s="45" t="str">
        <f t="shared" si="226"/>
        <v/>
      </c>
      <c r="AV51" s="25"/>
      <c r="AW51" s="45" t="str">
        <f t="shared" si="227"/>
        <v/>
      </c>
      <c r="AX51" s="47"/>
      <c r="AY51" s="22" t="str">
        <f t="shared" si="228"/>
        <v/>
      </c>
      <c r="AZ51" s="23"/>
      <c r="BA51" s="45" t="str">
        <f t="shared" si="229"/>
        <v/>
      </c>
      <c r="BB51" s="25"/>
      <c r="BC51" s="45" t="str">
        <f t="shared" si="230"/>
        <v/>
      </c>
      <c r="BD51" s="47"/>
      <c r="BE51" s="22" t="str">
        <f t="shared" si="231"/>
        <v/>
      </c>
      <c r="BF51" s="23"/>
      <c r="BG51" s="45" t="str">
        <f t="shared" si="232"/>
        <v/>
      </c>
      <c r="BH51" s="25"/>
      <c r="BI51" s="45" t="str">
        <f t="shared" si="233"/>
        <v/>
      </c>
      <c r="BJ51" s="46">
        <v>0.0</v>
      </c>
      <c r="BK51" s="33"/>
      <c r="BL51" s="22"/>
      <c r="BM51" s="23"/>
      <c r="BN51" s="45" t="str">
        <f t="shared" si="234"/>
        <v/>
      </c>
      <c r="BO51" s="25"/>
      <c r="BP51" s="45" t="str">
        <f t="shared" si="235"/>
        <v/>
      </c>
      <c r="BQ51" s="29"/>
      <c r="BR51" s="29"/>
      <c r="BS51" s="29"/>
      <c r="BT51" s="22" t="str">
        <f t="shared" si="236"/>
        <v/>
      </c>
      <c r="BU51" s="23"/>
      <c r="BV51" s="45" t="str">
        <f t="shared" si="237"/>
        <v/>
      </c>
      <c r="BW51" s="25"/>
      <c r="BX51" s="45" t="str">
        <f t="shared" si="238"/>
        <v/>
      </c>
      <c r="BY51" s="47"/>
      <c r="BZ51" s="22" t="str">
        <f t="shared" si="239"/>
        <v/>
      </c>
      <c r="CA51" s="23"/>
      <c r="CB51" s="45" t="str">
        <f t="shared" si="240"/>
        <v/>
      </c>
      <c r="CC51" s="25"/>
      <c r="CD51" s="45" t="str">
        <f t="shared" si="241"/>
        <v/>
      </c>
      <c r="CE51" s="47"/>
      <c r="CF51" s="22" t="str">
        <f t="shared" si="242"/>
        <v/>
      </c>
      <c r="CG51" s="74"/>
      <c r="CH51" s="74"/>
      <c r="CI51" s="74"/>
      <c r="CJ51" s="74"/>
      <c r="CK51" s="74"/>
      <c r="CL51" s="43"/>
      <c r="CM51" s="75"/>
      <c r="CN51" s="76"/>
      <c r="CO51" s="77"/>
      <c r="CP51" s="76"/>
      <c r="CQ51" s="78"/>
    </row>
    <row r="52" ht="52.5" customHeight="1">
      <c r="A52" s="78">
        <v>5.0</v>
      </c>
      <c r="B52" s="79" t="s">
        <v>300</v>
      </c>
      <c r="C52" s="74"/>
      <c r="D52" s="20"/>
      <c r="E52" s="20"/>
      <c r="F52" s="20"/>
      <c r="G52" s="23"/>
      <c r="H52" s="43"/>
      <c r="I52" s="22" t="str">
        <f t="shared" si="213"/>
        <v/>
      </c>
      <c r="J52" s="23"/>
      <c r="K52" s="45" t="str">
        <f t="shared" si="214"/>
        <v/>
      </c>
      <c r="L52" s="25"/>
      <c r="M52" s="45" t="str">
        <f t="shared" si="243"/>
        <v/>
      </c>
      <c r="N52" s="29"/>
      <c r="O52" s="29"/>
      <c r="P52" s="29"/>
      <c r="Q52" s="22" t="str">
        <f t="shared" si="216"/>
        <v/>
      </c>
      <c r="R52" s="23"/>
      <c r="S52" s="45" t="str">
        <f t="shared" si="217"/>
        <v/>
      </c>
      <c r="T52" s="25"/>
      <c r="U52" s="45" t="str">
        <f t="shared" si="218"/>
        <v/>
      </c>
      <c r="V52" s="35"/>
      <c r="W52" s="22"/>
      <c r="X52" s="23"/>
      <c r="Y52" s="45"/>
      <c r="Z52" s="25"/>
      <c r="AA52" s="45"/>
      <c r="AB52" s="47"/>
      <c r="AC52" s="22" t="str">
        <f t="shared" si="219"/>
        <v/>
      </c>
      <c r="AD52" s="20">
        <v>1.0</v>
      </c>
      <c r="AE52" s="23"/>
      <c r="AF52" s="45" t="str">
        <f t="shared" si="220"/>
        <v/>
      </c>
      <c r="AG52" s="25"/>
      <c r="AH52" s="45" t="str">
        <f t="shared" si="221"/>
        <v/>
      </c>
      <c r="AI52" s="46">
        <v>0.0</v>
      </c>
      <c r="AJ52" s="33"/>
      <c r="AK52" s="22" t="str">
        <f t="shared" si="222"/>
        <v/>
      </c>
      <c r="AL52" s="23"/>
      <c r="AM52" s="45" t="str">
        <f t="shared" si="223"/>
        <v/>
      </c>
      <c r="AN52" s="25"/>
      <c r="AO52" s="45" t="str">
        <f t="shared" si="224"/>
        <v/>
      </c>
      <c r="AP52" s="29"/>
      <c r="AQ52" s="29"/>
      <c r="AR52" s="29"/>
      <c r="AS52" s="22" t="str">
        <f t="shared" si="225"/>
        <v/>
      </c>
      <c r="AT52" s="23"/>
      <c r="AU52" s="45" t="str">
        <f t="shared" si="226"/>
        <v/>
      </c>
      <c r="AV52" s="25"/>
      <c r="AW52" s="45" t="str">
        <f t="shared" si="227"/>
        <v/>
      </c>
      <c r="AX52" s="47"/>
      <c r="AY52" s="22" t="str">
        <f t="shared" si="228"/>
        <v/>
      </c>
      <c r="AZ52" s="23"/>
      <c r="BA52" s="45" t="str">
        <f t="shared" si="229"/>
        <v/>
      </c>
      <c r="BB52" s="25"/>
      <c r="BC52" s="45" t="str">
        <f t="shared" si="230"/>
        <v/>
      </c>
      <c r="BD52" s="47"/>
      <c r="BE52" s="22" t="str">
        <f t="shared" si="231"/>
        <v/>
      </c>
      <c r="BF52" s="23"/>
      <c r="BG52" s="45" t="str">
        <f t="shared" si="232"/>
        <v/>
      </c>
      <c r="BH52" s="25"/>
      <c r="BI52" s="45" t="str">
        <f t="shared" si="233"/>
        <v/>
      </c>
      <c r="BJ52" s="46">
        <v>0.0</v>
      </c>
      <c r="BK52" s="33"/>
      <c r="BL52" s="22"/>
      <c r="BM52" s="23"/>
      <c r="BN52" s="45" t="str">
        <f t="shared" si="234"/>
        <v/>
      </c>
      <c r="BO52" s="25"/>
      <c r="BP52" s="45" t="str">
        <f t="shared" si="235"/>
        <v/>
      </c>
      <c r="BQ52" s="29"/>
      <c r="BR52" s="29"/>
      <c r="BS52" s="29"/>
      <c r="BT52" s="22" t="str">
        <f t="shared" si="236"/>
        <v/>
      </c>
      <c r="BU52" s="23"/>
      <c r="BV52" s="45" t="str">
        <f t="shared" si="237"/>
        <v/>
      </c>
      <c r="BW52" s="25"/>
      <c r="BX52" s="45" t="str">
        <f t="shared" si="238"/>
        <v/>
      </c>
      <c r="BY52" s="47"/>
      <c r="BZ52" s="22" t="str">
        <f t="shared" si="239"/>
        <v/>
      </c>
      <c r="CA52" s="23"/>
      <c r="CB52" s="45" t="str">
        <f t="shared" si="240"/>
        <v/>
      </c>
      <c r="CC52" s="25"/>
      <c r="CD52" s="45" t="str">
        <f t="shared" si="241"/>
        <v/>
      </c>
      <c r="CE52" s="47"/>
      <c r="CF52" s="22" t="str">
        <f t="shared" si="242"/>
        <v/>
      </c>
      <c r="CG52" s="74"/>
      <c r="CH52" s="74"/>
      <c r="CI52" s="74"/>
      <c r="CJ52" s="74"/>
      <c r="CK52" s="74"/>
      <c r="CL52" s="43"/>
      <c r="CM52" s="75"/>
      <c r="CN52" s="76"/>
      <c r="CO52" s="77"/>
      <c r="CP52" s="76"/>
      <c r="CQ52" s="78"/>
    </row>
    <row r="53" ht="52.5" customHeight="1">
      <c r="A53" s="39" t="s">
        <v>118</v>
      </c>
      <c r="B53" s="41" t="s">
        <v>303</v>
      </c>
      <c r="C53" s="42"/>
      <c r="D53" s="42"/>
      <c r="E53" s="42"/>
      <c r="F53" s="42"/>
      <c r="G53" s="42"/>
      <c r="H53" s="43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 t="str">
        <f>Y53</f>
        <v/>
      </c>
      <c r="AE53" s="42"/>
      <c r="AF53" s="42"/>
      <c r="AG53" s="42"/>
      <c r="AH53" s="42"/>
      <c r="AI53" s="42"/>
      <c r="AJ53" s="43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3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3"/>
      <c r="CM53" s="48"/>
      <c r="CN53" s="49"/>
      <c r="CO53" s="50"/>
      <c r="CP53" s="49"/>
      <c r="CQ53" s="51"/>
    </row>
    <row r="54" ht="52.5" customHeight="1">
      <c r="A54" s="46">
        <v>1.0</v>
      </c>
      <c r="B54" s="27" t="s">
        <v>304</v>
      </c>
      <c r="C54" s="26"/>
      <c r="D54" s="20">
        <v>3.0</v>
      </c>
      <c r="E54" s="20">
        <v>4.0</v>
      </c>
      <c r="F54" s="20"/>
      <c r="G54" s="23"/>
      <c r="H54" s="33"/>
      <c r="I54" s="22">
        <f t="shared" ref="I54:I56" si="244">D54</f>
        <v>3</v>
      </c>
      <c r="J54" s="23" t="s">
        <v>67</v>
      </c>
      <c r="K54" s="40">
        <f t="shared" ref="K54:K58" si="245">if(J54&lt;&gt;"", if(K54="",NOW(),K54),"")</f>
        <v>46255.615</v>
      </c>
      <c r="L54" s="25" t="s">
        <v>69</v>
      </c>
      <c r="M54" s="40">
        <f t="shared" ref="M54:M58" si="246">if(L54="Done", if(M54="",NOW(),M54),"")</f>
        <v>46261.40745</v>
      </c>
      <c r="N54" s="29"/>
      <c r="O54" s="29"/>
      <c r="P54" s="29"/>
      <c r="Q54" s="22" t="str">
        <f t="shared" ref="Q54:Q56" si="247">T54</f>
        <v/>
      </c>
      <c r="R54" s="23"/>
      <c r="S54" s="45" t="str">
        <f t="shared" ref="S54:S55" si="248">if(R54&lt;&gt;"", if(S54="",NOW(),S54),"")</f>
        <v/>
      </c>
      <c r="T54" s="25"/>
      <c r="U54" s="45" t="str">
        <f t="shared" ref="U54:U55" si="249">if(T54="Done", if(U54="",NOW(),U54),"")</f>
        <v/>
      </c>
      <c r="V54" s="47"/>
      <c r="W54" s="22"/>
      <c r="X54" s="23"/>
      <c r="Y54" s="45"/>
      <c r="Z54" s="25"/>
      <c r="AA54" s="45"/>
      <c r="AB54" s="47"/>
      <c r="AC54" s="22" t="str">
        <f t="shared" ref="AC54:AC55" si="250">AG54</f>
        <v/>
      </c>
      <c r="AD54" s="20">
        <v>1.0</v>
      </c>
      <c r="AE54" s="23"/>
      <c r="AF54" s="45" t="str">
        <f t="shared" ref="AF54:AF58" si="251">if(AE54&lt;&gt;"", if(AF54="",NOW(),AF54),"")</f>
        <v/>
      </c>
      <c r="AG54" s="25"/>
      <c r="AH54" s="45" t="str">
        <f t="shared" ref="AH54:AH56" si="252">if(AG54="Done", if(AH54="",NOW(),AH54),"")</f>
        <v/>
      </c>
      <c r="AI54" s="46">
        <v>0.0</v>
      </c>
      <c r="AJ54" s="33"/>
      <c r="AK54" s="22">
        <f t="shared" ref="AK54:AK56" si="253">E54</f>
        <v>4</v>
      </c>
      <c r="AL54" s="23" t="s">
        <v>67</v>
      </c>
      <c r="AM54" s="40">
        <f t="shared" ref="AM54:AM56" si="254">if(AL54&lt;&gt;"", if(AM54="",NOW(),AM54),"")</f>
        <v>46261.4141</v>
      </c>
      <c r="AN54" s="25" t="s">
        <v>69</v>
      </c>
      <c r="AO54" s="40">
        <f t="shared" ref="AO54:AO56" si="255">if(AN54="Done", if(AO54="",NOW(),AO54),"")</f>
        <v>46261.45326</v>
      </c>
      <c r="AP54" s="29"/>
      <c r="AQ54" s="29"/>
      <c r="AR54" s="29"/>
      <c r="AS54" s="22" t="str">
        <f t="shared" ref="AS54:AS56" si="256">AV54</f>
        <v>Done</v>
      </c>
      <c r="AT54" s="23" t="s">
        <v>67</v>
      </c>
      <c r="AU54" s="40">
        <f t="shared" ref="AU54:AU56" si="257">if(AT54&lt;&gt;"", if(AU54="",NOW(),AU54),"")</f>
        <v>46301.38855</v>
      </c>
      <c r="AV54" s="25" t="s">
        <v>69</v>
      </c>
      <c r="AW54" s="40">
        <f t="shared" ref="AW54:AW56" si="258">if(AV54="Done", if(AW54="",NOW(),AW54),"")</f>
        <v>46301.38855</v>
      </c>
      <c r="AX54" s="47"/>
      <c r="AY54" s="22" t="str">
        <f t="shared" ref="AY54:AY55" si="259">BB54</f>
        <v/>
      </c>
      <c r="AZ54" s="23"/>
      <c r="BA54" s="45" t="str">
        <f t="shared" ref="BA54:BA56" si="260">if(AZ54&lt;&gt;"", if(BA54="",NOW(),BA54),"")</f>
        <v/>
      </c>
      <c r="BB54" s="25"/>
      <c r="BC54" s="45" t="str">
        <f t="shared" ref="BC54:BC56" si="261">if(BB54="Done", if(BC54="",NOW(),BC54),"")</f>
        <v/>
      </c>
      <c r="BD54" s="47"/>
      <c r="BE54" s="22" t="str">
        <f t="shared" ref="BE54:BE56" si="262">BH54</f>
        <v/>
      </c>
      <c r="BF54" s="23"/>
      <c r="BG54" s="45" t="str">
        <f t="shared" ref="BG54:BG56" si="263">if(BF54&lt;&gt;"", if(BG54="",NOW(),BG54),"")</f>
        <v/>
      </c>
      <c r="BH54" s="25"/>
      <c r="BI54" s="45" t="str">
        <f t="shared" ref="BI54:BI56" si="264">if(BH54="Done", if(BI54="",NOW(),BI54),"")</f>
        <v/>
      </c>
      <c r="BJ54" s="46">
        <v>0.0</v>
      </c>
      <c r="BK54" s="33"/>
      <c r="BL54" s="22"/>
      <c r="BM54" s="23"/>
      <c r="BN54" s="45" t="str">
        <f t="shared" ref="BN54:BN56" si="265">if(BM54&lt;&gt;"", if(BN54="",NOW(),BN54),"")</f>
        <v/>
      </c>
      <c r="BO54" s="25"/>
      <c r="BP54" s="45" t="str">
        <f t="shared" ref="BP54:BP56" si="266">if(BO54="Done", if(BP54="",NOW(),BP54),"")</f>
        <v/>
      </c>
      <c r="BQ54" s="29"/>
      <c r="BR54" s="29"/>
      <c r="BS54" s="29"/>
      <c r="BT54" s="22" t="str">
        <f t="shared" ref="BT54:BT55" si="267">BW54</f>
        <v/>
      </c>
      <c r="BU54" s="23"/>
      <c r="BV54" s="45" t="str">
        <f t="shared" ref="BV54:BV56" si="268">if(BU54&lt;&gt;"", if(BV54="",NOW(),BV54),"")</f>
        <v/>
      </c>
      <c r="BW54" s="25"/>
      <c r="BX54" s="45" t="str">
        <f t="shared" ref="BX54:BX56" si="269">if(BW54="Done", if(BX54="",NOW(),BX54),"")</f>
        <v/>
      </c>
      <c r="BY54" s="47"/>
      <c r="BZ54" s="22" t="str">
        <f t="shared" ref="BZ54:BZ55" si="270">CC54</f>
        <v/>
      </c>
      <c r="CA54" s="23"/>
      <c r="CB54" s="45" t="str">
        <f t="shared" ref="CB54:CB56" si="271">if(CA54&lt;&gt;"", if(CB54="",NOW(),CB54),"")</f>
        <v/>
      </c>
      <c r="CC54" s="25"/>
      <c r="CD54" s="45" t="str">
        <f t="shared" ref="CD54:CD56" si="272">if(CC54="Done", if(CD54="",NOW(),CD54),"")</f>
        <v/>
      </c>
      <c r="CE54" s="47"/>
      <c r="CF54" s="22" t="str">
        <f t="shared" ref="CF54:CF55" si="273">CI54</f>
        <v/>
      </c>
      <c r="CG54" s="23"/>
      <c r="CH54" s="45" t="str">
        <f t="shared" ref="CH54:CH55" si="274">if(CG54&lt;&gt;"", if(CH54="",NOW(),CH54),"")</f>
        <v/>
      </c>
      <c r="CI54" s="25"/>
      <c r="CJ54" s="45" t="str">
        <f t="shared" ref="CJ54:CJ55" si="275">if(CI54="Done", if(CJ54="",NOW(),CJ54),"")</f>
        <v/>
      </c>
      <c r="CK54" s="46">
        <v>0.0</v>
      </c>
      <c r="CL54" s="33"/>
      <c r="CM54" s="23"/>
      <c r="CN54" s="45"/>
      <c r="CO54" s="25"/>
      <c r="CP54" s="45"/>
      <c r="CQ54" s="46"/>
    </row>
    <row r="55" ht="52.5" customHeight="1">
      <c r="A55" s="46">
        <v>2.0</v>
      </c>
      <c r="B55" s="27" t="s">
        <v>307</v>
      </c>
      <c r="C55" s="26"/>
      <c r="D55" s="20">
        <v>3.0</v>
      </c>
      <c r="E55" s="20">
        <v>4.0</v>
      </c>
      <c r="F55" s="20"/>
      <c r="G55" s="23"/>
      <c r="H55" s="33"/>
      <c r="I55" s="22">
        <f t="shared" si="244"/>
        <v>3</v>
      </c>
      <c r="J55" s="23" t="s">
        <v>124</v>
      </c>
      <c r="K55" s="40">
        <f t="shared" si="245"/>
        <v>46255.62147</v>
      </c>
      <c r="L55" s="25" t="s">
        <v>69</v>
      </c>
      <c r="M55" s="40">
        <f t="shared" si="246"/>
        <v>46255.70888</v>
      </c>
      <c r="N55" s="29"/>
      <c r="O55" s="29"/>
      <c r="P55" s="29"/>
      <c r="Q55" s="22" t="str">
        <f t="shared" si="247"/>
        <v/>
      </c>
      <c r="R55" s="23"/>
      <c r="S55" s="45" t="str">
        <f t="shared" si="248"/>
        <v/>
      </c>
      <c r="T55" s="25"/>
      <c r="U55" s="45" t="str">
        <f t="shared" si="249"/>
        <v/>
      </c>
      <c r="V55" s="47"/>
      <c r="W55" s="22"/>
      <c r="X55" s="23"/>
      <c r="Y55" s="45"/>
      <c r="Z55" s="25"/>
      <c r="AA55" s="45"/>
      <c r="AB55" s="47"/>
      <c r="AC55" s="22" t="str">
        <f t="shared" si="250"/>
        <v/>
      </c>
      <c r="AD55" s="20">
        <v>1.0</v>
      </c>
      <c r="AE55" s="23"/>
      <c r="AF55" s="45" t="str">
        <f t="shared" si="251"/>
        <v/>
      </c>
      <c r="AG55" s="25"/>
      <c r="AH55" s="45" t="str">
        <f t="shared" si="252"/>
        <v/>
      </c>
      <c r="AI55" s="46">
        <v>0.0</v>
      </c>
      <c r="AJ55" s="33"/>
      <c r="AK55" s="22">
        <f t="shared" si="253"/>
        <v>4</v>
      </c>
      <c r="AL55" s="23" t="s">
        <v>124</v>
      </c>
      <c r="AM55" s="40">
        <f t="shared" si="254"/>
        <v>46258.43737</v>
      </c>
      <c r="AN55" s="25" t="s">
        <v>69</v>
      </c>
      <c r="AO55" s="40">
        <f t="shared" si="255"/>
        <v>46260.45482</v>
      </c>
      <c r="AP55" s="29"/>
      <c r="AQ55" s="29"/>
      <c r="AR55" s="29"/>
      <c r="AS55" s="22" t="str">
        <f t="shared" si="256"/>
        <v>Done</v>
      </c>
      <c r="AT55" s="23" t="s">
        <v>124</v>
      </c>
      <c r="AU55" s="40">
        <f t="shared" si="257"/>
        <v>46281.54619</v>
      </c>
      <c r="AV55" s="25" t="s">
        <v>69</v>
      </c>
      <c r="AW55" s="40">
        <f t="shared" si="258"/>
        <v>46282.40968</v>
      </c>
      <c r="AX55" s="35">
        <v>0.3</v>
      </c>
      <c r="AY55" s="22" t="str">
        <f t="shared" si="259"/>
        <v/>
      </c>
      <c r="AZ55" s="23"/>
      <c r="BA55" s="45" t="str">
        <f t="shared" si="260"/>
        <v/>
      </c>
      <c r="BB55" s="25"/>
      <c r="BC55" s="45" t="str">
        <f t="shared" si="261"/>
        <v/>
      </c>
      <c r="BD55" s="47"/>
      <c r="BE55" s="22" t="str">
        <f t="shared" si="262"/>
        <v/>
      </c>
      <c r="BF55" s="23"/>
      <c r="BG55" s="45" t="str">
        <f t="shared" si="263"/>
        <v/>
      </c>
      <c r="BH55" s="25"/>
      <c r="BI55" s="45" t="str">
        <f t="shared" si="264"/>
        <v/>
      </c>
      <c r="BJ55" s="46">
        <v>0.0</v>
      </c>
      <c r="BK55" s="33"/>
      <c r="BL55" s="22"/>
      <c r="BM55" s="23"/>
      <c r="BN55" s="45" t="str">
        <f t="shared" si="265"/>
        <v/>
      </c>
      <c r="BO55" s="25"/>
      <c r="BP55" s="45" t="str">
        <f t="shared" si="266"/>
        <v/>
      </c>
      <c r="BQ55" s="29"/>
      <c r="BR55" s="29"/>
      <c r="BS55" s="29"/>
      <c r="BT55" s="22" t="str">
        <f t="shared" si="267"/>
        <v/>
      </c>
      <c r="BU55" s="23"/>
      <c r="BV55" s="45" t="str">
        <f t="shared" si="268"/>
        <v/>
      </c>
      <c r="BW55" s="25"/>
      <c r="BX55" s="45" t="str">
        <f t="shared" si="269"/>
        <v/>
      </c>
      <c r="BY55" s="47"/>
      <c r="BZ55" s="22" t="str">
        <f t="shared" si="270"/>
        <v/>
      </c>
      <c r="CA55" s="23"/>
      <c r="CB55" s="45" t="str">
        <f t="shared" si="271"/>
        <v/>
      </c>
      <c r="CC55" s="25"/>
      <c r="CD55" s="45" t="str">
        <f t="shared" si="272"/>
        <v/>
      </c>
      <c r="CE55" s="47"/>
      <c r="CF55" s="22" t="str">
        <f t="shared" si="273"/>
        <v/>
      </c>
      <c r="CG55" s="23"/>
      <c r="CH55" s="45" t="str">
        <f t="shared" si="274"/>
        <v/>
      </c>
      <c r="CI55" s="25"/>
      <c r="CJ55" s="45" t="str">
        <f t="shared" si="275"/>
        <v/>
      </c>
      <c r="CK55" s="46">
        <v>0.0</v>
      </c>
      <c r="CL55" s="33"/>
      <c r="CM55" s="23"/>
      <c r="CN55" s="45"/>
      <c r="CO55" s="25"/>
      <c r="CP55" s="45"/>
      <c r="CQ55" s="46"/>
    </row>
    <row r="56" ht="52.5" customHeight="1">
      <c r="A56" s="46">
        <v>3.0</v>
      </c>
      <c r="B56" s="27" t="s">
        <v>309</v>
      </c>
      <c r="C56" s="26"/>
      <c r="D56" s="20">
        <v>3.0</v>
      </c>
      <c r="E56" s="20">
        <v>4.0</v>
      </c>
      <c r="F56" s="20"/>
      <c r="G56" s="23"/>
      <c r="H56" s="33"/>
      <c r="I56" s="22">
        <f t="shared" si="244"/>
        <v>3</v>
      </c>
      <c r="J56" s="23" t="s">
        <v>78</v>
      </c>
      <c r="K56" s="40">
        <f t="shared" si="245"/>
        <v>46255.62129</v>
      </c>
      <c r="L56" s="25" t="s">
        <v>69</v>
      </c>
      <c r="M56" s="40">
        <f t="shared" si="246"/>
        <v>46260.60481</v>
      </c>
      <c r="N56" s="29"/>
      <c r="O56" s="29"/>
      <c r="P56" s="29"/>
      <c r="Q56" s="22" t="str">
        <f t="shared" si="247"/>
        <v/>
      </c>
      <c r="R56" s="23"/>
      <c r="S56" s="45"/>
      <c r="T56" s="25"/>
      <c r="U56" s="45"/>
      <c r="V56" s="47"/>
      <c r="W56" s="22"/>
      <c r="X56" s="23"/>
      <c r="Y56" s="45"/>
      <c r="Z56" s="25"/>
      <c r="AA56" s="45"/>
      <c r="AB56" s="47"/>
      <c r="AC56" s="22"/>
      <c r="AD56" s="20">
        <v>1.0</v>
      </c>
      <c r="AE56" s="23"/>
      <c r="AF56" s="45" t="str">
        <f t="shared" si="251"/>
        <v/>
      </c>
      <c r="AG56" s="25"/>
      <c r="AH56" s="45" t="str">
        <f t="shared" si="252"/>
        <v/>
      </c>
      <c r="AI56" s="46">
        <v>0.0</v>
      </c>
      <c r="AJ56" s="33"/>
      <c r="AK56" s="22">
        <f t="shared" si="253"/>
        <v>4</v>
      </c>
      <c r="AL56" s="23" t="s">
        <v>78</v>
      </c>
      <c r="AM56" s="40">
        <f t="shared" si="254"/>
        <v>46260.39659</v>
      </c>
      <c r="AN56" s="25" t="s">
        <v>69</v>
      </c>
      <c r="AO56" s="40">
        <f t="shared" si="255"/>
        <v>46260.45772</v>
      </c>
      <c r="AP56" s="29"/>
      <c r="AQ56" s="29"/>
      <c r="AR56" s="29"/>
      <c r="AS56" s="22" t="str">
        <f t="shared" si="256"/>
        <v>Done</v>
      </c>
      <c r="AT56" s="23" t="s">
        <v>78</v>
      </c>
      <c r="AU56" s="40">
        <f t="shared" si="257"/>
        <v>46281.38473</v>
      </c>
      <c r="AV56" s="25" t="s">
        <v>69</v>
      </c>
      <c r="AW56" s="40">
        <f t="shared" si="258"/>
        <v>46281.40134</v>
      </c>
      <c r="AX56" s="35">
        <v>0.2</v>
      </c>
      <c r="AY56" s="22"/>
      <c r="AZ56" s="23"/>
      <c r="BA56" s="45" t="str">
        <f t="shared" si="260"/>
        <v/>
      </c>
      <c r="BB56" s="25"/>
      <c r="BC56" s="45" t="str">
        <f t="shared" si="261"/>
        <v/>
      </c>
      <c r="BD56" s="47"/>
      <c r="BE56" s="22" t="str">
        <f t="shared" si="262"/>
        <v/>
      </c>
      <c r="BF56" s="23"/>
      <c r="BG56" s="45" t="str">
        <f t="shared" si="263"/>
        <v/>
      </c>
      <c r="BH56" s="25"/>
      <c r="BI56" s="45" t="str">
        <f t="shared" si="264"/>
        <v/>
      </c>
      <c r="BJ56" s="46">
        <v>0.0</v>
      </c>
      <c r="BK56" s="33"/>
      <c r="BL56" s="22"/>
      <c r="BM56" s="23"/>
      <c r="BN56" s="45" t="str">
        <f t="shared" si="265"/>
        <v/>
      </c>
      <c r="BO56" s="25"/>
      <c r="BP56" s="45" t="str">
        <f t="shared" si="266"/>
        <v/>
      </c>
      <c r="BQ56" s="29"/>
      <c r="BR56" s="29"/>
      <c r="BS56" s="29"/>
      <c r="BT56" s="22"/>
      <c r="BU56" s="23"/>
      <c r="BV56" s="45" t="str">
        <f t="shared" si="268"/>
        <v/>
      </c>
      <c r="BW56" s="25"/>
      <c r="BX56" s="45" t="str">
        <f t="shared" si="269"/>
        <v/>
      </c>
      <c r="BY56" s="47"/>
      <c r="BZ56" s="22"/>
      <c r="CA56" s="23"/>
      <c r="CB56" s="45" t="str">
        <f t="shared" si="271"/>
        <v/>
      </c>
      <c r="CC56" s="25"/>
      <c r="CD56" s="45" t="str">
        <f t="shared" si="272"/>
        <v/>
      </c>
      <c r="CE56" s="47"/>
      <c r="CF56" s="22"/>
      <c r="CG56" s="23"/>
      <c r="CH56" s="45"/>
      <c r="CI56" s="25"/>
      <c r="CJ56" s="45"/>
      <c r="CK56" s="46"/>
      <c r="CL56" s="33"/>
      <c r="CM56" s="23"/>
      <c r="CN56" s="45"/>
      <c r="CO56" s="25"/>
      <c r="CP56" s="45"/>
      <c r="CQ56" s="46"/>
    </row>
    <row r="57" ht="52.5" customHeight="1">
      <c r="A57" s="46">
        <v>4.0</v>
      </c>
      <c r="B57" s="27" t="s">
        <v>310</v>
      </c>
      <c r="C57" s="26"/>
      <c r="D57" s="20"/>
      <c r="E57" s="20"/>
      <c r="F57" s="20"/>
      <c r="G57" s="23"/>
      <c r="H57" s="33"/>
      <c r="I57" s="22"/>
      <c r="J57" s="23" t="s">
        <v>87</v>
      </c>
      <c r="K57" s="40">
        <f t="shared" si="245"/>
        <v>46310.61316</v>
      </c>
      <c r="L57" s="25" t="s">
        <v>69</v>
      </c>
      <c r="M57" s="40">
        <f t="shared" si="246"/>
        <v>46311.45124</v>
      </c>
      <c r="N57" s="29"/>
      <c r="O57" s="29"/>
      <c r="P57" s="29"/>
      <c r="Q57" s="22"/>
      <c r="R57" s="23"/>
      <c r="S57" s="45"/>
      <c r="T57" s="25"/>
      <c r="U57" s="45"/>
      <c r="V57" s="47"/>
      <c r="W57" s="22"/>
      <c r="X57" s="23"/>
      <c r="Y57" s="45"/>
      <c r="Z57" s="25"/>
      <c r="AA57" s="45"/>
      <c r="AB57" s="47"/>
      <c r="AC57" s="22"/>
      <c r="AD57" s="20"/>
      <c r="AE57" s="23" t="s">
        <v>78</v>
      </c>
      <c r="AF57" s="40">
        <f t="shared" si="251"/>
        <v>46314.39206</v>
      </c>
      <c r="AG57" s="25" t="s">
        <v>69</v>
      </c>
      <c r="AH57" s="40">
        <f>if(AG57&lt;&gt;"", if(AH57="",NOW(),AH57),"")</f>
        <v>46314.55398</v>
      </c>
      <c r="AI57" s="46">
        <v>1.0</v>
      </c>
      <c r="AJ57" s="33"/>
      <c r="AK57" s="22"/>
      <c r="AL57" s="23"/>
      <c r="AM57" s="45"/>
      <c r="AN57" s="25"/>
      <c r="AO57" s="45"/>
      <c r="AP57" s="29"/>
      <c r="AQ57" s="29"/>
      <c r="AR57" s="29"/>
      <c r="AS57" s="22"/>
      <c r="AT57" s="23"/>
      <c r="AU57" s="45"/>
      <c r="AV57" s="25"/>
      <c r="AW57" s="45"/>
      <c r="AX57" s="35"/>
      <c r="AY57" s="22"/>
      <c r="AZ57" s="23"/>
      <c r="BA57" s="45"/>
      <c r="BB57" s="25"/>
      <c r="BC57" s="45"/>
      <c r="BD57" s="47"/>
      <c r="BE57" s="22"/>
      <c r="BF57" s="23"/>
      <c r="BG57" s="45"/>
      <c r="BH57" s="25"/>
      <c r="BI57" s="45"/>
      <c r="BJ57" s="46"/>
      <c r="BK57" s="33"/>
      <c r="BL57" s="22"/>
      <c r="BM57" s="23"/>
      <c r="BN57" s="45"/>
      <c r="BO57" s="25"/>
      <c r="BP57" s="45"/>
      <c r="BQ57" s="29"/>
      <c r="BR57" s="29"/>
      <c r="BS57" s="29"/>
      <c r="BT57" s="22"/>
      <c r="BU57" s="23"/>
      <c r="BV57" s="45"/>
      <c r="BW57" s="25"/>
      <c r="BX57" s="45"/>
      <c r="BY57" s="47"/>
      <c r="BZ57" s="22"/>
      <c r="CA57" s="23"/>
      <c r="CB57" s="45"/>
      <c r="CC57" s="25"/>
      <c r="CD57" s="45"/>
      <c r="CE57" s="47"/>
      <c r="CF57" s="22"/>
      <c r="CG57" s="23"/>
      <c r="CH57" s="45"/>
      <c r="CI57" s="25"/>
      <c r="CJ57" s="45"/>
      <c r="CK57" s="46"/>
      <c r="CL57" s="33"/>
      <c r="CM57" s="23"/>
      <c r="CN57" s="45"/>
      <c r="CO57" s="25"/>
      <c r="CP57" s="45"/>
      <c r="CQ57" s="46"/>
    </row>
    <row r="58" ht="52.5" customHeight="1">
      <c r="A58" s="46">
        <v>5.0</v>
      </c>
      <c r="B58" s="27" t="s">
        <v>312</v>
      </c>
      <c r="C58" s="26"/>
      <c r="D58" s="20"/>
      <c r="E58" s="20"/>
      <c r="F58" s="20"/>
      <c r="G58" s="23"/>
      <c r="H58" s="33"/>
      <c r="I58" s="22"/>
      <c r="J58" s="23" t="s">
        <v>87</v>
      </c>
      <c r="K58" s="40">
        <f t="shared" si="245"/>
        <v>46311.45131</v>
      </c>
      <c r="L58" s="25" t="s">
        <v>69</v>
      </c>
      <c r="M58" s="40">
        <f t="shared" si="246"/>
        <v>46311.70115</v>
      </c>
      <c r="N58" s="29"/>
      <c r="O58" s="29"/>
      <c r="P58" s="29"/>
      <c r="Q58" s="22"/>
      <c r="R58" s="23"/>
      <c r="S58" s="45"/>
      <c r="T58" s="25"/>
      <c r="U58" s="45"/>
      <c r="V58" s="47"/>
      <c r="W58" s="22"/>
      <c r="X58" s="23"/>
      <c r="Y58" s="45"/>
      <c r="Z58" s="25"/>
      <c r="AA58" s="45"/>
      <c r="AB58" s="47"/>
      <c r="AC58" s="22"/>
      <c r="AD58" s="20"/>
      <c r="AE58" s="23" t="s">
        <v>78</v>
      </c>
      <c r="AF58" s="40">
        <f t="shared" si="251"/>
        <v>46314.55458</v>
      </c>
      <c r="AG58" s="25" t="s">
        <v>187</v>
      </c>
      <c r="AH58" s="45" t="str">
        <f>if(AG58="Done", if(AH58="",NOW(),AH58),"")</f>
        <v/>
      </c>
      <c r="AI58" s="46">
        <v>0.0</v>
      </c>
      <c r="AJ58" s="33"/>
      <c r="AK58" s="22"/>
      <c r="AL58" s="23"/>
      <c r="AM58" s="45"/>
      <c r="AN58" s="25"/>
      <c r="AO58" s="45"/>
      <c r="AP58" s="29"/>
      <c r="AQ58" s="29"/>
      <c r="AR58" s="29"/>
      <c r="AS58" s="22"/>
      <c r="AT58" s="23"/>
      <c r="AU58" s="45"/>
      <c r="AV58" s="25"/>
      <c r="AW58" s="45"/>
      <c r="AX58" s="35"/>
      <c r="AY58" s="22"/>
      <c r="AZ58" s="23"/>
      <c r="BA58" s="45"/>
      <c r="BB58" s="25"/>
      <c r="BC58" s="45"/>
      <c r="BD58" s="47"/>
      <c r="BE58" s="22"/>
      <c r="BF58" s="23"/>
      <c r="BG58" s="45"/>
      <c r="BH58" s="25"/>
      <c r="BI58" s="45"/>
      <c r="BJ58" s="46"/>
      <c r="BK58" s="33"/>
      <c r="BL58" s="22"/>
      <c r="BM58" s="23"/>
      <c r="BN58" s="45"/>
      <c r="BO58" s="25"/>
      <c r="BP58" s="45"/>
      <c r="BQ58" s="29"/>
      <c r="BR58" s="29"/>
      <c r="BS58" s="29"/>
      <c r="BT58" s="22"/>
      <c r="BU58" s="23"/>
      <c r="BV58" s="45"/>
      <c r="BW58" s="25"/>
      <c r="BX58" s="45"/>
      <c r="BY58" s="47"/>
      <c r="BZ58" s="22"/>
      <c r="CA58" s="23"/>
      <c r="CB58" s="45"/>
      <c r="CC58" s="25"/>
      <c r="CD58" s="45"/>
      <c r="CE58" s="47"/>
      <c r="CF58" s="22"/>
      <c r="CG58" s="23"/>
      <c r="CH58" s="45"/>
      <c r="CI58" s="25"/>
      <c r="CJ58" s="45"/>
      <c r="CK58" s="46"/>
      <c r="CL58" s="33"/>
      <c r="CM58" s="23"/>
      <c r="CN58" s="45"/>
      <c r="CO58" s="25"/>
      <c r="CP58" s="45"/>
      <c r="CQ58" s="46"/>
    </row>
    <row r="59" ht="52.5" customHeight="1">
      <c r="A59" s="39" t="s">
        <v>150</v>
      </c>
      <c r="B59" s="83" t="s">
        <v>313</v>
      </c>
      <c r="C59" s="42"/>
      <c r="D59" s="42"/>
      <c r="E59" s="42"/>
      <c r="F59" s="42"/>
      <c r="G59" s="42"/>
      <c r="H59" s="43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 t="str">
        <f>Y59</f>
        <v/>
      </c>
      <c r="AE59" s="42"/>
      <c r="AF59" s="42"/>
      <c r="AG59" s="42"/>
      <c r="AH59" s="42"/>
      <c r="AI59" s="42"/>
      <c r="AJ59" s="43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3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3"/>
      <c r="CM59" s="48"/>
      <c r="CN59" s="49"/>
      <c r="CO59" s="50"/>
      <c r="CP59" s="49"/>
      <c r="CQ59" s="51"/>
    </row>
    <row r="60" ht="52.5" customHeight="1">
      <c r="A60" s="46">
        <v>1.0</v>
      </c>
      <c r="B60" s="27" t="s">
        <v>315</v>
      </c>
      <c r="C60" s="26"/>
      <c r="D60" s="20">
        <v>3.0</v>
      </c>
      <c r="E60" s="20">
        <v>4.0</v>
      </c>
      <c r="F60" s="20"/>
      <c r="G60" s="23"/>
      <c r="H60" s="33"/>
      <c r="I60" s="22">
        <f t="shared" ref="I60:I61" si="276">D60</f>
        <v>3</v>
      </c>
      <c r="J60" s="23" t="s">
        <v>87</v>
      </c>
      <c r="K60" s="40">
        <f t="shared" ref="K60:K61" si="277">if(J60&lt;&gt;"", if(K60="",NOW(),K60),"")</f>
        <v>46255.62294</v>
      </c>
      <c r="L60" s="25" t="s">
        <v>69</v>
      </c>
      <c r="M60" s="40">
        <f t="shared" ref="M60:M61" si="278">if(L60="Done", if(M60="",NOW(),M60),"")</f>
        <v>46260.39639</v>
      </c>
      <c r="N60" s="29"/>
      <c r="O60" s="29"/>
      <c r="P60" s="29"/>
      <c r="Q60" s="22" t="str">
        <f t="shared" ref="Q60:Q61" si="279">T60</f>
        <v/>
      </c>
      <c r="R60" s="23"/>
      <c r="S60" s="45" t="str">
        <f t="shared" ref="S60:S61" si="280">if(R60&lt;&gt;"", if(S60="",NOW(),S60),"")</f>
        <v/>
      </c>
      <c r="T60" s="25"/>
      <c r="U60" s="45" t="str">
        <f t="shared" ref="U60:U61" si="281">if(T60="Done", if(U60="",NOW(),U60),"")</f>
        <v/>
      </c>
      <c r="V60" s="47"/>
      <c r="W60" s="22"/>
      <c r="X60" s="23"/>
      <c r="Y60" s="45"/>
      <c r="Z60" s="25"/>
      <c r="AA60" s="45"/>
      <c r="AB60" s="47"/>
      <c r="AC60" s="22" t="str">
        <f t="shared" ref="AC60:AC61" si="282">AG60</f>
        <v/>
      </c>
      <c r="AD60" s="20">
        <v>1.0</v>
      </c>
      <c r="AE60" s="23"/>
      <c r="AF60" s="45" t="str">
        <f t="shared" ref="AF60:AF61" si="283">if(AE60&lt;&gt;"", if(AF60="",NOW(),AF60),"")</f>
        <v/>
      </c>
      <c r="AG60" s="25"/>
      <c r="AH60" s="45" t="str">
        <f t="shared" ref="AH60:AH61" si="284">if(AG60="Done", if(AH60="",NOW(),AH60),"")</f>
        <v/>
      </c>
      <c r="AI60" s="46">
        <v>0.0</v>
      </c>
      <c r="AJ60" s="33"/>
      <c r="AK60" s="22">
        <f t="shared" ref="AK60:AK61" si="285">E60</f>
        <v>4</v>
      </c>
      <c r="AL60" s="23" t="s">
        <v>87</v>
      </c>
      <c r="AM60" s="40">
        <f t="shared" ref="AM60:AM61" si="286">if(AL60&lt;&gt;"", if(AM60="",NOW(),AM60),"")</f>
        <v>46260.41096</v>
      </c>
      <c r="AN60" s="25" t="s">
        <v>69</v>
      </c>
      <c r="AO60" s="40">
        <f t="shared" ref="AO60:AO61" si="287">if(AN60="Done", if(AO60="",NOW(),AO60),"")</f>
        <v>46260.58843</v>
      </c>
      <c r="AP60" s="29"/>
      <c r="AQ60" s="29"/>
      <c r="AR60" s="29"/>
      <c r="AS60" s="22" t="str">
        <f t="shared" ref="AS60:AS61" si="288">AV60</f>
        <v>Revision</v>
      </c>
      <c r="AT60" s="23"/>
      <c r="AU60" s="45" t="str">
        <f t="shared" ref="AU60:AU61" si="289">if(AT60&lt;&gt;"", if(AU60="",NOW(),AU60),"")</f>
        <v/>
      </c>
      <c r="AV60" s="25" t="s">
        <v>93</v>
      </c>
      <c r="AW60" s="45" t="str">
        <f t="shared" ref="AW60:AW61" si="290">if(AV60="Done", if(AW60="",NOW(),AW60),"")</f>
        <v/>
      </c>
      <c r="AX60" s="47"/>
      <c r="AY60" s="22" t="str">
        <f t="shared" ref="AY60:AY61" si="291">BB60</f>
        <v/>
      </c>
      <c r="AZ60" s="23"/>
      <c r="BA60" s="45" t="str">
        <f t="shared" ref="BA60:BA61" si="292">if(AZ60&lt;&gt;"", if(BA60="",NOW(),BA60),"")</f>
        <v/>
      </c>
      <c r="BB60" s="25"/>
      <c r="BC60" s="45" t="str">
        <f t="shared" ref="BC60:BC61" si="293">if(BB60="Done", if(BC60="",NOW(),BC60),"")</f>
        <v/>
      </c>
      <c r="BD60" s="47"/>
      <c r="BE60" s="22" t="str">
        <f t="shared" ref="BE60:BE61" si="294">BH60</f>
        <v/>
      </c>
      <c r="BF60" s="23"/>
      <c r="BG60" s="45" t="str">
        <f t="shared" ref="BG60:BG61" si="295">if(BF60&lt;&gt;"", if(BG60="",NOW(),BG60),"")</f>
        <v/>
      </c>
      <c r="BH60" s="25"/>
      <c r="BI60" s="45" t="str">
        <f t="shared" ref="BI60:BI61" si="296">if(BH60="Done", if(BI60="",NOW(),BI60),"")</f>
        <v/>
      </c>
      <c r="BJ60" s="46">
        <v>0.0</v>
      </c>
      <c r="BK60" s="33"/>
      <c r="BL60" s="22"/>
      <c r="BM60" s="23"/>
      <c r="BN60" s="45" t="str">
        <f t="shared" ref="BN60:BN61" si="297">if(BM60&lt;&gt;"", if(BN60="",NOW(),BN60),"")</f>
        <v/>
      </c>
      <c r="BO60" s="25"/>
      <c r="BP60" s="45" t="str">
        <f t="shared" ref="BP60:BP61" si="298">if(BO60="Done", if(BP60="",NOW(),BP60),"")</f>
        <v/>
      </c>
      <c r="BQ60" s="29"/>
      <c r="BR60" s="29"/>
      <c r="BS60" s="29"/>
      <c r="BT60" s="22" t="str">
        <f t="shared" ref="BT60:BT61" si="299">BW60</f>
        <v/>
      </c>
      <c r="BU60" s="23"/>
      <c r="BV60" s="45" t="str">
        <f t="shared" ref="BV60:BV61" si="300">if(BU60&lt;&gt;"", if(BV60="",NOW(),BV60),"")</f>
        <v/>
      </c>
      <c r="BW60" s="25"/>
      <c r="BX60" s="45" t="str">
        <f t="shared" ref="BX60:BX61" si="301">if(BW60="Done", if(BX60="",NOW(),BX60),"")</f>
        <v/>
      </c>
      <c r="BY60" s="47"/>
      <c r="BZ60" s="22" t="str">
        <f t="shared" ref="BZ60:BZ61" si="302">CC60</f>
        <v/>
      </c>
      <c r="CA60" s="23"/>
      <c r="CB60" s="45" t="str">
        <f t="shared" ref="CB60:CB61" si="303">if(CA60&lt;&gt;"", if(CB60="",NOW(),CB60),"")</f>
        <v/>
      </c>
      <c r="CC60" s="25"/>
      <c r="CD60" s="45" t="str">
        <f t="shared" ref="CD60:CD61" si="304">if(CC60="Done", if(CD60="",NOW(),CD60),"")</f>
        <v/>
      </c>
      <c r="CE60" s="47"/>
      <c r="CF60" s="22" t="str">
        <f t="shared" ref="CF60:CF61" si="305">CI60</f>
        <v/>
      </c>
      <c r="CG60" s="23"/>
      <c r="CH60" s="45" t="str">
        <f t="shared" ref="CH60:CH61" si="306">if(CG60&lt;&gt;"", if(CH60="",NOW(),CH60),"")</f>
        <v/>
      </c>
      <c r="CI60" s="25"/>
      <c r="CJ60" s="45" t="str">
        <f t="shared" ref="CJ60:CJ61" si="307">if(CI60="Done", if(CJ60="",NOW(),CJ60),"")</f>
        <v/>
      </c>
      <c r="CK60" s="46">
        <v>0.0</v>
      </c>
      <c r="CL60" s="33"/>
      <c r="CM60" s="23"/>
      <c r="CN60" s="45"/>
      <c r="CO60" s="25"/>
      <c r="CP60" s="45"/>
      <c r="CQ60" s="46"/>
    </row>
    <row r="61" ht="52.5" customHeight="1">
      <c r="A61" s="46">
        <v>2.0</v>
      </c>
      <c r="B61" s="27" t="s">
        <v>318</v>
      </c>
      <c r="C61" s="26"/>
      <c r="D61" s="20">
        <v>3.0</v>
      </c>
      <c r="E61" s="20">
        <v>4.0</v>
      </c>
      <c r="F61" s="20"/>
      <c r="G61" s="23"/>
      <c r="H61" s="33"/>
      <c r="I61" s="22">
        <f t="shared" si="276"/>
        <v>3</v>
      </c>
      <c r="J61" s="23" t="s">
        <v>78</v>
      </c>
      <c r="K61" s="40">
        <f t="shared" si="277"/>
        <v>46260.47027</v>
      </c>
      <c r="L61" s="25" t="s">
        <v>69</v>
      </c>
      <c r="M61" s="40">
        <f t="shared" si="278"/>
        <v>46261.39373</v>
      </c>
      <c r="N61" s="29"/>
      <c r="O61" s="29"/>
      <c r="P61" s="29"/>
      <c r="Q61" s="22" t="str">
        <f t="shared" si="279"/>
        <v/>
      </c>
      <c r="R61" s="23"/>
      <c r="S61" s="45" t="str">
        <f t="shared" si="280"/>
        <v/>
      </c>
      <c r="T61" s="25"/>
      <c r="U61" s="45" t="str">
        <f t="shared" si="281"/>
        <v/>
      </c>
      <c r="V61" s="47"/>
      <c r="W61" s="22"/>
      <c r="X61" s="23"/>
      <c r="Y61" s="45"/>
      <c r="Z61" s="25"/>
      <c r="AA61" s="45"/>
      <c r="AB61" s="47"/>
      <c r="AC61" s="22" t="str">
        <f t="shared" si="282"/>
        <v/>
      </c>
      <c r="AD61" s="20">
        <v>1.0</v>
      </c>
      <c r="AE61" s="23"/>
      <c r="AF61" s="45" t="str">
        <f t="shared" si="283"/>
        <v/>
      </c>
      <c r="AG61" s="25"/>
      <c r="AH61" s="45" t="str">
        <f t="shared" si="284"/>
        <v/>
      </c>
      <c r="AI61" s="46">
        <v>0.0</v>
      </c>
      <c r="AJ61" s="33"/>
      <c r="AK61" s="22">
        <f t="shared" si="285"/>
        <v>4</v>
      </c>
      <c r="AL61" s="23" t="s">
        <v>78</v>
      </c>
      <c r="AM61" s="40">
        <f t="shared" si="286"/>
        <v>46281.40318</v>
      </c>
      <c r="AN61" s="25" t="s">
        <v>69</v>
      </c>
      <c r="AO61" s="40">
        <f t="shared" si="287"/>
        <v>46281.65495</v>
      </c>
      <c r="AP61" s="29"/>
      <c r="AQ61" s="29"/>
      <c r="AR61" s="29"/>
      <c r="AS61" s="22" t="str">
        <f t="shared" si="288"/>
        <v/>
      </c>
      <c r="AT61" s="23"/>
      <c r="AU61" s="45" t="str">
        <f t="shared" si="289"/>
        <v/>
      </c>
      <c r="AV61" s="25"/>
      <c r="AW61" s="45" t="str">
        <f t="shared" si="290"/>
        <v/>
      </c>
      <c r="AX61" s="47"/>
      <c r="AY61" s="22" t="str">
        <f t="shared" si="291"/>
        <v/>
      </c>
      <c r="AZ61" s="23"/>
      <c r="BA61" s="45" t="str">
        <f t="shared" si="292"/>
        <v/>
      </c>
      <c r="BB61" s="25"/>
      <c r="BC61" s="45" t="str">
        <f t="shared" si="293"/>
        <v/>
      </c>
      <c r="BD61" s="47"/>
      <c r="BE61" s="22" t="str">
        <f t="shared" si="294"/>
        <v/>
      </c>
      <c r="BF61" s="23"/>
      <c r="BG61" s="45" t="str">
        <f t="shared" si="295"/>
        <v/>
      </c>
      <c r="BH61" s="25"/>
      <c r="BI61" s="45" t="str">
        <f t="shared" si="296"/>
        <v/>
      </c>
      <c r="BJ61" s="46">
        <v>0.0</v>
      </c>
      <c r="BK61" s="33"/>
      <c r="BL61" s="22"/>
      <c r="BM61" s="23"/>
      <c r="BN61" s="45" t="str">
        <f t="shared" si="297"/>
        <v/>
      </c>
      <c r="BO61" s="25"/>
      <c r="BP61" s="45" t="str">
        <f t="shared" si="298"/>
        <v/>
      </c>
      <c r="BQ61" s="29"/>
      <c r="BR61" s="29"/>
      <c r="BS61" s="29"/>
      <c r="BT61" s="22" t="str">
        <f t="shared" si="299"/>
        <v/>
      </c>
      <c r="BU61" s="23"/>
      <c r="BV61" s="45" t="str">
        <f t="shared" si="300"/>
        <v/>
      </c>
      <c r="BW61" s="25"/>
      <c r="BX61" s="45" t="str">
        <f t="shared" si="301"/>
        <v/>
      </c>
      <c r="BY61" s="47"/>
      <c r="BZ61" s="22" t="str">
        <f t="shared" si="302"/>
        <v/>
      </c>
      <c r="CA61" s="23"/>
      <c r="CB61" s="45" t="str">
        <f t="shared" si="303"/>
        <v/>
      </c>
      <c r="CC61" s="25"/>
      <c r="CD61" s="45" t="str">
        <f t="shared" si="304"/>
        <v/>
      </c>
      <c r="CE61" s="47"/>
      <c r="CF61" s="22" t="str">
        <f t="shared" si="305"/>
        <v/>
      </c>
      <c r="CG61" s="23"/>
      <c r="CH61" s="45" t="str">
        <f t="shared" si="306"/>
        <v/>
      </c>
      <c r="CI61" s="25"/>
      <c r="CJ61" s="45" t="str">
        <f t="shared" si="307"/>
        <v/>
      </c>
      <c r="CK61" s="46">
        <v>0.0</v>
      </c>
      <c r="CL61" s="33"/>
      <c r="CM61" s="23"/>
      <c r="CN61" s="45"/>
      <c r="CO61" s="25"/>
      <c r="CP61" s="45"/>
      <c r="CQ61" s="46"/>
    </row>
    <row r="62" ht="52.5" customHeight="1">
      <c r="A62" s="39" t="s">
        <v>181</v>
      </c>
      <c r="B62" s="83" t="s">
        <v>320</v>
      </c>
      <c r="C62" s="42"/>
      <c r="D62" s="42"/>
      <c r="E62" s="42"/>
      <c r="F62" s="42"/>
      <c r="G62" s="42"/>
      <c r="H62" s="43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 t="str">
        <f>Y62</f>
        <v/>
      </c>
      <c r="AE62" s="42"/>
      <c r="AF62" s="42"/>
      <c r="AG62" s="42"/>
      <c r="AH62" s="42"/>
      <c r="AI62" s="42"/>
      <c r="AJ62" s="43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3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3"/>
      <c r="CM62" s="48"/>
      <c r="CN62" s="49"/>
      <c r="CO62" s="50"/>
      <c r="CP62" s="49"/>
      <c r="CQ62" s="51"/>
    </row>
    <row r="63" ht="52.5" customHeight="1">
      <c r="A63" s="46">
        <v>1.0</v>
      </c>
      <c r="B63" s="27" t="s">
        <v>322</v>
      </c>
      <c r="C63" s="26"/>
      <c r="D63" s="20">
        <v>3.0</v>
      </c>
      <c r="E63" s="20">
        <v>4.0</v>
      </c>
      <c r="F63" s="20"/>
      <c r="G63" s="23"/>
      <c r="H63" s="33"/>
      <c r="I63" s="22">
        <f t="shared" ref="I63:I64" si="308">D63</f>
        <v>3</v>
      </c>
      <c r="J63" s="23" t="s">
        <v>124</v>
      </c>
      <c r="K63" s="40">
        <f t="shared" ref="K63:K64" si="309">if(J63&lt;&gt;"", if(K63="",NOW(),K63),"")</f>
        <v>46281.37814</v>
      </c>
      <c r="L63" s="25" t="s">
        <v>69</v>
      </c>
      <c r="M63" s="40">
        <f t="shared" ref="M63:M64" si="310">if(L63="Done", if(M63="",NOW(),M63),"")</f>
        <v>46281.54578</v>
      </c>
      <c r="N63" s="29"/>
      <c r="O63" s="29"/>
      <c r="P63" s="29"/>
      <c r="Q63" s="22" t="str">
        <f t="shared" ref="Q63:Q64" si="311">T63</f>
        <v/>
      </c>
      <c r="R63" s="23"/>
      <c r="S63" s="45" t="str">
        <f t="shared" ref="S63:S64" si="312">if(R63&lt;&gt;"", if(S63="",NOW(),S63),"")</f>
        <v/>
      </c>
      <c r="T63" s="25"/>
      <c r="U63" s="45" t="str">
        <f t="shared" ref="U63:U64" si="313">if(T63="Done", if(U63="",NOW(),U63),"")</f>
        <v/>
      </c>
      <c r="V63" s="47"/>
      <c r="W63" s="22"/>
      <c r="X63" s="23"/>
      <c r="Y63" s="45"/>
      <c r="Z63" s="25"/>
      <c r="AA63" s="45"/>
      <c r="AB63" s="47"/>
      <c r="AC63" s="22" t="str">
        <f t="shared" ref="AC63:AC64" si="314">AG63</f>
        <v/>
      </c>
      <c r="AD63" s="20">
        <v>1.0</v>
      </c>
      <c r="AE63" s="23"/>
      <c r="AF63" s="45" t="str">
        <f t="shared" ref="AF63:AF64" si="315">if(AE63&lt;&gt;"", if(AF63="",NOW(),AF63),"")</f>
        <v/>
      </c>
      <c r="AG63" s="25"/>
      <c r="AH63" s="45" t="str">
        <f t="shared" ref="AH63:AH64" si="316">if(AG63="Done", if(AH63="",NOW(),AH63),"")</f>
        <v/>
      </c>
      <c r="AI63" s="46">
        <v>0.0</v>
      </c>
      <c r="AJ63" s="33"/>
      <c r="AK63" s="22">
        <f t="shared" ref="AK63:AK64" si="317">E63</f>
        <v>4</v>
      </c>
      <c r="AL63" s="23" t="s">
        <v>67</v>
      </c>
      <c r="AM63" s="40">
        <f t="shared" ref="AM63:AM64" si="318">if(AL63&lt;&gt;"", if(AM63="",NOW(),AM63),"")</f>
        <v>46282.42949</v>
      </c>
      <c r="AN63" s="25" t="s">
        <v>69</v>
      </c>
      <c r="AO63" s="40">
        <f t="shared" ref="AO63:AO64" si="319">if(AN63="Done", if(AO63="",NOW(),AO63),"")</f>
        <v>46286.46883</v>
      </c>
      <c r="AP63" s="29"/>
      <c r="AQ63" s="29"/>
      <c r="AR63" s="29"/>
      <c r="AS63" s="22" t="str">
        <f t="shared" ref="AS63:AS64" si="320">AV63</f>
        <v/>
      </c>
      <c r="AT63" s="23"/>
      <c r="AU63" s="45" t="str">
        <f t="shared" ref="AU63:AU64" si="321">if(AT63&lt;&gt;"", if(AU63="",NOW(),AU63),"")</f>
        <v/>
      </c>
      <c r="AV63" s="25"/>
      <c r="AW63" s="45" t="str">
        <f t="shared" ref="AW63:AW64" si="322">if(AV63="Done", if(AW63="",NOW(),AW63),"")</f>
        <v/>
      </c>
      <c r="AX63" s="47"/>
      <c r="AY63" s="22" t="str">
        <f t="shared" ref="AY63:AY64" si="323">BB63</f>
        <v/>
      </c>
      <c r="AZ63" s="23"/>
      <c r="BA63" s="45" t="str">
        <f t="shared" ref="BA63:BA64" si="324">if(AZ63&lt;&gt;"", if(BA63="",NOW(),BA63),"")</f>
        <v/>
      </c>
      <c r="BB63" s="25"/>
      <c r="BC63" s="45" t="str">
        <f t="shared" ref="BC63:BC64" si="325">if(BB63="Done", if(BC63="",NOW(),BC63),"")</f>
        <v/>
      </c>
      <c r="BD63" s="47"/>
      <c r="BE63" s="22" t="str">
        <f t="shared" ref="BE63:BE64" si="326">BH63</f>
        <v/>
      </c>
      <c r="BF63" s="23"/>
      <c r="BG63" s="45" t="str">
        <f t="shared" ref="BG63:BG64" si="327">if(BF63&lt;&gt;"", if(BG63="",NOW(),BG63),"")</f>
        <v/>
      </c>
      <c r="BH63" s="25"/>
      <c r="BI63" s="45" t="str">
        <f t="shared" ref="BI63:BI64" si="328">if(BH63="Done", if(BI63="",NOW(),BI63),"")</f>
        <v/>
      </c>
      <c r="BJ63" s="46">
        <v>0.0</v>
      </c>
      <c r="BK63" s="33"/>
      <c r="BL63" s="22"/>
      <c r="BM63" s="23"/>
      <c r="BN63" s="45" t="str">
        <f t="shared" ref="BN63:BN64" si="329">if(BM63&lt;&gt;"", if(BN63="",NOW(),BN63),"")</f>
        <v/>
      </c>
      <c r="BO63" s="25"/>
      <c r="BP63" s="45" t="str">
        <f t="shared" ref="BP63:BP64" si="330">if(BO63="Done", if(BP63="",NOW(),BP63),"")</f>
        <v/>
      </c>
      <c r="BQ63" s="29"/>
      <c r="BR63" s="29"/>
      <c r="BS63" s="29"/>
      <c r="BT63" s="22" t="str">
        <f t="shared" ref="BT63:BT64" si="331">BW63</f>
        <v/>
      </c>
      <c r="BU63" s="23"/>
      <c r="BV63" s="45" t="str">
        <f t="shared" ref="BV63:BV64" si="332">if(BU63&lt;&gt;"", if(BV63="",NOW(),BV63),"")</f>
        <v/>
      </c>
      <c r="BW63" s="25"/>
      <c r="BX63" s="45" t="str">
        <f t="shared" ref="BX63:BX64" si="333">if(BW63="Done", if(BX63="",NOW(),BX63),"")</f>
        <v/>
      </c>
      <c r="BY63" s="47"/>
      <c r="BZ63" s="22" t="str">
        <f t="shared" ref="BZ63:BZ64" si="334">CC63</f>
        <v/>
      </c>
      <c r="CA63" s="23"/>
      <c r="CB63" s="45" t="str">
        <f t="shared" ref="CB63:CB64" si="335">if(CA63&lt;&gt;"", if(CB63="",NOW(),CB63),"")</f>
        <v/>
      </c>
      <c r="CC63" s="25"/>
      <c r="CD63" s="45" t="str">
        <f t="shared" ref="CD63:CD64" si="336">if(CC63="Done", if(CD63="",NOW(),CD63),"")</f>
        <v/>
      </c>
      <c r="CE63" s="47"/>
      <c r="CF63" s="22" t="str">
        <f t="shared" ref="CF63:CF64" si="337">CI63</f>
        <v/>
      </c>
      <c r="CG63" s="23"/>
      <c r="CH63" s="45" t="str">
        <f t="shared" ref="CH63:CH64" si="338">if(CG63&lt;&gt;"", if(CH63="",NOW(),CH63),"")</f>
        <v/>
      </c>
      <c r="CI63" s="25"/>
      <c r="CJ63" s="45" t="str">
        <f t="shared" ref="CJ63:CJ64" si="339">if(CI63="Done", if(CJ63="",NOW(),CJ63),"")</f>
        <v/>
      </c>
      <c r="CK63" s="46">
        <v>0.0</v>
      </c>
      <c r="CL63" s="33"/>
      <c r="CM63" s="23"/>
      <c r="CN63" s="45"/>
      <c r="CO63" s="25"/>
      <c r="CP63" s="45"/>
      <c r="CQ63" s="46"/>
    </row>
    <row r="64" ht="52.5" customHeight="1">
      <c r="A64" s="46">
        <v>2.0</v>
      </c>
      <c r="B64" s="27" t="s">
        <v>325</v>
      </c>
      <c r="C64" s="26"/>
      <c r="D64" s="20">
        <v>3.0</v>
      </c>
      <c r="E64" s="20">
        <v>4.0</v>
      </c>
      <c r="F64" s="20"/>
      <c r="G64" s="23"/>
      <c r="H64" s="33"/>
      <c r="I64" s="22">
        <f t="shared" si="308"/>
        <v>3</v>
      </c>
      <c r="J64" s="23" t="s">
        <v>87</v>
      </c>
      <c r="K64" s="40">
        <f t="shared" si="309"/>
        <v>46260.58957</v>
      </c>
      <c r="L64" s="25" t="s">
        <v>69</v>
      </c>
      <c r="M64" s="40">
        <f t="shared" si="310"/>
        <v>46261.38853</v>
      </c>
      <c r="N64" s="29"/>
      <c r="O64" s="29"/>
      <c r="P64" s="29"/>
      <c r="Q64" s="22" t="str">
        <f t="shared" si="311"/>
        <v>Revision</v>
      </c>
      <c r="R64" s="23"/>
      <c r="S64" s="45" t="str">
        <f t="shared" si="312"/>
        <v/>
      </c>
      <c r="T64" s="25" t="s">
        <v>93</v>
      </c>
      <c r="U64" s="45" t="str">
        <f t="shared" si="313"/>
        <v/>
      </c>
      <c r="V64" s="47"/>
      <c r="W64" s="22"/>
      <c r="X64" s="23"/>
      <c r="Y64" s="45"/>
      <c r="Z64" s="25"/>
      <c r="AA64" s="45"/>
      <c r="AB64" s="47"/>
      <c r="AC64" s="22" t="str">
        <f t="shared" si="314"/>
        <v/>
      </c>
      <c r="AD64" s="20">
        <v>1.0</v>
      </c>
      <c r="AE64" s="23"/>
      <c r="AF64" s="45" t="str">
        <f t="shared" si="315"/>
        <v/>
      </c>
      <c r="AG64" s="25"/>
      <c r="AH64" s="45" t="str">
        <f t="shared" si="316"/>
        <v/>
      </c>
      <c r="AI64" s="46">
        <v>0.0</v>
      </c>
      <c r="AJ64" s="33"/>
      <c r="AK64" s="22">
        <f t="shared" si="317"/>
        <v>4</v>
      </c>
      <c r="AL64" s="23" t="s">
        <v>87</v>
      </c>
      <c r="AM64" s="40">
        <f t="shared" si="318"/>
        <v>46282.39519</v>
      </c>
      <c r="AN64" s="25" t="s">
        <v>69</v>
      </c>
      <c r="AO64" s="40">
        <f t="shared" si="319"/>
        <v>46283.626</v>
      </c>
      <c r="AP64" s="29"/>
      <c r="AQ64" s="29"/>
      <c r="AR64" s="29"/>
      <c r="AS64" s="22" t="str">
        <f t="shared" si="320"/>
        <v/>
      </c>
      <c r="AT64" s="23"/>
      <c r="AU64" s="45" t="str">
        <f t="shared" si="321"/>
        <v/>
      </c>
      <c r="AV64" s="25"/>
      <c r="AW64" s="45" t="str">
        <f t="shared" si="322"/>
        <v/>
      </c>
      <c r="AX64" s="47"/>
      <c r="AY64" s="22" t="str">
        <f t="shared" si="323"/>
        <v/>
      </c>
      <c r="AZ64" s="23"/>
      <c r="BA64" s="45" t="str">
        <f t="shared" si="324"/>
        <v/>
      </c>
      <c r="BB64" s="25"/>
      <c r="BC64" s="45" t="str">
        <f t="shared" si="325"/>
        <v/>
      </c>
      <c r="BD64" s="47"/>
      <c r="BE64" s="22" t="str">
        <f t="shared" si="326"/>
        <v/>
      </c>
      <c r="BF64" s="23"/>
      <c r="BG64" s="45" t="str">
        <f t="shared" si="327"/>
        <v/>
      </c>
      <c r="BH64" s="25"/>
      <c r="BI64" s="45" t="str">
        <f t="shared" si="328"/>
        <v/>
      </c>
      <c r="BJ64" s="46">
        <v>0.0</v>
      </c>
      <c r="BK64" s="33"/>
      <c r="BL64" s="22"/>
      <c r="BM64" s="23"/>
      <c r="BN64" s="45" t="str">
        <f t="shared" si="329"/>
        <v/>
      </c>
      <c r="BO64" s="25"/>
      <c r="BP64" s="45" t="str">
        <f t="shared" si="330"/>
        <v/>
      </c>
      <c r="BQ64" s="29"/>
      <c r="BR64" s="29"/>
      <c r="BS64" s="29"/>
      <c r="BT64" s="22" t="str">
        <f t="shared" si="331"/>
        <v/>
      </c>
      <c r="BU64" s="23"/>
      <c r="BV64" s="45" t="str">
        <f t="shared" si="332"/>
        <v/>
      </c>
      <c r="BW64" s="25"/>
      <c r="BX64" s="45" t="str">
        <f t="shared" si="333"/>
        <v/>
      </c>
      <c r="BY64" s="47"/>
      <c r="BZ64" s="22" t="str">
        <f t="shared" si="334"/>
        <v/>
      </c>
      <c r="CA64" s="23"/>
      <c r="CB64" s="45" t="str">
        <f t="shared" si="335"/>
        <v/>
      </c>
      <c r="CC64" s="25"/>
      <c r="CD64" s="45" t="str">
        <f t="shared" si="336"/>
        <v/>
      </c>
      <c r="CE64" s="47"/>
      <c r="CF64" s="22" t="str">
        <f t="shared" si="337"/>
        <v/>
      </c>
      <c r="CG64" s="23"/>
      <c r="CH64" s="45" t="str">
        <f t="shared" si="338"/>
        <v/>
      </c>
      <c r="CI64" s="25"/>
      <c r="CJ64" s="45" t="str">
        <f t="shared" si="339"/>
        <v/>
      </c>
      <c r="CK64" s="46">
        <v>0.0</v>
      </c>
      <c r="CL64" s="33"/>
      <c r="CM64" s="23"/>
      <c r="CN64" s="45"/>
      <c r="CO64" s="25"/>
      <c r="CP64" s="45"/>
      <c r="CQ64" s="46"/>
    </row>
    <row r="65" ht="52.5" customHeight="1">
      <c r="A65" s="39" t="s">
        <v>191</v>
      </c>
      <c r="B65" s="83" t="s">
        <v>328</v>
      </c>
      <c r="C65" s="42"/>
      <c r="D65" s="42"/>
      <c r="E65" s="42"/>
      <c r="F65" s="42"/>
      <c r="G65" s="42"/>
      <c r="H65" s="43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 t="str">
        <f>Y65</f>
        <v/>
      </c>
      <c r="AE65" s="42"/>
      <c r="AF65" s="42"/>
      <c r="AG65" s="42"/>
      <c r="AH65" s="42"/>
      <c r="AI65" s="42"/>
      <c r="AJ65" s="43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3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3"/>
      <c r="CM65" s="48"/>
      <c r="CN65" s="49"/>
      <c r="CO65" s="50"/>
      <c r="CP65" s="49"/>
      <c r="CQ65" s="51"/>
    </row>
    <row r="66" ht="52.5" customHeight="1">
      <c r="A66" s="46">
        <v>1.0</v>
      </c>
      <c r="B66" s="27" t="s">
        <v>330</v>
      </c>
      <c r="C66" s="26"/>
      <c r="D66" s="20"/>
      <c r="E66" s="20"/>
      <c r="F66" s="20"/>
      <c r="G66" s="23"/>
      <c r="H66" s="33"/>
      <c r="I66" s="22"/>
      <c r="J66" s="23" t="s">
        <v>67</v>
      </c>
      <c r="K66" s="40">
        <f t="shared" ref="K66:K69" si="340">if(J66&lt;&gt;"", if(K66="",NOW(),K66),"")</f>
        <v>46309.47879</v>
      </c>
      <c r="L66" s="25" t="s">
        <v>69</v>
      </c>
      <c r="M66" s="40">
        <f t="shared" ref="M66:M69" si="341">if(L66="Done", if(M66="",NOW(),M66),"")</f>
        <v>46310.44218</v>
      </c>
      <c r="N66" s="29"/>
      <c r="O66" s="29"/>
      <c r="P66" s="29"/>
      <c r="Q66" s="22"/>
      <c r="R66" s="23"/>
      <c r="S66" s="45"/>
      <c r="T66" s="25"/>
      <c r="U66" s="45"/>
      <c r="V66" s="47"/>
      <c r="W66" s="22"/>
      <c r="X66" s="23"/>
      <c r="Y66" s="45"/>
      <c r="Z66" s="25"/>
      <c r="AA66" s="45"/>
      <c r="AB66" s="47"/>
      <c r="AC66" s="22"/>
      <c r="AD66" s="20"/>
      <c r="AE66" s="23"/>
      <c r="AF66" s="45" t="str">
        <f t="shared" ref="AF66:AF69" si="342">if(AE66&lt;&gt;"", if(AF66="",NOW(),AF66),"")</f>
        <v/>
      </c>
      <c r="AG66" s="25"/>
      <c r="AH66" s="45" t="str">
        <f t="shared" ref="AH66:AH69" si="343">if(AG66="Done", if(AH66="",NOW(),AH66),"")</f>
        <v/>
      </c>
      <c r="AI66" s="46">
        <v>0.0</v>
      </c>
      <c r="AJ66" s="33"/>
      <c r="AK66" s="22"/>
      <c r="AL66" s="23"/>
      <c r="AM66" s="45"/>
      <c r="AN66" s="25"/>
      <c r="AO66" s="45"/>
      <c r="AP66" s="29"/>
      <c r="AQ66" s="29"/>
      <c r="AR66" s="29"/>
      <c r="AS66" s="22"/>
      <c r="AT66" s="23"/>
      <c r="AU66" s="45"/>
      <c r="AV66" s="25"/>
      <c r="AW66" s="45"/>
      <c r="AX66" s="35"/>
      <c r="AY66" s="22"/>
      <c r="AZ66" s="23"/>
      <c r="BA66" s="45"/>
      <c r="BB66" s="25"/>
      <c r="BC66" s="45"/>
      <c r="BD66" s="47"/>
      <c r="BE66" s="22"/>
      <c r="BF66" s="23"/>
      <c r="BG66" s="45"/>
      <c r="BH66" s="25"/>
      <c r="BI66" s="45"/>
      <c r="BJ66" s="46"/>
      <c r="BK66" s="33"/>
      <c r="BL66" s="22"/>
      <c r="BM66" s="23"/>
      <c r="BN66" s="45"/>
      <c r="BO66" s="25"/>
      <c r="BP66" s="45"/>
      <c r="BQ66" s="29"/>
      <c r="BR66" s="29"/>
      <c r="BS66" s="29"/>
      <c r="BT66" s="22"/>
      <c r="BU66" s="23"/>
      <c r="BV66" s="45"/>
      <c r="BW66" s="25"/>
      <c r="BX66" s="45"/>
      <c r="BY66" s="47"/>
      <c r="BZ66" s="22"/>
      <c r="CA66" s="23"/>
      <c r="CB66" s="45"/>
      <c r="CC66" s="25"/>
      <c r="CD66" s="45"/>
      <c r="CE66" s="47"/>
      <c r="CF66" s="22"/>
      <c r="CG66" s="23"/>
      <c r="CH66" s="45"/>
      <c r="CI66" s="25"/>
      <c r="CJ66" s="45"/>
      <c r="CK66" s="46"/>
      <c r="CL66" s="33"/>
      <c r="CM66" s="23"/>
      <c r="CN66" s="45"/>
      <c r="CO66" s="25"/>
      <c r="CP66" s="45"/>
      <c r="CQ66" s="46"/>
    </row>
    <row r="67" ht="52.5" customHeight="1">
      <c r="A67" s="46">
        <v>2.0</v>
      </c>
      <c r="B67" s="27" t="s">
        <v>332</v>
      </c>
      <c r="C67" s="26"/>
      <c r="D67" s="20"/>
      <c r="E67" s="20"/>
      <c r="F67" s="20"/>
      <c r="G67" s="23"/>
      <c r="H67" s="33"/>
      <c r="I67" s="22"/>
      <c r="J67" s="23"/>
      <c r="K67" s="45" t="str">
        <f t="shared" si="340"/>
        <v/>
      </c>
      <c r="L67" s="25"/>
      <c r="M67" s="45" t="str">
        <f t="shared" si="341"/>
        <v/>
      </c>
      <c r="N67" s="29"/>
      <c r="O67" s="29"/>
      <c r="P67" s="29"/>
      <c r="Q67" s="22"/>
      <c r="R67" s="23"/>
      <c r="S67" s="45"/>
      <c r="T67" s="25"/>
      <c r="U67" s="45"/>
      <c r="V67" s="47"/>
      <c r="W67" s="22"/>
      <c r="X67" s="23"/>
      <c r="Y67" s="45"/>
      <c r="Z67" s="25"/>
      <c r="AA67" s="45"/>
      <c r="AB67" s="47"/>
      <c r="AC67" s="22"/>
      <c r="AD67" s="20"/>
      <c r="AE67" s="23"/>
      <c r="AF67" s="45" t="str">
        <f t="shared" si="342"/>
        <v/>
      </c>
      <c r="AG67" s="25"/>
      <c r="AH67" s="45" t="str">
        <f t="shared" si="343"/>
        <v/>
      </c>
      <c r="AI67" s="46">
        <v>0.0</v>
      </c>
      <c r="AJ67" s="33"/>
      <c r="AK67" s="22"/>
      <c r="AL67" s="23"/>
      <c r="AM67" s="45"/>
      <c r="AN67" s="25"/>
      <c r="AO67" s="45"/>
      <c r="AP67" s="29"/>
      <c r="AQ67" s="29"/>
      <c r="AR67" s="29"/>
      <c r="AS67" s="22"/>
      <c r="AT67" s="23"/>
      <c r="AU67" s="45"/>
      <c r="AV67" s="25"/>
      <c r="AW67" s="45"/>
      <c r="AX67" s="35"/>
      <c r="AY67" s="22"/>
      <c r="AZ67" s="23"/>
      <c r="BA67" s="45"/>
      <c r="BB67" s="25"/>
      <c r="BC67" s="45"/>
      <c r="BD67" s="47"/>
      <c r="BE67" s="22"/>
      <c r="BF67" s="23"/>
      <c r="BG67" s="45"/>
      <c r="BH67" s="25"/>
      <c r="BI67" s="45"/>
      <c r="BJ67" s="46"/>
      <c r="BK67" s="33"/>
      <c r="BL67" s="22"/>
      <c r="BM67" s="23"/>
      <c r="BN67" s="45"/>
      <c r="BO67" s="25"/>
      <c r="BP67" s="45"/>
      <c r="BQ67" s="29"/>
      <c r="BR67" s="29"/>
      <c r="BS67" s="29"/>
      <c r="BT67" s="22"/>
      <c r="BU67" s="23"/>
      <c r="BV67" s="45"/>
      <c r="BW67" s="25"/>
      <c r="BX67" s="45"/>
      <c r="BY67" s="47"/>
      <c r="BZ67" s="22"/>
      <c r="CA67" s="23"/>
      <c r="CB67" s="45"/>
      <c r="CC67" s="25"/>
      <c r="CD67" s="45"/>
      <c r="CE67" s="47"/>
      <c r="CF67" s="22"/>
      <c r="CG67" s="23"/>
      <c r="CH67" s="45"/>
      <c r="CI67" s="25"/>
      <c r="CJ67" s="45"/>
      <c r="CK67" s="46"/>
      <c r="CL67" s="33"/>
      <c r="CM67" s="23"/>
      <c r="CN67" s="45"/>
      <c r="CO67" s="25"/>
      <c r="CP67" s="45"/>
      <c r="CQ67" s="46"/>
    </row>
    <row r="68" ht="52.5" customHeight="1">
      <c r="A68" s="46">
        <v>3.0</v>
      </c>
      <c r="B68" s="27" t="s">
        <v>334</v>
      </c>
      <c r="C68" s="26"/>
      <c r="D68" s="20">
        <v>3.0</v>
      </c>
      <c r="E68" s="20">
        <v>4.0</v>
      </c>
      <c r="F68" s="20"/>
      <c r="G68" s="23"/>
      <c r="H68" s="33"/>
      <c r="I68" s="22">
        <f t="shared" ref="I68:I69" si="344">D68</f>
        <v>3</v>
      </c>
      <c r="J68" s="23" t="s">
        <v>124</v>
      </c>
      <c r="K68" s="40">
        <f t="shared" si="340"/>
        <v>46260.38013</v>
      </c>
      <c r="L68" s="25" t="s">
        <v>69</v>
      </c>
      <c r="M68" s="40">
        <f t="shared" si="341"/>
        <v>46260.69512</v>
      </c>
      <c r="N68" s="29"/>
      <c r="O68" s="29"/>
      <c r="P68" s="29"/>
      <c r="Q68" s="22" t="str">
        <f t="shared" ref="Q68:Q69" si="345">T68</f>
        <v/>
      </c>
      <c r="R68" s="23"/>
      <c r="S68" s="45" t="str">
        <f t="shared" ref="S68:S69" si="346">if(R68&lt;&gt;"", if(S68="",NOW(),S68),"")</f>
        <v/>
      </c>
      <c r="T68" s="25"/>
      <c r="U68" s="45" t="str">
        <f t="shared" ref="U68:U69" si="347">if(T68="Done", if(U68="",NOW(),U68),"")</f>
        <v/>
      </c>
      <c r="V68" s="47"/>
      <c r="W68" s="22"/>
      <c r="X68" s="23"/>
      <c r="Y68" s="45"/>
      <c r="Z68" s="25"/>
      <c r="AA68" s="45"/>
      <c r="AB68" s="47"/>
      <c r="AC68" s="22" t="str">
        <f t="shared" ref="AC68:AC69" si="348">AG68</f>
        <v/>
      </c>
      <c r="AD68" s="20">
        <v>1.0</v>
      </c>
      <c r="AE68" s="23"/>
      <c r="AF68" s="45" t="str">
        <f t="shared" si="342"/>
        <v/>
      </c>
      <c r="AG68" s="25"/>
      <c r="AH68" s="45" t="str">
        <f t="shared" si="343"/>
        <v/>
      </c>
      <c r="AI68" s="46">
        <v>0.0</v>
      </c>
      <c r="AJ68" s="33"/>
      <c r="AK68" s="22">
        <f t="shared" ref="AK68:AK69" si="349">E68</f>
        <v>4</v>
      </c>
      <c r="AL68" s="23" t="s">
        <v>124</v>
      </c>
      <c r="AM68" s="40">
        <f t="shared" ref="AM68:AM69" si="350">if(AL68&lt;&gt;"", if(AM68="",NOW(),AM68),"")</f>
        <v>46260.56531</v>
      </c>
      <c r="AN68" s="25" t="s">
        <v>69</v>
      </c>
      <c r="AO68" s="40">
        <f t="shared" ref="AO68:AO69" si="351">if(AN68="Done", if(AO68="",NOW(),AO68),"")</f>
        <v>46261.41389</v>
      </c>
      <c r="AP68" s="29"/>
      <c r="AQ68" s="29"/>
      <c r="AR68" s="29"/>
      <c r="AS68" s="22" t="str">
        <f t="shared" ref="AS68:AS69" si="352">AV68</f>
        <v>Done</v>
      </c>
      <c r="AT68" s="23" t="s">
        <v>124</v>
      </c>
      <c r="AU68" s="40">
        <f t="shared" ref="AU68:AU69" si="353">if(AT68&lt;&gt;"", if(AU68="",NOW(),AU68),"")</f>
        <v>46286.39952</v>
      </c>
      <c r="AV68" s="25" t="s">
        <v>69</v>
      </c>
      <c r="AW68" s="40">
        <f t="shared" ref="AW68:AW69" si="354">if(AV68="Done", if(AW68="",NOW(),AW68),"")</f>
        <v>46286.42901</v>
      </c>
      <c r="AX68" s="35">
        <v>0.2</v>
      </c>
      <c r="AY68" s="22" t="str">
        <f t="shared" ref="AY68:AY69" si="355">BB68</f>
        <v/>
      </c>
      <c r="AZ68" s="23"/>
      <c r="BA68" s="45" t="str">
        <f t="shared" ref="BA68:BA69" si="356">if(AZ68&lt;&gt;"", if(BA68="",NOW(),BA68),"")</f>
        <v/>
      </c>
      <c r="BB68" s="25"/>
      <c r="BC68" s="45" t="str">
        <f t="shared" ref="BC68:BC69" si="357">if(BB68="Done", if(BC68="",NOW(),BC68),"")</f>
        <v/>
      </c>
      <c r="BD68" s="47"/>
      <c r="BE68" s="22" t="str">
        <f t="shared" ref="BE68:BE69" si="358">BH68</f>
        <v/>
      </c>
      <c r="BF68" s="23"/>
      <c r="BG68" s="45" t="str">
        <f t="shared" ref="BG68:BG69" si="359">if(BF68&lt;&gt;"", if(BG68="",NOW(),BG68),"")</f>
        <v/>
      </c>
      <c r="BH68" s="25"/>
      <c r="BI68" s="45" t="str">
        <f t="shared" ref="BI68:BI69" si="360">if(BH68="Done", if(BI68="",NOW(),BI68),"")</f>
        <v/>
      </c>
      <c r="BJ68" s="46">
        <v>0.0</v>
      </c>
      <c r="BK68" s="33"/>
      <c r="BL68" s="22"/>
      <c r="BM68" s="23"/>
      <c r="BN68" s="45" t="str">
        <f t="shared" ref="BN68:BN69" si="361">if(BM68&lt;&gt;"", if(BN68="",NOW(),BN68),"")</f>
        <v/>
      </c>
      <c r="BO68" s="25"/>
      <c r="BP68" s="45" t="str">
        <f t="shared" ref="BP68:BP69" si="362">if(BO68="Done", if(BP68="",NOW(),BP68),"")</f>
        <v/>
      </c>
      <c r="BQ68" s="29"/>
      <c r="BR68" s="29"/>
      <c r="BS68" s="29"/>
      <c r="BT68" s="22" t="str">
        <f t="shared" ref="BT68:BT69" si="363">BW68</f>
        <v/>
      </c>
      <c r="BU68" s="23"/>
      <c r="BV68" s="45" t="str">
        <f t="shared" ref="BV68:BV69" si="364">if(BU68&lt;&gt;"", if(BV68="",NOW(),BV68),"")</f>
        <v/>
      </c>
      <c r="BW68" s="25"/>
      <c r="BX68" s="45" t="str">
        <f t="shared" ref="BX68:BX69" si="365">if(BW68="Done", if(BX68="",NOW(),BX68),"")</f>
        <v/>
      </c>
      <c r="BY68" s="47"/>
      <c r="BZ68" s="22" t="str">
        <f t="shared" ref="BZ68:BZ69" si="366">CC68</f>
        <v/>
      </c>
      <c r="CA68" s="23"/>
      <c r="CB68" s="45" t="str">
        <f t="shared" ref="CB68:CB69" si="367">if(CA68&lt;&gt;"", if(CB68="",NOW(),CB68),"")</f>
        <v/>
      </c>
      <c r="CC68" s="25"/>
      <c r="CD68" s="45" t="str">
        <f t="shared" ref="CD68:CD69" si="368">if(CC68="Done", if(CD68="",NOW(),CD68),"")</f>
        <v/>
      </c>
      <c r="CE68" s="47"/>
      <c r="CF68" s="22" t="str">
        <f t="shared" ref="CF68:CF69" si="369">CI68</f>
        <v/>
      </c>
      <c r="CG68" s="23"/>
      <c r="CH68" s="45" t="str">
        <f t="shared" ref="CH68:CH69" si="370">if(CG68&lt;&gt;"", if(CH68="",NOW(),CH68),"")</f>
        <v/>
      </c>
      <c r="CI68" s="25"/>
      <c r="CJ68" s="45" t="str">
        <f t="shared" ref="CJ68:CJ69" si="371">if(CI68="Done", if(CJ68="",NOW(),CJ68),"")</f>
        <v/>
      </c>
      <c r="CK68" s="46">
        <v>0.0</v>
      </c>
      <c r="CL68" s="33"/>
      <c r="CM68" s="23"/>
      <c r="CN68" s="45"/>
      <c r="CO68" s="25"/>
      <c r="CP68" s="45"/>
      <c r="CQ68" s="46"/>
    </row>
    <row r="69" ht="52.5" customHeight="1">
      <c r="A69" s="46">
        <v>4.0</v>
      </c>
      <c r="B69" s="27" t="s">
        <v>350</v>
      </c>
      <c r="C69" s="26"/>
      <c r="D69" s="20">
        <v>3.0</v>
      </c>
      <c r="E69" s="20">
        <v>4.0</v>
      </c>
      <c r="F69" s="20"/>
      <c r="G69" s="23"/>
      <c r="H69" s="33"/>
      <c r="I69" s="22">
        <f t="shared" si="344"/>
        <v>3</v>
      </c>
      <c r="J69" s="23" t="s">
        <v>124</v>
      </c>
      <c r="K69" s="40">
        <f t="shared" si="340"/>
        <v>46280.45298</v>
      </c>
      <c r="L69" s="25" t="s">
        <v>69</v>
      </c>
      <c r="M69" s="40">
        <f t="shared" si="341"/>
        <v>46280.73619</v>
      </c>
      <c r="N69" s="29"/>
      <c r="O69" s="29"/>
      <c r="P69" s="29"/>
      <c r="Q69" s="22" t="str">
        <f t="shared" si="345"/>
        <v/>
      </c>
      <c r="R69" s="23"/>
      <c r="S69" s="45" t="str">
        <f t="shared" si="346"/>
        <v/>
      </c>
      <c r="T69" s="25"/>
      <c r="U69" s="45" t="str">
        <f t="shared" si="347"/>
        <v/>
      </c>
      <c r="V69" s="47"/>
      <c r="W69" s="22"/>
      <c r="X69" s="23"/>
      <c r="Y69" s="45"/>
      <c r="Z69" s="25"/>
      <c r="AA69" s="45"/>
      <c r="AB69" s="47"/>
      <c r="AC69" s="22" t="str">
        <f t="shared" si="348"/>
        <v/>
      </c>
      <c r="AD69" s="20">
        <v>1.0</v>
      </c>
      <c r="AE69" s="23"/>
      <c r="AF69" s="45" t="str">
        <f t="shared" si="342"/>
        <v/>
      </c>
      <c r="AG69" s="25"/>
      <c r="AH69" s="45" t="str">
        <f t="shared" si="343"/>
        <v/>
      </c>
      <c r="AI69" s="46">
        <v>0.0</v>
      </c>
      <c r="AJ69" s="33"/>
      <c r="AK69" s="22">
        <f t="shared" si="349"/>
        <v>4</v>
      </c>
      <c r="AL69" s="23" t="s">
        <v>124</v>
      </c>
      <c r="AM69" s="40">
        <f t="shared" si="350"/>
        <v>46283.39384</v>
      </c>
      <c r="AN69" s="25" t="s">
        <v>69</v>
      </c>
      <c r="AO69" s="40">
        <f t="shared" si="351"/>
        <v>46283.70313</v>
      </c>
      <c r="AP69" s="29"/>
      <c r="AQ69" s="29"/>
      <c r="AR69" s="29"/>
      <c r="AS69" s="22" t="str">
        <f t="shared" si="352"/>
        <v/>
      </c>
      <c r="AT69" s="23"/>
      <c r="AU69" s="45" t="str">
        <f t="shared" si="353"/>
        <v/>
      </c>
      <c r="AV69" s="25"/>
      <c r="AW69" s="45" t="str">
        <f t="shared" si="354"/>
        <v/>
      </c>
      <c r="AX69" s="47"/>
      <c r="AY69" s="22" t="str">
        <f t="shared" si="355"/>
        <v/>
      </c>
      <c r="AZ69" s="23"/>
      <c r="BA69" s="45" t="str">
        <f t="shared" si="356"/>
        <v/>
      </c>
      <c r="BB69" s="25"/>
      <c r="BC69" s="45" t="str">
        <f t="shared" si="357"/>
        <v/>
      </c>
      <c r="BD69" s="47"/>
      <c r="BE69" s="22" t="str">
        <f t="shared" si="358"/>
        <v/>
      </c>
      <c r="BF69" s="23"/>
      <c r="BG69" s="45" t="str">
        <f t="shared" si="359"/>
        <v/>
      </c>
      <c r="BH69" s="25"/>
      <c r="BI69" s="45" t="str">
        <f t="shared" si="360"/>
        <v/>
      </c>
      <c r="BJ69" s="46">
        <v>0.0</v>
      </c>
      <c r="BK69" s="33"/>
      <c r="BL69" s="22"/>
      <c r="BM69" s="23"/>
      <c r="BN69" s="45" t="str">
        <f t="shared" si="361"/>
        <v/>
      </c>
      <c r="BO69" s="25"/>
      <c r="BP69" s="45" t="str">
        <f t="shared" si="362"/>
        <v/>
      </c>
      <c r="BQ69" s="29"/>
      <c r="BR69" s="29"/>
      <c r="BS69" s="29"/>
      <c r="BT69" s="22" t="str">
        <f t="shared" si="363"/>
        <v/>
      </c>
      <c r="BU69" s="23"/>
      <c r="BV69" s="45" t="str">
        <f t="shared" si="364"/>
        <v/>
      </c>
      <c r="BW69" s="25"/>
      <c r="BX69" s="45" t="str">
        <f t="shared" si="365"/>
        <v/>
      </c>
      <c r="BY69" s="47"/>
      <c r="BZ69" s="22" t="str">
        <f t="shared" si="366"/>
        <v/>
      </c>
      <c r="CA69" s="23"/>
      <c r="CB69" s="45" t="str">
        <f t="shared" si="367"/>
        <v/>
      </c>
      <c r="CC69" s="25"/>
      <c r="CD69" s="45" t="str">
        <f t="shared" si="368"/>
        <v/>
      </c>
      <c r="CE69" s="47"/>
      <c r="CF69" s="22" t="str">
        <f t="shared" si="369"/>
        <v/>
      </c>
      <c r="CG69" s="23"/>
      <c r="CH69" s="45" t="str">
        <f t="shared" si="370"/>
        <v/>
      </c>
      <c r="CI69" s="25"/>
      <c r="CJ69" s="45" t="str">
        <f t="shared" si="371"/>
        <v/>
      </c>
      <c r="CK69" s="46">
        <v>0.0</v>
      </c>
      <c r="CL69" s="33"/>
      <c r="CM69" s="23"/>
      <c r="CN69" s="45"/>
      <c r="CO69" s="25"/>
      <c r="CP69" s="45"/>
      <c r="CQ69" s="46"/>
    </row>
    <row r="70" ht="52.5" customHeight="1">
      <c r="A70" s="39" t="s">
        <v>352</v>
      </c>
      <c r="B70" s="41" t="s">
        <v>275</v>
      </c>
      <c r="C70" s="42"/>
      <c r="D70" s="42"/>
      <c r="E70" s="42"/>
      <c r="F70" s="42"/>
      <c r="G70" s="42"/>
      <c r="H70" s="43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 t="str">
        <f>Y70</f>
        <v/>
      </c>
      <c r="AE70" s="42"/>
      <c r="AF70" s="42"/>
      <c r="AG70" s="42"/>
      <c r="AH70" s="42"/>
      <c r="AI70" s="42"/>
      <c r="AJ70" s="43"/>
      <c r="AK70" s="42"/>
      <c r="AL70" s="42"/>
      <c r="AM70" s="40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3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3"/>
      <c r="CM70" s="48"/>
      <c r="CN70" s="49"/>
      <c r="CO70" s="50"/>
      <c r="CP70" s="49"/>
      <c r="CQ70" s="51"/>
    </row>
    <row r="71" ht="52.5" customHeight="1">
      <c r="A71" s="46">
        <v>1.0</v>
      </c>
      <c r="B71" s="27" t="s">
        <v>354</v>
      </c>
      <c r="C71" s="26"/>
      <c r="D71" s="20">
        <v>3.0</v>
      </c>
      <c r="E71" s="20">
        <v>4.0</v>
      </c>
      <c r="F71" s="20"/>
      <c r="G71" s="23"/>
      <c r="H71" s="33"/>
      <c r="I71" s="22">
        <f t="shared" ref="I71:I72" si="372">D71</f>
        <v>3</v>
      </c>
      <c r="J71" s="23" t="s">
        <v>78</v>
      </c>
      <c r="K71" s="40">
        <v>46282.3818818287</v>
      </c>
      <c r="L71" s="25" t="s">
        <v>69</v>
      </c>
      <c r="M71" s="40">
        <v>46283.41107579861</v>
      </c>
      <c r="N71" s="29"/>
      <c r="O71" s="29"/>
      <c r="P71" s="29"/>
      <c r="Q71" s="22"/>
      <c r="R71" s="23"/>
      <c r="S71" s="45" t="s">
        <v>127</v>
      </c>
      <c r="T71" s="25"/>
      <c r="U71" s="45" t="s">
        <v>127</v>
      </c>
      <c r="V71" s="47"/>
      <c r="W71" s="22"/>
      <c r="X71" s="23"/>
      <c r="Y71" s="45"/>
      <c r="Z71" s="25"/>
      <c r="AA71" s="45"/>
      <c r="AB71" s="47"/>
      <c r="AC71" s="22"/>
      <c r="AD71" s="22"/>
      <c r="AE71" s="23"/>
      <c r="AF71" s="45" t="str">
        <f t="shared" ref="AF71:AF72" si="373">if(AE71&lt;&gt;"", if(AF71="",NOW(),AF71),"")</f>
        <v/>
      </c>
      <c r="AG71" s="25"/>
      <c r="AH71" s="45" t="str">
        <f t="shared" ref="AH71:AH72" si="374">if(AG71="Done", if(AH71="",NOW(),AH71),"")</f>
        <v/>
      </c>
      <c r="AI71" s="46">
        <v>0.0</v>
      </c>
      <c r="AJ71" s="33"/>
      <c r="AK71" s="22">
        <v>4.0</v>
      </c>
      <c r="AL71" s="23" t="s">
        <v>78</v>
      </c>
      <c r="AM71" s="40">
        <v>46283.66039979167</v>
      </c>
      <c r="AN71" s="25" t="s">
        <v>69</v>
      </c>
      <c r="AO71" s="40">
        <v>46286.65778347223</v>
      </c>
      <c r="AP71" s="29"/>
      <c r="AQ71" s="29"/>
      <c r="AR71" s="29"/>
      <c r="AS71" s="22"/>
      <c r="AT71" s="23"/>
      <c r="AU71" s="45" t="s">
        <v>127</v>
      </c>
      <c r="AV71" s="25"/>
      <c r="AW71" s="45" t="s">
        <v>127</v>
      </c>
      <c r="AX71" s="47"/>
      <c r="AY71" s="22"/>
      <c r="AZ71" s="23"/>
      <c r="BA71" s="45" t="s">
        <v>127</v>
      </c>
      <c r="BB71" s="25"/>
      <c r="BC71" s="45" t="s">
        <v>127</v>
      </c>
      <c r="BD71" s="47"/>
      <c r="BE71" s="22"/>
      <c r="BF71" s="23"/>
      <c r="BG71" s="45" t="s">
        <v>127</v>
      </c>
      <c r="BH71" s="25"/>
      <c r="BI71" s="45" t="s">
        <v>127</v>
      </c>
      <c r="BJ71" s="46">
        <v>0.0</v>
      </c>
      <c r="BK71" s="33"/>
      <c r="BL71" s="22"/>
      <c r="BM71" s="23"/>
      <c r="BN71" s="45" t="s">
        <v>127</v>
      </c>
      <c r="BO71" s="25"/>
      <c r="BP71" s="45" t="s">
        <v>127</v>
      </c>
      <c r="BQ71" s="29"/>
      <c r="BR71" s="29"/>
      <c r="BS71" s="29"/>
      <c r="BT71" s="22"/>
      <c r="BU71" s="23"/>
      <c r="BV71" s="45" t="s">
        <v>127</v>
      </c>
      <c r="BW71" s="25"/>
      <c r="BX71" s="45" t="s">
        <v>127</v>
      </c>
      <c r="BY71" s="47"/>
      <c r="BZ71" s="22"/>
      <c r="CA71" s="23"/>
      <c r="CB71" s="45" t="s">
        <v>127</v>
      </c>
      <c r="CC71" s="25"/>
      <c r="CD71" s="45" t="s">
        <v>127</v>
      </c>
      <c r="CE71" s="47"/>
      <c r="CF71" s="22"/>
      <c r="CG71" s="23"/>
      <c r="CH71" s="45" t="s">
        <v>127</v>
      </c>
      <c r="CI71" s="25"/>
      <c r="CJ71" s="45" t="s">
        <v>127</v>
      </c>
      <c r="CK71" s="46">
        <v>0.0</v>
      </c>
      <c r="CL71" s="33"/>
      <c r="CM71" s="23"/>
      <c r="CN71" s="45"/>
      <c r="CO71" s="25"/>
      <c r="CP71" s="45"/>
      <c r="CQ71" s="46"/>
    </row>
    <row r="72" ht="52.5" customHeight="1">
      <c r="A72" s="46">
        <v>2.0</v>
      </c>
      <c r="B72" s="27" t="s">
        <v>355</v>
      </c>
      <c r="C72" s="26"/>
      <c r="D72" s="20">
        <v>3.0</v>
      </c>
      <c r="E72" s="20">
        <v>4.0</v>
      </c>
      <c r="F72" s="20"/>
      <c r="G72" s="23"/>
      <c r="H72" s="33"/>
      <c r="I72" s="22">
        <f t="shared" si="372"/>
        <v>3</v>
      </c>
      <c r="J72" s="23" t="s">
        <v>67</v>
      </c>
      <c r="K72" s="40">
        <f>if(J72&lt;&gt;"", if(K72="",NOW(),K72),"")</f>
        <v>46281.48611</v>
      </c>
      <c r="L72" s="25" t="s">
        <v>69</v>
      </c>
      <c r="M72" s="40">
        <f>if(L72="Done", if(M72="",NOW(),M72),"")</f>
        <v>46282.42837</v>
      </c>
      <c r="N72" s="29"/>
      <c r="O72" s="29"/>
      <c r="P72" s="29"/>
      <c r="Q72" s="22" t="str">
        <f>T72</f>
        <v/>
      </c>
      <c r="R72" s="23"/>
      <c r="S72" s="45" t="str">
        <f>if(R72&lt;&gt;"", if(S72="",NOW(),S72),"")</f>
        <v/>
      </c>
      <c r="T72" s="25"/>
      <c r="U72" s="45" t="str">
        <f>if(T72="Done", if(U72="",NOW(),U72),"")</f>
        <v/>
      </c>
      <c r="V72" s="47"/>
      <c r="W72" s="22"/>
      <c r="X72" s="23"/>
      <c r="Y72" s="45"/>
      <c r="Z72" s="25"/>
      <c r="AA72" s="45"/>
      <c r="AB72" s="47"/>
      <c r="AC72" s="22" t="str">
        <f>AG72</f>
        <v/>
      </c>
      <c r="AD72" s="22" t="str">
        <f>Y72</f>
        <v/>
      </c>
      <c r="AE72" s="23"/>
      <c r="AF72" s="45" t="str">
        <f t="shared" si="373"/>
        <v/>
      </c>
      <c r="AG72" s="25"/>
      <c r="AH72" s="45" t="str">
        <f t="shared" si="374"/>
        <v/>
      </c>
      <c r="AI72" s="46">
        <v>0.0</v>
      </c>
      <c r="AJ72" s="33"/>
      <c r="AK72" s="22">
        <f>E72</f>
        <v>4</v>
      </c>
      <c r="AL72" s="23" t="s">
        <v>87</v>
      </c>
      <c r="AM72" s="40">
        <f>if(AL72&lt;&gt;"", if(AM72="",NOW(),AM72),"")</f>
        <v>46283.6324</v>
      </c>
      <c r="AN72" s="25" t="s">
        <v>69</v>
      </c>
      <c r="AO72" s="40">
        <f>if(AN72="Done", if(AO72="",NOW(),AO72),"")</f>
        <v>46286.44428</v>
      </c>
      <c r="AP72" s="29"/>
      <c r="AQ72" s="29"/>
      <c r="AR72" s="29"/>
      <c r="AS72" s="22" t="str">
        <f>AV72</f>
        <v>Done</v>
      </c>
      <c r="AT72" s="23" t="s">
        <v>87</v>
      </c>
      <c r="AU72" s="40">
        <f>if(AT72&lt;&gt;"", if(AU72="",NOW(),AU72),"")</f>
        <v>46297.15828</v>
      </c>
      <c r="AV72" s="25" t="s">
        <v>69</v>
      </c>
      <c r="AW72" s="40">
        <f>if(AV72="Done", if(AW72="",NOW(),AW72),"")</f>
        <v>46297.15828</v>
      </c>
      <c r="AX72" s="35">
        <v>0.2</v>
      </c>
      <c r="AY72" s="22" t="str">
        <f>BB72</f>
        <v/>
      </c>
      <c r="AZ72" s="23"/>
      <c r="BA72" s="45" t="str">
        <f>if(AZ72&lt;&gt;"", if(BA72="",NOW(),BA72),"")</f>
        <v/>
      </c>
      <c r="BB72" s="25"/>
      <c r="BC72" s="45" t="str">
        <f>if(BB72="Done", if(BC72="",NOW(),BC72),"")</f>
        <v/>
      </c>
      <c r="BD72" s="47"/>
      <c r="BE72" s="22" t="str">
        <f>BH72</f>
        <v/>
      </c>
      <c r="BF72" s="23"/>
      <c r="BG72" s="45" t="str">
        <f>if(BF72&lt;&gt;"", if(BG72="",NOW(),BG72),"")</f>
        <v/>
      </c>
      <c r="BH72" s="25"/>
      <c r="BI72" s="45" t="str">
        <f>if(BH72="Done", if(BI72="",NOW(),BI72),"")</f>
        <v/>
      </c>
      <c r="BJ72" s="46">
        <v>0.0</v>
      </c>
      <c r="BK72" s="33"/>
      <c r="BL72" s="22"/>
      <c r="BM72" s="23"/>
      <c r="BN72" s="45" t="str">
        <f>if(BM72&lt;&gt;"", if(BN72="",NOW(),BN72),"")</f>
        <v/>
      </c>
      <c r="BO72" s="25"/>
      <c r="BP72" s="45" t="str">
        <f>if(BO72="Done", if(BP72="",NOW(),BP72),"")</f>
        <v/>
      </c>
      <c r="BQ72" s="29"/>
      <c r="BR72" s="29"/>
      <c r="BS72" s="29"/>
      <c r="BT72" s="22" t="str">
        <f>BW72</f>
        <v/>
      </c>
      <c r="BU72" s="23"/>
      <c r="BV72" s="45" t="str">
        <f>if(BU72&lt;&gt;"", if(BV72="",NOW(),BV72),"")</f>
        <v/>
      </c>
      <c r="BW72" s="25"/>
      <c r="BX72" s="45" t="str">
        <f>if(BW72="Done", if(BX72="",NOW(),BX72),"")</f>
        <v/>
      </c>
      <c r="BY72" s="47"/>
      <c r="BZ72" s="22" t="str">
        <f>CC72</f>
        <v/>
      </c>
      <c r="CA72" s="23"/>
      <c r="CB72" s="45" t="str">
        <f>if(CA72&lt;&gt;"", if(CB72="",NOW(),CB72),"")</f>
        <v/>
      </c>
      <c r="CC72" s="25"/>
      <c r="CD72" s="45" t="str">
        <f>if(CC72="Done", if(CD72="",NOW(),CD72),"")</f>
        <v/>
      </c>
      <c r="CE72" s="47"/>
      <c r="CF72" s="22" t="str">
        <f>CI72</f>
        <v/>
      </c>
      <c r="CG72" s="23"/>
      <c r="CH72" s="45" t="str">
        <f>if(CG72&lt;&gt;"", if(CH72="",NOW(),CH72),"")</f>
        <v/>
      </c>
      <c r="CI72" s="25"/>
      <c r="CJ72" s="45" t="str">
        <f>if(CI72="Done", if(CJ72="",NOW(),CJ72),"")</f>
        <v/>
      </c>
      <c r="CK72" s="46">
        <v>0.0</v>
      </c>
      <c r="CL72" s="33"/>
      <c r="CM72" s="23"/>
      <c r="CN72" s="45"/>
      <c r="CO72" s="25"/>
      <c r="CP72" s="45"/>
      <c r="CQ72" s="46"/>
    </row>
  </sheetData>
  <mergeCells count="24">
    <mergeCell ref="A1:C1"/>
    <mergeCell ref="D1:G1"/>
    <mergeCell ref="I1:P1"/>
    <mergeCell ref="Q1:Q2"/>
    <mergeCell ref="R1:V1"/>
    <mergeCell ref="W1:W2"/>
    <mergeCell ref="AC1:AC2"/>
    <mergeCell ref="X1:AB1"/>
    <mergeCell ref="AD1:AI1"/>
    <mergeCell ref="AK1:AR1"/>
    <mergeCell ref="AS1:AS2"/>
    <mergeCell ref="AT1:AX1"/>
    <mergeCell ref="AY1:AY2"/>
    <mergeCell ref="BE1:BE2"/>
    <mergeCell ref="CA1:CE1"/>
    <mergeCell ref="CG1:CK1"/>
    <mergeCell ref="CM1:CQ1"/>
    <mergeCell ref="AZ1:BD1"/>
    <mergeCell ref="BF1:BJ1"/>
    <mergeCell ref="BL1:BS1"/>
    <mergeCell ref="BT1:BT2"/>
    <mergeCell ref="BU1:BY1"/>
    <mergeCell ref="BZ1:BZ2"/>
    <mergeCell ref="CF1:CF2"/>
  </mergeCells>
  <dataValidations>
    <dataValidation type="list" allowBlank="1" showErrorMessage="1" sqref="D5:F11 D13:F17 D19:F20 D22:F23 D25:F26 D29:F31 D33:F36 D38:F39 D41:F42 D44:F45 D48:F52 D54:F58 D60:F61 D63:F64 D66:F69 D71:F72">
      <formula1>"1,2,3,4,5"</formula1>
    </dataValidation>
    <dataValidation type="list" allowBlank="1" showErrorMessage="1" sqref="G5:G11 J5:J11 R5:R11 X5:X11 AE5:AE11 AL5:AL11 AT5:AT11 AZ5:AZ11 BF5:BF11 BM5:BM11 BU5:BU11 CA5:CA11 CG5:CG11 G13:G17 J13:J17 R13:R17 X13:X17 AE13:AE17 AL13:AL17 AT13:AT17 AZ13:AZ17 BF13:BF17 BM13:BM17 BU13:BU17 CA13:CA17 CG13:CG17 G19:G20 J19:J20 R19:R20 X19:X20 AE19:AE20 AL19:AL20 AT19:AT20 AZ19:AZ20 BF19:BF20 BM19:BM20 BU19:BU20 CA19:CA20 CG19:CG20 G22:G23 J22:J23 R22:R23 X22:X23 AE22:AE23 AL22:AL23 AT22:AT23 AZ22:AZ23 BF22:BF23 BM22:BM23 BU22:BU23 CA22:CA23 CG22:CG23 G25:G26 J25:J26 R25:R26 X25:X26 AE25:AE26 AL25:AL26 AT25:AT26 AZ25:AZ26 BF25:BF26 BM25:BM26 BU25:BU26 CA25:CA26 CG25:CG26 G29:G31 J29:J31 R29:R31 X29:X31 AE29:AE31 AL29:AL31 AT29:AT31 AZ29:AZ31 BF29:BF31 BM29:BM31 BU29:BU31 CA29:CA31 CG29:CG31 G33:G36 J33:J36 R33:R36 X33:X36 AE33:AE36 AL33:AL36 AT33:AT36 AZ33:AZ36 BF33:BF36 BM33:BM36 BU33:BU36 CA33:CA36 CG33:CG36 G38:G39 J38:J39 R38:R39 X38:X39 AE38:AE39 AL38:AL39 AT38:AT39 AZ38:AZ39 BF38:BF39 BM38:BM39 BU38:BU39 CA38:CA39 G41:G42 J41:J42 R41:R42 X41:X42 AE41:AE42 AL41:AL42 AT41:AT42 AZ41:AZ42 BF41:BF42 BM41:BM42 BU41:BU42 CA41:CA42 CG41:CG42 G44:G45 J44:J45 R44:R45 X44:X45 AE44:AE45 AL44:AL45 AT44:AT45 AZ44:AZ45 BF44:BF45 BM44:BM45 BU44:BU45 CA44:CA45 CG44:CG45 G48:G52 J48:J52 R48:R52 X48:X52 AE48:AE52 AL48:AL52 AT48:AT52 AZ48:AZ52 BF48:BF52 BM48:BM52 BU48:BU52 CA48:CA52 G54:G58 J54:J58 R54:R58 X54:X58 AE54:AE58 AL54:AL58 AT54:AT58 AZ54:AZ58 BF54:BF58 BM54:BM58 BU54:BU58 CA54:CA58 CG54:CG58 G60:G61 J60:J61 R60:R61 X60:X61 AE60:AE61 AL60:AL61 AT60:AT61 AZ60:AZ61 BF60:BF61 BM60:BM61 BU60:BU61 CA60:CA61 CG60:CG61 G63:G64 J63:J64 R63:R64 X63:X64 AE63:AE64 AL63:AL64 AT63:AT64 AZ63:AZ64 BF63:BF64 BM63:BM64 BU63:BU64 CA63:CA64 CG63:CG64 G66:G69 J66:J69 R66:R69 X66:X69 AE66:AE69 AL66:AL69 AT66:AT69 AZ66:AZ69 BF66:BF69 BM66:BM69 BU66:BU69 CA66:CA69 CG66:CG69 G71:G72 J71:J72 R71:R72 X71:X72 AE71:AE72 AL71:AL72 AT71:AT72 AZ71:AZ72 BF71:BF72 BM71:BM72 BU71:BU72 CA71:CA72 CG71:CG72 CM3:CM72">
      <formula1>'List Personnel'!$A$2:$A$56</formula1>
    </dataValidation>
    <dataValidation type="list" allowBlank="1" showErrorMessage="1" sqref="V5:V11 AB5:AB11 AX5:AX11 BD5:BD11 BY5:BY11 CE5:CE11 V13:V17 AB13:AB17 AX13:AX17 BD13:BD17 BY13:BY17 CE13:CE17 V19:V20 AB19:AB20 AX19:AX20 BD19:BD20 BY19:BY20 CE19:CE20 V22:V23 AB22:AB23 AX22:AX23 BD22:BD23 BY22:BY23 CE22:CE23 V25:V26 AB25:AB26 AX25:AX26 BD25:BD26 BY25:BY26 CE25:CE26 V29:V31 AB29:AB31 AX29:AX31 BD29:BD31 BY29:BY31 CE29:CE31 V33:V36 AB33:AB36 AX33:AX36 BD33:BD36 BY33:BY36 CE33:CE36 V38:V39 AB38:AB39 AX38:AX39 BD38:BD39 BY38:BY39 CE38:CE39 V41:V42 AB41:AB42 AX41:AX42 BD41:BD42 BY41:BY42 CE41:CE42 V44:V45 AB44:AB45 AX44:AX45 BD44:BD45 BY44:BY45 CE44:CE45 V48:V52 AB48:AB52 AX48:AX52 BD48:BD52 BY48:BY52 CE48:CE52 V54:V58 AB54:AB58 AX54:AX58 BD54:BD58 BY54:BY58 CE54:CE58 V60:V61 AB60:AB61 AX60:AX61 BD60:BD61 BY60:BY61 CE60:CE61 V63:V64 AB63:AB64 AX63:AX64 BD63:BD64 BY63:BY64 CE63:CE64 V66:V69 AB66:AB69 AX66:AX69 BD66:BD69 BY66:BY69 CE66:CE69 V71:V72 AB71:AB72 AX71:AX72 BD71:BD72 BY71:BY72 CE71:CE72">
      <formula1>"5%,10%,20%,30%,40%,50%,60%,70%,80%,90%,100%"</formula1>
    </dataValidation>
    <dataValidation type="list" allowBlank="1" showErrorMessage="1" sqref="L5:L11 T5:T11 Z5:Z11 AG5:AG11 AN5:AN11 AV5:AV11 BB5:BB11 BH5:BH11 BO5:BO11 BW5:BW11 CC5:CC11 CI5:CI11 L13:L17 T13:T17 Z13:Z17 AG13:AG17 AN13:AN17 AV13:AV17 BB13:BB17 BH13:BH17 BO13:BO17 BW13:BW17 CC13:CC17 CI13:CI17 L19:L20 T19:T20 Z19:Z20 AG19:AG20 AN19:AN20 AV19:AV20 BB19:BB20 BH19:BH20 BO19:BO20 BW19:BW20 CC19:CC20 CI19:CI20 L22:L23 T22:T23 Z22:Z23 AG22:AG23 AN22:AN23 AV22:AV23 BB22:BB23 BH22:BH23 BO22:BO23 BW22:BW23 CC22:CC23 CI22:CI23 L25:L26 T25:T26 Z25:Z26 AG25:AG26 AN25:AN26 AV25:AV26 BB25:BB26 BH25:BH26 BO25:BO26 BW25:BW26 CC25:CC26 CI25:CI26 L29:L31 T29:T31 Z29:Z31 AG29:AG31 AN29:AN31 AV29:AV31 BB29:BB31 BH29:BH31 BO29:BO31 BW29:BW31 CC29:CC31 CI29:CI31 L33:L36 T33:T36 Z33:Z36 AG33:AG36 AN33:AN36 AV33:AV36 BB33:BB36 BH33:BH36 BO33:BO36 BW33:BW36 CC33:CC36 CI33:CI36 L38:L39 T38:T39 Z38:Z39 AG38:AG39 AN38:AN39 AV38:AV39 BB38:BB39 BH38:BH39 BO38:BO39 BW38:BW39 CC38:CC39 L41:L42 T41:T42 Z41:Z42 AG41:AG42 AN41:AN42 AV41:AV42 BB41:BB42 BH41:BH42 BO41:BO42 BW41:BW42 CC41:CC42 CI41:CI42 L44:L45 T44:T45 Z44:Z45 AG44:AG45 AN44:AN45 AV44:AV45 BB44:BB45 BH44:BH45 BO44:BO45 BW44:BW45 CC44:CC45 CI44:CI45 L48:L52 T48:T52 Z48:Z52 AG48:AG52 AN48:AN52 AV48:AV52 BB48:BB52 BH48:BH52 BO48:BO52 BW48:BW52 CC48:CC52 L54:L58 T54:T58 Z54:Z58 AG54:AG58 AN54:AN58 AV54:AV58 BB54:BB58 BH54:BH58 BO54:BO58 BW54:BW58 CC54:CC58 CI54:CI58 L60:L61 T60:T61 Z60:Z61 AG60:AG61 AN60:AN61 AV60:AV61 BB60:BB61 BH60:BH61 BO60:BO61 BW60:BW61 CC60:CC61 CI60:CI61 L63:L64 T63:T64 Z63:Z64 AG63:AG64 AN63:AN64 AV63:AV64 BB63:BB64 BH63:BH64 BO63:BO64 BW63:BW64 CC63:CC64 CI63:CI64 L66:L69 T66:T69 Z66:Z69 AG66:AG69 AN66:AN69 AV66:AV69 BB66:BB69 BH66:BH69 BO66:BO69 BW66:BW69 CC66:CC69 CI66:CI69 L71:L72 T71:T72 Z71:Z72 AG71:AG72 AN71:AN72 AV71:AV72 BB71:BB72 BH71:BH72 BO71:BO72 BW71:BW72 CC71:CC72 CI71:CI72 CO3:CO72">
      <formula1>"Ongoing,Done,Pending,Revision"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Col="1"/>
  <cols>
    <col customWidth="1" min="1" max="1" width="6.88"/>
    <col customWidth="1" min="2" max="2" width="17.88"/>
    <col customWidth="1" min="3" max="3" width="24.0"/>
    <col customWidth="1" min="4" max="4" width="14.0"/>
    <col customWidth="1" min="5" max="5" width="13.13"/>
    <col customWidth="1" min="10" max="10" width="3.38"/>
    <col customWidth="1" min="11" max="11" width="9.63"/>
    <col customWidth="1" min="12" max="12" width="17.25"/>
    <col customWidth="1" min="13" max="13" width="16.75"/>
    <col collapsed="1" customWidth="1" min="15" max="15" width="16.0"/>
    <col hidden="1" min="16" max="18" width="12.63" outlineLevel="1"/>
    <col collapsed="1" min="19" max="19" width="12.63"/>
    <col hidden="1" min="20" max="24" width="12.63" outlineLevel="1"/>
    <col collapsed="1" min="25" max="25" width="12.63"/>
    <col hidden="1" min="26" max="30" width="12.63" outlineLevel="1"/>
    <col min="32" max="36" width="12.63" outlineLevel="1"/>
    <col customWidth="1" min="37" max="37" width="4.13"/>
    <col customWidth="1" min="40" max="40" width="16.38"/>
    <col collapsed="1" customWidth="1" min="42" max="42" width="16.25"/>
    <col hidden="1" min="43" max="45" width="12.63" outlineLevel="1"/>
    <col collapsed="1" min="46" max="46" width="12.63"/>
    <col hidden="1" min="47" max="51" width="12.63" outlineLevel="1"/>
    <col collapsed="1" min="52" max="52" width="12.63"/>
    <col hidden="1" min="53" max="57" width="12.63" outlineLevel="1"/>
    <col min="59" max="63" width="12.63" outlineLevel="1"/>
    <col customWidth="1" min="64" max="64" width="4.13"/>
    <col collapsed="1" min="69" max="69" width="12.63"/>
    <col hidden="1" min="70" max="72" width="12.63" outlineLevel="1"/>
    <col collapsed="1" min="73" max="73" width="12.63"/>
    <col hidden="1" min="74" max="78" width="12.63" outlineLevel="1"/>
    <col collapsed="1" min="79" max="79" width="12.63"/>
    <col hidden="1" min="80" max="84" width="12.63" outlineLevel="1"/>
    <col collapsed="1" min="85" max="85" width="12.63"/>
    <col hidden="1" min="86" max="90" width="12.63" outlineLevel="1"/>
  </cols>
  <sheetData>
    <row r="1">
      <c r="A1" s="3" t="s">
        <v>1</v>
      </c>
      <c r="G1" s="3" t="s">
        <v>4</v>
      </c>
      <c r="J1" s="3"/>
      <c r="K1" s="8" t="s">
        <v>6</v>
      </c>
      <c r="S1" s="3" t="s">
        <v>8</v>
      </c>
      <c r="T1" s="3" t="s">
        <v>8</v>
      </c>
      <c r="Y1" s="3" t="s">
        <v>10</v>
      </c>
      <c r="Z1" s="3" t="s">
        <v>10</v>
      </c>
      <c r="AE1" s="3" t="s">
        <v>13</v>
      </c>
      <c r="AF1" s="3" t="s">
        <v>15</v>
      </c>
      <c r="AK1" s="3"/>
      <c r="AL1" s="8" t="s">
        <v>20</v>
      </c>
      <c r="AT1" s="3" t="s">
        <v>8</v>
      </c>
      <c r="AU1" s="3" t="s">
        <v>8</v>
      </c>
      <c r="AZ1" s="3" t="s">
        <v>10</v>
      </c>
      <c r="BA1" s="3" t="s">
        <v>10</v>
      </c>
      <c r="BF1" s="8" t="s">
        <v>28</v>
      </c>
      <c r="BG1" s="8" t="s">
        <v>32</v>
      </c>
      <c r="BL1" s="3"/>
      <c r="BM1" s="8" t="s">
        <v>41</v>
      </c>
      <c r="BU1" s="3" t="s">
        <v>8</v>
      </c>
      <c r="BV1" s="3" t="s">
        <v>8</v>
      </c>
      <c r="CA1" s="3" t="s">
        <v>10</v>
      </c>
      <c r="CB1" s="3" t="s">
        <v>10</v>
      </c>
      <c r="CG1" s="8" t="s">
        <v>50</v>
      </c>
      <c r="CH1" s="3" t="s">
        <v>15</v>
      </c>
    </row>
    <row r="2">
      <c r="A2" s="3" t="s">
        <v>24</v>
      </c>
      <c r="B2" s="3" t="s">
        <v>26</v>
      </c>
      <c r="C2" s="3" t="s">
        <v>54</v>
      </c>
      <c r="D2" s="3" t="s">
        <v>55</v>
      </c>
      <c r="E2" s="8" t="s">
        <v>56</v>
      </c>
      <c r="F2" s="3" t="s">
        <v>57</v>
      </c>
      <c r="G2" s="3" t="s">
        <v>59</v>
      </c>
      <c r="H2" s="3" t="s">
        <v>60</v>
      </c>
      <c r="I2" s="3" t="s">
        <v>31</v>
      </c>
      <c r="J2" s="3"/>
      <c r="K2" s="3" t="s">
        <v>35</v>
      </c>
      <c r="L2" s="3" t="s">
        <v>36</v>
      </c>
      <c r="M2" s="3" t="s">
        <v>38</v>
      </c>
      <c r="N2" s="3" t="s">
        <v>39</v>
      </c>
      <c r="O2" s="3" t="s">
        <v>40</v>
      </c>
      <c r="P2" s="3" t="s">
        <v>42</v>
      </c>
      <c r="Q2" s="3" t="s">
        <v>44</v>
      </c>
      <c r="R2" s="3" t="s">
        <v>45</v>
      </c>
      <c r="T2" s="3" t="s">
        <v>46</v>
      </c>
      <c r="U2" s="3" t="s">
        <v>38</v>
      </c>
      <c r="V2" s="3" t="s">
        <v>39</v>
      </c>
      <c r="W2" s="3" t="s">
        <v>40</v>
      </c>
      <c r="X2" s="3" t="s">
        <v>47</v>
      </c>
      <c r="Z2" s="3" t="s">
        <v>48</v>
      </c>
      <c r="AA2" s="3" t="s">
        <v>38</v>
      </c>
      <c r="AB2" s="3" t="s">
        <v>39</v>
      </c>
      <c r="AC2" s="3" t="s">
        <v>40</v>
      </c>
      <c r="AD2" s="3" t="s">
        <v>47</v>
      </c>
      <c r="AF2" s="3" t="s">
        <v>49</v>
      </c>
      <c r="AG2" s="19" t="s">
        <v>38</v>
      </c>
      <c r="AH2" s="3" t="s">
        <v>39</v>
      </c>
      <c r="AI2" s="19" t="s">
        <v>40</v>
      </c>
      <c r="AJ2" s="3" t="s">
        <v>51</v>
      </c>
      <c r="AK2" s="3"/>
      <c r="AL2" s="3" t="s">
        <v>35</v>
      </c>
      <c r="AM2" s="3" t="s">
        <v>36</v>
      </c>
      <c r="AN2" s="3" t="s">
        <v>38</v>
      </c>
      <c r="AO2" s="3" t="s">
        <v>39</v>
      </c>
      <c r="AP2" s="3" t="s">
        <v>40</v>
      </c>
      <c r="AQ2" s="3" t="s">
        <v>42</v>
      </c>
      <c r="AR2" s="3" t="s">
        <v>44</v>
      </c>
      <c r="AS2" s="3" t="s">
        <v>45</v>
      </c>
      <c r="AU2" s="3" t="s">
        <v>46</v>
      </c>
      <c r="AV2" s="3" t="s">
        <v>38</v>
      </c>
      <c r="AW2" s="3" t="s">
        <v>39</v>
      </c>
      <c r="AX2" s="3" t="s">
        <v>40</v>
      </c>
      <c r="AY2" s="3" t="s">
        <v>47</v>
      </c>
      <c r="BA2" s="3" t="s">
        <v>48</v>
      </c>
      <c r="BB2" s="3" t="s">
        <v>38</v>
      </c>
      <c r="BC2" s="3" t="s">
        <v>39</v>
      </c>
      <c r="BD2" s="3" t="s">
        <v>40</v>
      </c>
      <c r="BE2" s="3" t="s">
        <v>47</v>
      </c>
      <c r="BG2" s="3" t="s">
        <v>49</v>
      </c>
      <c r="BH2" s="19" t="s">
        <v>38</v>
      </c>
      <c r="BI2" s="3" t="s">
        <v>39</v>
      </c>
      <c r="BJ2" s="19" t="s">
        <v>40</v>
      </c>
      <c r="BK2" s="3" t="s">
        <v>51</v>
      </c>
      <c r="BL2" s="3"/>
      <c r="BM2" s="3" t="s">
        <v>65</v>
      </c>
      <c r="BN2" s="3" t="s">
        <v>36</v>
      </c>
      <c r="BO2" s="3" t="s">
        <v>38</v>
      </c>
      <c r="BP2" s="3" t="s">
        <v>39</v>
      </c>
      <c r="BQ2" s="3" t="s">
        <v>40</v>
      </c>
      <c r="BR2" s="3" t="s">
        <v>42</v>
      </c>
      <c r="BS2" s="3" t="s">
        <v>44</v>
      </c>
      <c r="BT2" s="3" t="s">
        <v>45</v>
      </c>
      <c r="BV2" s="3" t="s">
        <v>46</v>
      </c>
      <c r="BW2" s="3" t="s">
        <v>38</v>
      </c>
      <c r="BX2" s="3" t="s">
        <v>39</v>
      </c>
      <c r="BY2" s="3" t="s">
        <v>40</v>
      </c>
      <c r="BZ2" s="3" t="s">
        <v>47</v>
      </c>
      <c r="CB2" s="3" t="s">
        <v>48</v>
      </c>
      <c r="CC2" s="3" t="s">
        <v>38</v>
      </c>
      <c r="CD2" s="3" t="s">
        <v>39</v>
      </c>
      <c r="CE2" s="3" t="s">
        <v>40</v>
      </c>
      <c r="CF2" s="3" t="s">
        <v>47</v>
      </c>
      <c r="CH2" s="3" t="s">
        <v>49</v>
      </c>
      <c r="CI2" s="3" t="s">
        <v>38</v>
      </c>
      <c r="CJ2" s="3" t="s">
        <v>39</v>
      </c>
      <c r="CK2" s="3" t="s">
        <v>40</v>
      </c>
      <c r="CL2" s="3" t="s">
        <v>51</v>
      </c>
    </row>
    <row r="3" ht="129.0" customHeight="1">
      <c r="A3" s="26">
        <f t="shared" ref="A3:A51" si="1">IF(C3="","",COUNTA($A$3:A3))</f>
        <v>1</v>
      </c>
      <c r="B3" s="27"/>
      <c r="C3" s="27" t="s">
        <v>70</v>
      </c>
      <c r="D3" s="27"/>
      <c r="E3" s="26"/>
      <c r="F3" s="26"/>
      <c r="G3" s="20">
        <v>1.0</v>
      </c>
      <c r="H3" s="20">
        <v>2.0</v>
      </c>
      <c r="I3" s="23" t="s">
        <v>72</v>
      </c>
      <c r="J3" s="33"/>
      <c r="K3" s="22">
        <f t="shared" ref="K3:K43" si="2">G3</f>
        <v>1</v>
      </c>
      <c r="L3" s="27" t="s">
        <v>73</v>
      </c>
      <c r="M3" s="34">
        <v>46289.60826284722</v>
      </c>
      <c r="N3" s="25" t="s">
        <v>69</v>
      </c>
      <c r="O3" s="34">
        <v>46289.62632292824</v>
      </c>
      <c r="P3" s="29"/>
      <c r="Q3" s="29"/>
      <c r="R3" s="29"/>
      <c r="S3" s="22"/>
      <c r="T3" s="23"/>
      <c r="U3" s="34"/>
      <c r="V3" s="25"/>
      <c r="W3" s="34"/>
      <c r="X3" s="35"/>
      <c r="Y3" s="22"/>
      <c r="Z3" s="23"/>
      <c r="AA3" s="34"/>
      <c r="AB3" s="25"/>
      <c r="AC3" s="34"/>
      <c r="AD3" s="35"/>
      <c r="AE3" s="22"/>
      <c r="AF3" s="23"/>
      <c r="AG3" s="44" t="str">
        <f t="shared" ref="AG3:AG21" si="3">if(AF3&lt;&gt;"", if(AG3="",NOW(),AG3),"")</f>
        <v/>
      </c>
      <c r="AH3" s="25"/>
      <c r="AI3" s="44" t="str">
        <f t="shared" ref="AI3:AI21" si="4">if(AH3="Done", if(AI3="",NOW(),AI3),"")</f>
        <v/>
      </c>
      <c r="AJ3" s="46"/>
      <c r="AK3" s="33"/>
      <c r="AL3" s="22">
        <f t="array" ref="AL3:AL270">H3:H270</f>
        <v>2</v>
      </c>
      <c r="AM3" s="23" t="s">
        <v>73</v>
      </c>
      <c r="AN3" s="34">
        <v>46290.67661708333</v>
      </c>
      <c r="AO3" s="25" t="s">
        <v>69</v>
      </c>
      <c r="AP3" s="34">
        <v>46290.70288372685</v>
      </c>
      <c r="AQ3" s="29"/>
      <c r="AR3" s="29"/>
      <c r="AS3" s="29"/>
      <c r="AT3" s="22"/>
      <c r="AU3" s="23"/>
      <c r="AV3" s="44"/>
      <c r="AW3" s="25"/>
      <c r="AX3" s="44"/>
      <c r="AY3" s="35"/>
      <c r="AZ3" s="22"/>
      <c r="BA3" s="23"/>
      <c r="BB3" s="44"/>
      <c r="BC3" s="25"/>
      <c r="BD3" s="44"/>
      <c r="BE3" s="35"/>
      <c r="BF3" s="22"/>
      <c r="BG3" s="23" t="s">
        <v>77</v>
      </c>
      <c r="BH3" s="34">
        <v>46309.55081446759</v>
      </c>
      <c r="BI3" s="25" t="s">
        <v>69</v>
      </c>
      <c r="BJ3" s="34">
        <v>46309.55164979167</v>
      </c>
      <c r="BK3" s="46">
        <v>1.0</v>
      </c>
      <c r="BL3" s="33"/>
      <c r="BM3" s="20"/>
      <c r="BN3" s="23"/>
      <c r="BO3" s="34"/>
      <c r="BP3" s="25"/>
      <c r="BQ3" s="34"/>
      <c r="BR3" s="29"/>
      <c r="BS3" s="29"/>
      <c r="BT3" s="29"/>
      <c r="BU3" s="22"/>
      <c r="BV3" s="23"/>
      <c r="BW3" s="34"/>
      <c r="BX3" s="25"/>
      <c r="BY3" s="34"/>
      <c r="BZ3" s="35"/>
      <c r="CA3" s="22"/>
      <c r="CB3" s="23"/>
      <c r="CC3" s="34"/>
      <c r="CD3" s="25"/>
      <c r="CE3" s="34"/>
      <c r="CF3" s="35"/>
      <c r="CG3" s="22" t="str">
        <f t="shared" ref="CG3:CG128" si="5">CJ3</f>
        <v/>
      </c>
      <c r="CH3" s="23"/>
      <c r="CI3" s="44" t="str">
        <f t="shared" ref="CI3:CI74" si="6">if(CH3&lt;&gt;"", if(CI3="",NOW(),CI3),"")</f>
        <v/>
      </c>
      <c r="CJ3" s="25"/>
      <c r="CK3" s="44" t="str">
        <f t="shared" ref="CK3:CK74" si="7">if(CJ3="Done", if(CK3="",NOW(),CK3),"")</f>
        <v/>
      </c>
      <c r="CL3" s="46">
        <v>0.0</v>
      </c>
    </row>
    <row r="4" ht="94.5" customHeight="1">
      <c r="A4" s="26">
        <f t="shared" si="1"/>
        <v>2</v>
      </c>
      <c r="B4" s="27"/>
      <c r="C4" s="27" t="s">
        <v>79</v>
      </c>
      <c r="D4" s="27"/>
      <c r="E4" s="26"/>
      <c r="F4" s="26"/>
      <c r="G4" s="20">
        <v>2.0</v>
      </c>
      <c r="H4" s="20">
        <v>3.0</v>
      </c>
      <c r="I4" s="23" t="s">
        <v>72</v>
      </c>
      <c r="J4" s="33"/>
      <c r="K4" s="22">
        <f t="shared" si="2"/>
        <v>2</v>
      </c>
      <c r="L4" s="27" t="s">
        <v>80</v>
      </c>
      <c r="M4" s="34">
        <v>46288.45955241898</v>
      </c>
      <c r="N4" s="25" t="s">
        <v>69</v>
      </c>
      <c r="O4" s="34">
        <v>46288.59476940973</v>
      </c>
      <c r="P4" s="29">
        <f t="shared" ref="P4:P128" si="8">IF(AND(M4&lt;&gt;"",O4&lt;&gt;""),(O4-M4)*1440,"")</f>
        <v>194.7124667</v>
      </c>
      <c r="Q4" s="29">
        <f t="shared" ref="Q4:Q128" si="9">IF(
  INT(M4)=INT(O4),
  IF(
    AND(MOD(M4,1)&lt;TIME(12,0,0), MOD(O4,1)&gt;TIME(12,0,0)),
    60,
    0
  ),
  IF(
    MOD(O4,1)&lt;=TIME(12,0,0),
    (INT(O4)-INT(M4))*960,
    (INT(O4)-INT(M4))*1020
  )
)</f>
        <v>60</v>
      </c>
      <c r="R4" s="29">
        <f t="shared" ref="R4:R128" si="10">(P4-Q4)/60</f>
        <v>2.245207778</v>
      </c>
      <c r="S4" s="22" t="str">
        <f t="shared" ref="S4:S128" si="11">V4</f>
        <v/>
      </c>
      <c r="T4" s="23"/>
      <c r="U4" s="44"/>
      <c r="V4" s="25"/>
      <c r="W4" s="44"/>
      <c r="X4" s="54"/>
      <c r="Y4" s="22" t="str">
        <f t="shared" ref="Y4:Y128" si="12">AB4</f>
        <v/>
      </c>
      <c r="Z4" s="23"/>
      <c r="AA4" s="44"/>
      <c r="AB4" s="25"/>
      <c r="AC4" s="44"/>
      <c r="AD4" s="54"/>
      <c r="AE4" s="22" t="str">
        <f t="shared" ref="AE4:AE128" si="13">AH4</f>
        <v/>
      </c>
      <c r="AF4" s="23"/>
      <c r="AG4" s="44" t="str">
        <f t="shared" si="3"/>
        <v/>
      </c>
      <c r="AH4" s="25"/>
      <c r="AI4" s="44" t="str">
        <f t="shared" si="4"/>
        <v/>
      </c>
      <c r="AJ4" s="46">
        <v>0.0</v>
      </c>
      <c r="AK4" s="33"/>
      <c r="AL4" s="22">
        <v>3.0</v>
      </c>
      <c r="AM4" s="27" t="s">
        <v>80</v>
      </c>
      <c r="AN4" s="34">
        <v>46294.46907328704</v>
      </c>
      <c r="AO4" s="25" t="s">
        <v>69</v>
      </c>
      <c r="AP4" s="34">
        <v>46294.62128736111</v>
      </c>
      <c r="AQ4" s="29">
        <f t="shared" ref="AQ4:AQ128" si="14">IF(AND(AN4&lt;&gt;"",AP4&lt;&gt;""),(AP4-AN4)*1440,"")</f>
        <v>219.1882667</v>
      </c>
      <c r="AR4" s="29">
        <f t="shared" ref="AR4:AR128" si="15">IF(
  INT(AN4)=INT(AP4),
  IF(
    AND(MOD(AN4,1)&lt;TIME(12,0,0), MOD(AP4,1)&gt;TIME(12,0,0)),
    60,
    0
  ),
  IF(
    MOD(AP4,1)&lt;=TIME(12,0,0),
    (INT(AP4)-INT(AN4))*960,
    (INT(AP4)-INT(AN4))*1020
  )
)</f>
        <v>60</v>
      </c>
      <c r="AS4" s="29">
        <f t="shared" ref="AS4:AS128" si="16">(AQ4-AR4)/60</f>
        <v>2.653137778</v>
      </c>
      <c r="AT4" s="22" t="str">
        <f t="shared" ref="AT4:AT128" si="17">AW4</f>
        <v/>
      </c>
      <c r="AU4" s="23"/>
      <c r="AV4" s="44" t="str">
        <f t="shared" ref="AV4:AV128" si="18">if(AU4&lt;&gt;"", if(AV4="",NOW(),AV4),"")</f>
        <v/>
      </c>
      <c r="AW4" s="25"/>
      <c r="AX4" s="44" t="str">
        <f t="shared" ref="AX4:AX128" si="19">if(AW4="Done", if(AX4="",NOW(),AX4),"")</f>
        <v/>
      </c>
      <c r="AY4" s="54"/>
      <c r="AZ4" s="22" t="str">
        <f t="shared" ref="AZ4:AZ128" si="20">BC4</f>
        <v/>
      </c>
      <c r="BA4" s="23"/>
      <c r="BB4" s="44" t="str">
        <f t="shared" ref="BB4:BB128" si="21">if(BA4&lt;&gt;"", if(BB4="",NOW(),BB4),"")</f>
        <v/>
      </c>
      <c r="BC4" s="25"/>
      <c r="BD4" s="44" t="str">
        <f t="shared" ref="BD4:BD128" si="22">if(BC4="Done", if(BD4="",NOW(),BD4),"")</f>
        <v/>
      </c>
      <c r="BE4" s="54"/>
      <c r="BF4" s="22" t="str">
        <f t="shared" ref="BF4:BF128" si="23">BI4</f>
        <v>Done</v>
      </c>
      <c r="BG4" s="23" t="s">
        <v>77</v>
      </c>
      <c r="BH4" s="34">
        <v>46309.553134050926</v>
      </c>
      <c r="BI4" s="25" t="s">
        <v>69</v>
      </c>
      <c r="BJ4" s="34">
        <v>46309.55396423611</v>
      </c>
      <c r="BK4" s="46">
        <v>1.0</v>
      </c>
      <c r="BL4" s="33"/>
      <c r="BM4" s="22" t="str">
        <f t="shared" ref="BM4:BM128" si="24">BI4</f>
        <v>Done</v>
      </c>
      <c r="BN4" s="23"/>
      <c r="BO4" s="44" t="str">
        <f t="shared" ref="BO4:BO128" si="25">if(BN4&lt;&gt;"", if(BO4="",NOW(),BO4),"")</f>
        <v/>
      </c>
      <c r="BP4" s="25"/>
      <c r="BQ4" s="44" t="str">
        <f t="shared" ref="BQ4:BQ128" si="26">if(BP4="Done", if(BQ4="",NOW(),BQ4),"")</f>
        <v/>
      </c>
      <c r="BR4" s="29" t="str">
        <f t="shared" ref="BR4:BR128" si="27">IF(AND(BO4&lt;&gt;"",BQ4&lt;&gt;""),(BQ4-BO4)*1440,"")</f>
        <v/>
      </c>
      <c r="BS4" s="29">
        <f t="shared" ref="BS4:BS128" si="28">IF(
  INT(BO4)=INT(BQ4),
  IF(
    AND(MOD(BO4,1)&lt;TIME(12,0,0), MOD(BQ4,1)&gt;TIME(12,0,0)),
    60,
    0
  ),
  IF(
    MOD(BQ4,1)&lt;=TIME(12,0,0),
    (INT(BQ4)-INT(BO4))*960,
    (INT(BQ4)-INT(BO4))*1020
  )
)</f>
        <v>0</v>
      </c>
      <c r="BT4" s="29">
        <f t="shared" ref="BT4:BT128" si="29">(BR4-BS4)/60</f>
        <v>0</v>
      </c>
      <c r="BU4" s="22" t="str">
        <f t="shared" ref="BU4:BU128" si="30">BX4</f>
        <v/>
      </c>
      <c r="BV4" s="23"/>
      <c r="BW4" s="44" t="str">
        <f t="shared" ref="BW4:BW128" si="31">if(BV4&lt;&gt;"", if(BW4="",NOW(),BW4),"")</f>
        <v/>
      </c>
      <c r="BX4" s="25"/>
      <c r="BY4" s="44" t="str">
        <f t="shared" ref="BY4:BY128" si="32">if(BX4="Done", if(BY4="",NOW(),BY4),"")</f>
        <v/>
      </c>
      <c r="BZ4" s="54"/>
      <c r="CA4" s="22" t="str">
        <f t="shared" ref="CA4:CA128" si="33">CD4</f>
        <v/>
      </c>
      <c r="CB4" s="23"/>
      <c r="CC4" s="44" t="str">
        <f t="shared" ref="CC4:CC128" si="34">if(CB4&lt;&gt;"", if(CC4="",NOW(),CC4),"")</f>
        <v/>
      </c>
      <c r="CD4" s="25"/>
      <c r="CE4" s="44" t="str">
        <f t="shared" ref="CE4:CE128" si="35">if(CD4="Done", if(CE4="",NOW(),CE4),"")</f>
        <v/>
      </c>
      <c r="CF4" s="54"/>
      <c r="CG4" s="22" t="str">
        <f t="shared" si="5"/>
        <v/>
      </c>
      <c r="CH4" s="23"/>
      <c r="CI4" s="44" t="str">
        <f t="shared" si="6"/>
        <v/>
      </c>
      <c r="CJ4" s="25"/>
      <c r="CK4" s="44" t="str">
        <f t="shared" si="7"/>
        <v/>
      </c>
      <c r="CL4" s="46">
        <v>0.0</v>
      </c>
    </row>
    <row r="5" ht="96.75" customHeight="1">
      <c r="A5" s="26">
        <f t="shared" si="1"/>
        <v>3</v>
      </c>
      <c r="B5" s="27"/>
      <c r="C5" s="27" t="s">
        <v>89</v>
      </c>
      <c r="D5" s="27"/>
      <c r="E5" s="26"/>
      <c r="F5" s="26"/>
      <c r="G5" s="20">
        <v>1.0</v>
      </c>
      <c r="H5" s="20">
        <v>1.0</v>
      </c>
      <c r="I5" s="23" t="s">
        <v>72</v>
      </c>
      <c r="J5" s="33"/>
      <c r="K5" s="22">
        <f t="shared" si="2"/>
        <v>1</v>
      </c>
      <c r="L5" s="23" t="s">
        <v>73</v>
      </c>
      <c r="M5" s="34">
        <v>46289.64655023148</v>
      </c>
      <c r="N5" s="25" t="s">
        <v>69</v>
      </c>
      <c r="O5" s="34">
        <v>46289.666762037035</v>
      </c>
      <c r="P5" s="29">
        <f t="shared" si="8"/>
        <v>29.105</v>
      </c>
      <c r="Q5" s="29">
        <f t="shared" si="9"/>
        <v>0</v>
      </c>
      <c r="R5" s="29">
        <f t="shared" si="10"/>
        <v>0.4850833333</v>
      </c>
      <c r="S5" s="22" t="str">
        <f t="shared" si="11"/>
        <v/>
      </c>
      <c r="T5" s="23"/>
      <c r="U5" s="44"/>
      <c r="V5" s="25"/>
      <c r="W5" s="44"/>
      <c r="X5" s="54"/>
      <c r="Y5" s="22" t="str">
        <f t="shared" si="12"/>
        <v/>
      </c>
      <c r="Z5" s="23"/>
      <c r="AA5" s="44"/>
      <c r="AB5" s="25"/>
      <c r="AC5" s="44"/>
      <c r="AD5" s="54"/>
      <c r="AE5" s="22" t="str">
        <f t="shared" si="13"/>
        <v/>
      </c>
      <c r="AF5" s="23"/>
      <c r="AG5" s="44" t="str">
        <f t="shared" si="3"/>
        <v/>
      </c>
      <c r="AH5" s="25"/>
      <c r="AI5" s="44" t="str">
        <f t="shared" si="4"/>
        <v/>
      </c>
      <c r="AJ5" s="46">
        <v>0.0</v>
      </c>
      <c r="AK5" s="33"/>
      <c r="AL5" s="22">
        <v>1.0</v>
      </c>
      <c r="AM5" s="23" t="s">
        <v>73</v>
      </c>
      <c r="AN5" s="34">
        <v>46293.39647478009</v>
      </c>
      <c r="AO5" s="25" t="s">
        <v>69</v>
      </c>
      <c r="AP5" s="34">
        <v>46293.42535643518</v>
      </c>
      <c r="AQ5" s="29">
        <f t="shared" si="14"/>
        <v>41.58958333</v>
      </c>
      <c r="AR5" s="29">
        <f t="shared" si="15"/>
        <v>0</v>
      </c>
      <c r="AS5" s="29">
        <f t="shared" si="16"/>
        <v>0.6931597221</v>
      </c>
      <c r="AT5" s="22" t="str">
        <f t="shared" si="17"/>
        <v>Done</v>
      </c>
      <c r="AU5" s="23" t="s">
        <v>73</v>
      </c>
      <c r="AV5" s="44">
        <f t="shared" si="18"/>
        <v>46311.4401</v>
      </c>
      <c r="AW5" s="25" t="s">
        <v>69</v>
      </c>
      <c r="AX5" s="44">
        <f t="shared" si="19"/>
        <v>46311.57136</v>
      </c>
      <c r="AY5" s="35">
        <v>0.1</v>
      </c>
      <c r="AZ5" s="22" t="str">
        <f t="shared" si="20"/>
        <v/>
      </c>
      <c r="BA5" s="23"/>
      <c r="BB5" s="44" t="str">
        <f t="shared" si="21"/>
        <v/>
      </c>
      <c r="BC5" s="25"/>
      <c r="BD5" s="44" t="str">
        <f t="shared" si="22"/>
        <v/>
      </c>
      <c r="BE5" s="54"/>
      <c r="BF5" s="22" t="str">
        <f t="shared" si="23"/>
        <v>Revision</v>
      </c>
      <c r="BG5" s="23" t="s">
        <v>77</v>
      </c>
      <c r="BH5" s="34">
        <v>46309.5572378125</v>
      </c>
      <c r="BI5" s="25" t="s">
        <v>93</v>
      </c>
      <c r="BJ5" s="34">
        <v>46309.55758466435</v>
      </c>
      <c r="BK5" s="46">
        <v>1.0</v>
      </c>
      <c r="BL5" s="33"/>
      <c r="BM5" s="22" t="str">
        <f t="shared" si="24"/>
        <v>Revision</v>
      </c>
      <c r="BN5" s="23"/>
      <c r="BO5" s="44" t="str">
        <f t="shared" si="25"/>
        <v/>
      </c>
      <c r="BP5" s="25"/>
      <c r="BQ5" s="44" t="str">
        <f t="shared" si="26"/>
        <v/>
      </c>
      <c r="BR5" s="29" t="str">
        <f t="shared" si="27"/>
        <v/>
      </c>
      <c r="BS5" s="29">
        <f t="shared" si="28"/>
        <v>0</v>
      </c>
      <c r="BT5" s="29">
        <f t="shared" si="29"/>
        <v>0</v>
      </c>
      <c r="BU5" s="22" t="str">
        <f t="shared" si="30"/>
        <v/>
      </c>
      <c r="BV5" s="23"/>
      <c r="BW5" s="44" t="str">
        <f t="shared" si="31"/>
        <v/>
      </c>
      <c r="BX5" s="25"/>
      <c r="BY5" s="44" t="str">
        <f t="shared" si="32"/>
        <v/>
      </c>
      <c r="BZ5" s="54"/>
      <c r="CA5" s="22" t="str">
        <f t="shared" si="33"/>
        <v/>
      </c>
      <c r="CB5" s="23"/>
      <c r="CC5" s="44" t="str">
        <f t="shared" si="34"/>
        <v/>
      </c>
      <c r="CD5" s="25"/>
      <c r="CE5" s="44" t="str">
        <f t="shared" si="35"/>
        <v/>
      </c>
      <c r="CF5" s="54"/>
      <c r="CG5" s="22" t="str">
        <f t="shared" si="5"/>
        <v/>
      </c>
      <c r="CH5" s="23"/>
      <c r="CI5" s="44" t="str">
        <f t="shared" si="6"/>
        <v/>
      </c>
      <c r="CJ5" s="25"/>
      <c r="CK5" s="44" t="str">
        <f t="shared" si="7"/>
        <v/>
      </c>
      <c r="CL5" s="46">
        <v>0.0</v>
      </c>
    </row>
    <row r="6" ht="102.0" customHeight="1">
      <c r="A6" s="26">
        <f t="shared" si="1"/>
        <v>4</v>
      </c>
      <c r="B6" s="27"/>
      <c r="C6" s="27" t="s">
        <v>95</v>
      </c>
      <c r="D6" s="27"/>
      <c r="E6" s="26"/>
      <c r="F6" s="26"/>
      <c r="G6" s="20">
        <v>1.0</v>
      </c>
      <c r="H6" s="20">
        <v>1.0</v>
      </c>
      <c r="I6" s="23" t="s">
        <v>72</v>
      </c>
      <c r="J6" s="33"/>
      <c r="K6" s="22">
        <f t="shared" si="2"/>
        <v>1</v>
      </c>
      <c r="L6" s="23" t="s">
        <v>80</v>
      </c>
      <c r="M6" s="34">
        <v>46288.603669062504</v>
      </c>
      <c r="N6" s="25" t="s">
        <v>69</v>
      </c>
      <c r="O6" s="34">
        <v>46288.63892361111</v>
      </c>
      <c r="P6" s="29">
        <f t="shared" si="8"/>
        <v>50.76655</v>
      </c>
      <c r="Q6" s="29">
        <f t="shared" si="9"/>
        <v>0</v>
      </c>
      <c r="R6" s="29">
        <f t="shared" si="10"/>
        <v>0.8461091666</v>
      </c>
      <c r="S6" s="22" t="str">
        <f t="shared" si="11"/>
        <v/>
      </c>
      <c r="T6" s="23"/>
      <c r="U6" s="44"/>
      <c r="V6" s="25"/>
      <c r="W6" s="44"/>
      <c r="X6" s="54"/>
      <c r="Y6" s="22" t="str">
        <f t="shared" si="12"/>
        <v/>
      </c>
      <c r="Z6" s="23"/>
      <c r="AA6" s="44"/>
      <c r="AB6" s="25"/>
      <c r="AC6" s="44"/>
      <c r="AD6" s="54"/>
      <c r="AE6" s="22" t="str">
        <f t="shared" si="13"/>
        <v/>
      </c>
      <c r="AF6" s="23"/>
      <c r="AG6" s="44" t="str">
        <f t="shared" si="3"/>
        <v/>
      </c>
      <c r="AH6" s="25"/>
      <c r="AI6" s="44" t="str">
        <f t="shared" si="4"/>
        <v/>
      </c>
      <c r="AJ6" s="46">
        <v>0.0</v>
      </c>
      <c r="AK6" s="33"/>
      <c r="AL6" s="22">
        <v>1.0</v>
      </c>
      <c r="AM6" s="23" t="s">
        <v>80</v>
      </c>
      <c r="AN6" s="34">
        <v>46293.42448385416</v>
      </c>
      <c r="AO6" s="25" t="s">
        <v>69</v>
      </c>
      <c r="AP6" s="34">
        <v>46293.46711488426</v>
      </c>
      <c r="AQ6" s="29">
        <f t="shared" si="14"/>
        <v>61.38868334</v>
      </c>
      <c r="AR6" s="29">
        <f t="shared" si="15"/>
        <v>0</v>
      </c>
      <c r="AS6" s="29">
        <f t="shared" si="16"/>
        <v>1.023144722</v>
      </c>
      <c r="AT6" s="22" t="str">
        <f t="shared" si="17"/>
        <v/>
      </c>
      <c r="AU6" s="23"/>
      <c r="AV6" s="44" t="str">
        <f t="shared" si="18"/>
        <v/>
      </c>
      <c r="AW6" s="25"/>
      <c r="AX6" s="44" t="str">
        <f t="shared" si="19"/>
        <v/>
      </c>
      <c r="AY6" s="54"/>
      <c r="AZ6" s="22" t="str">
        <f t="shared" si="20"/>
        <v/>
      </c>
      <c r="BA6" s="23"/>
      <c r="BB6" s="44" t="str">
        <f t="shared" si="21"/>
        <v/>
      </c>
      <c r="BC6" s="25"/>
      <c r="BD6" s="44" t="str">
        <f t="shared" si="22"/>
        <v/>
      </c>
      <c r="BE6" s="54"/>
      <c r="BF6" s="22" t="str">
        <f t="shared" si="23"/>
        <v>Done</v>
      </c>
      <c r="BG6" s="23" t="s">
        <v>77</v>
      </c>
      <c r="BH6" s="34">
        <v>46309.55937888889</v>
      </c>
      <c r="BI6" s="25" t="s">
        <v>69</v>
      </c>
      <c r="BJ6" s="34">
        <v>46309.5612234838</v>
      </c>
      <c r="BK6" s="46">
        <v>1.0</v>
      </c>
      <c r="BL6" s="33"/>
      <c r="BM6" s="22" t="str">
        <f t="shared" si="24"/>
        <v>Done</v>
      </c>
      <c r="BN6" s="23"/>
      <c r="BO6" s="44" t="str">
        <f t="shared" si="25"/>
        <v/>
      </c>
      <c r="BP6" s="25"/>
      <c r="BQ6" s="44" t="str">
        <f t="shared" si="26"/>
        <v/>
      </c>
      <c r="BR6" s="29" t="str">
        <f t="shared" si="27"/>
        <v/>
      </c>
      <c r="BS6" s="29">
        <f t="shared" si="28"/>
        <v>0</v>
      </c>
      <c r="BT6" s="29">
        <f t="shared" si="29"/>
        <v>0</v>
      </c>
      <c r="BU6" s="22" t="str">
        <f t="shared" si="30"/>
        <v/>
      </c>
      <c r="BV6" s="23"/>
      <c r="BW6" s="44" t="str">
        <f t="shared" si="31"/>
        <v/>
      </c>
      <c r="BX6" s="25"/>
      <c r="BY6" s="44" t="str">
        <f t="shared" si="32"/>
        <v/>
      </c>
      <c r="BZ6" s="54"/>
      <c r="CA6" s="22" t="str">
        <f t="shared" si="33"/>
        <v/>
      </c>
      <c r="CB6" s="23"/>
      <c r="CC6" s="44" t="str">
        <f t="shared" si="34"/>
        <v/>
      </c>
      <c r="CD6" s="25"/>
      <c r="CE6" s="44" t="str">
        <f t="shared" si="35"/>
        <v/>
      </c>
      <c r="CF6" s="54"/>
      <c r="CG6" s="22" t="str">
        <f t="shared" si="5"/>
        <v/>
      </c>
      <c r="CH6" s="23"/>
      <c r="CI6" s="44" t="str">
        <f t="shared" si="6"/>
        <v/>
      </c>
      <c r="CJ6" s="25"/>
      <c r="CK6" s="44" t="str">
        <f t="shared" si="7"/>
        <v/>
      </c>
      <c r="CL6" s="46">
        <v>0.0</v>
      </c>
    </row>
    <row r="7" ht="103.5" customHeight="1">
      <c r="A7" s="26">
        <f t="shared" si="1"/>
        <v>5</v>
      </c>
      <c r="B7" s="27"/>
      <c r="C7" s="27" t="s">
        <v>99</v>
      </c>
      <c r="D7" s="27"/>
      <c r="E7" s="26"/>
      <c r="F7" s="26"/>
      <c r="G7" s="20">
        <v>1.0</v>
      </c>
      <c r="H7" s="20">
        <v>1.0</v>
      </c>
      <c r="I7" s="23" t="s">
        <v>72</v>
      </c>
      <c r="J7" s="33"/>
      <c r="K7" s="22">
        <f t="shared" si="2"/>
        <v>1</v>
      </c>
      <c r="L7" s="23" t="s">
        <v>80</v>
      </c>
      <c r="M7" s="34">
        <v>46288.66849931713</v>
      </c>
      <c r="N7" s="25" t="s">
        <v>69</v>
      </c>
      <c r="O7" s="34">
        <v>46288.701932870375</v>
      </c>
      <c r="P7" s="29">
        <f t="shared" si="8"/>
        <v>48.14431667</v>
      </c>
      <c r="Q7" s="29">
        <f t="shared" si="9"/>
        <v>0</v>
      </c>
      <c r="R7" s="29">
        <f t="shared" si="10"/>
        <v>0.8024052779</v>
      </c>
      <c r="S7" s="22" t="str">
        <f t="shared" si="11"/>
        <v/>
      </c>
      <c r="T7" s="23"/>
      <c r="U7" s="44"/>
      <c r="V7" s="25"/>
      <c r="W7" s="44"/>
      <c r="X7" s="54"/>
      <c r="Y7" s="22" t="str">
        <f t="shared" si="12"/>
        <v/>
      </c>
      <c r="Z7" s="23"/>
      <c r="AA7" s="44"/>
      <c r="AB7" s="25"/>
      <c r="AC7" s="44"/>
      <c r="AD7" s="54"/>
      <c r="AE7" s="22" t="str">
        <f t="shared" si="13"/>
        <v/>
      </c>
      <c r="AF7" s="23"/>
      <c r="AG7" s="44" t="str">
        <f t="shared" si="3"/>
        <v/>
      </c>
      <c r="AH7" s="25"/>
      <c r="AI7" s="44" t="str">
        <f t="shared" si="4"/>
        <v/>
      </c>
      <c r="AJ7" s="46">
        <v>0.0</v>
      </c>
      <c r="AK7" s="33"/>
      <c r="AL7" s="22">
        <v>1.0</v>
      </c>
      <c r="AM7" s="23" t="s">
        <v>80</v>
      </c>
      <c r="AN7" s="34">
        <v>46293.47763891204</v>
      </c>
      <c r="AO7" s="25" t="s">
        <v>69</v>
      </c>
      <c r="AP7" s="34">
        <v>46293.562260798615</v>
      </c>
      <c r="AQ7" s="29">
        <f t="shared" si="14"/>
        <v>121.8555167</v>
      </c>
      <c r="AR7" s="29">
        <f t="shared" si="15"/>
        <v>60</v>
      </c>
      <c r="AS7" s="29">
        <f t="shared" si="16"/>
        <v>1.030925278</v>
      </c>
      <c r="AT7" s="22" t="str">
        <f t="shared" si="17"/>
        <v/>
      </c>
      <c r="AU7" s="23"/>
      <c r="AV7" s="44" t="str">
        <f t="shared" si="18"/>
        <v/>
      </c>
      <c r="AW7" s="25"/>
      <c r="AX7" s="44" t="str">
        <f t="shared" si="19"/>
        <v/>
      </c>
      <c r="AY7" s="54"/>
      <c r="AZ7" s="22" t="str">
        <f t="shared" si="20"/>
        <v/>
      </c>
      <c r="BA7" s="23"/>
      <c r="BB7" s="44" t="str">
        <f t="shared" si="21"/>
        <v/>
      </c>
      <c r="BC7" s="25"/>
      <c r="BD7" s="44" t="str">
        <f t="shared" si="22"/>
        <v/>
      </c>
      <c r="BE7" s="54"/>
      <c r="BF7" s="22" t="str">
        <f t="shared" si="23"/>
        <v/>
      </c>
      <c r="BG7" s="23"/>
      <c r="BH7" s="44" t="str">
        <f t="shared" ref="BH7:BH37" si="36">if(BG7&lt;&gt;"", if(BH7="",NOW(),BH7),"")</f>
        <v/>
      </c>
      <c r="BI7" s="25"/>
      <c r="BJ7" s="44" t="str">
        <f t="shared" ref="BJ7:BJ37" si="37">if(BI7="Done", if(BJ7="",NOW(),BJ7),"")</f>
        <v/>
      </c>
      <c r="BK7" s="46">
        <v>0.0</v>
      </c>
      <c r="BL7" s="33"/>
      <c r="BM7" s="22" t="str">
        <f t="shared" si="24"/>
        <v/>
      </c>
      <c r="BN7" s="23"/>
      <c r="BO7" s="44" t="str">
        <f t="shared" si="25"/>
        <v/>
      </c>
      <c r="BP7" s="25"/>
      <c r="BQ7" s="44" t="str">
        <f t="shared" si="26"/>
        <v/>
      </c>
      <c r="BR7" s="29" t="str">
        <f t="shared" si="27"/>
        <v/>
      </c>
      <c r="BS7" s="29">
        <f t="shared" si="28"/>
        <v>0</v>
      </c>
      <c r="BT7" s="29">
        <f t="shared" si="29"/>
        <v>0</v>
      </c>
      <c r="BU7" s="22" t="str">
        <f t="shared" si="30"/>
        <v/>
      </c>
      <c r="BV7" s="23"/>
      <c r="BW7" s="44" t="str">
        <f t="shared" si="31"/>
        <v/>
      </c>
      <c r="BX7" s="25"/>
      <c r="BY7" s="44" t="str">
        <f t="shared" si="32"/>
        <v/>
      </c>
      <c r="BZ7" s="54"/>
      <c r="CA7" s="22" t="str">
        <f t="shared" si="33"/>
        <v/>
      </c>
      <c r="CB7" s="23"/>
      <c r="CC7" s="44" t="str">
        <f t="shared" si="34"/>
        <v/>
      </c>
      <c r="CD7" s="25"/>
      <c r="CE7" s="44" t="str">
        <f t="shared" si="35"/>
        <v/>
      </c>
      <c r="CF7" s="54"/>
      <c r="CG7" s="22" t="str">
        <f t="shared" si="5"/>
        <v/>
      </c>
      <c r="CH7" s="23"/>
      <c r="CI7" s="44" t="str">
        <f t="shared" si="6"/>
        <v/>
      </c>
      <c r="CJ7" s="25"/>
      <c r="CK7" s="44" t="str">
        <f t="shared" si="7"/>
        <v/>
      </c>
      <c r="CL7" s="46">
        <v>0.0</v>
      </c>
    </row>
    <row r="8" ht="97.5" customHeight="1">
      <c r="A8" s="26">
        <f t="shared" si="1"/>
        <v>6</v>
      </c>
      <c r="B8" s="27"/>
      <c r="C8" s="27" t="s">
        <v>103</v>
      </c>
      <c r="D8" s="27"/>
      <c r="E8" s="26"/>
      <c r="F8" s="26"/>
      <c r="G8" s="20">
        <v>1.0</v>
      </c>
      <c r="H8" s="20">
        <v>1.0</v>
      </c>
      <c r="I8" s="23" t="s">
        <v>72</v>
      </c>
      <c r="J8" s="33"/>
      <c r="K8" s="22">
        <f t="shared" si="2"/>
        <v>1</v>
      </c>
      <c r="L8" s="23" t="s">
        <v>104</v>
      </c>
      <c r="M8" s="34">
        <v>46289.4458418287</v>
      </c>
      <c r="N8" s="25" t="s">
        <v>69</v>
      </c>
      <c r="O8" s="34">
        <v>46289.483449074076</v>
      </c>
      <c r="P8" s="29">
        <f t="shared" si="8"/>
        <v>54.15443334</v>
      </c>
      <c r="Q8" s="29">
        <f t="shared" si="9"/>
        <v>0</v>
      </c>
      <c r="R8" s="29">
        <f t="shared" si="10"/>
        <v>0.9025738889</v>
      </c>
      <c r="S8" s="22" t="str">
        <f t="shared" si="11"/>
        <v/>
      </c>
      <c r="T8" s="23"/>
      <c r="U8" s="44"/>
      <c r="V8" s="25"/>
      <c r="W8" s="44"/>
      <c r="X8" s="54"/>
      <c r="Y8" s="22" t="str">
        <f t="shared" si="12"/>
        <v/>
      </c>
      <c r="Z8" s="23"/>
      <c r="AA8" s="44"/>
      <c r="AB8" s="25"/>
      <c r="AC8" s="44"/>
      <c r="AD8" s="54"/>
      <c r="AE8" s="22" t="str">
        <f t="shared" si="13"/>
        <v/>
      </c>
      <c r="AF8" s="23"/>
      <c r="AG8" s="44" t="str">
        <f t="shared" si="3"/>
        <v/>
      </c>
      <c r="AH8" s="25"/>
      <c r="AI8" s="44" t="str">
        <f t="shared" si="4"/>
        <v/>
      </c>
      <c r="AJ8" s="46">
        <v>0.0</v>
      </c>
      <c r="AK8" s="33"/>
      <c r="AL8" s="22">
        <v>1.0</v>
      </c>
      <c r="AM8" s="23" t="s">
        <v>104</v>
      </c>
      <c r="AN8" s="34">
        <v>46290.62017866898</v>
      </c>
      <c r="AO8" s="25" t="s">
        <v>69</v>
      </c>
      <c r="AP8" s="34">
        <v>46290.67769709491</v>
      </c>
      <c r="AQ8" s="29">
        <f t="shared" si="14"/>
        <v>82.82653334</v>
      </c>
      <c r="AR8" s="29">
        <f t="shared" si="15"/>
        <v>0</v>
      </c>
      <c r="AS8" s="29">
        <f t="shared" si="16"/>
        <v>1.380442222</v>
      </c>
      <c r="AT8" s="22" t="str">
        <f t="shared" si="17"/>
        <v/>
      </c>
      <c r="AU8" s="23"/>
      <c r="AV8" s="44" t="str">
        <f t="shared" si="18"/>
        <v/>
      </c>
      <c r="AW8" s="25"/>
      <c r="AX8" s="44" t="str">
        <f t="shared" si="19"/>
        <v/>
      </c>
      <c r="AY8" s="54"/>
      <c r="AZ8" s="22" t="str">
        <f t="shared" si="20"/>
        <v/>
      </c>
      <c r="BA8" s="23"/>
      <c r="BB8" s="44" t="str">
        <f t="shared" si="21"/>
        <v/>
      </c>
      <c r="BC8" s="25"/>
      <c r="BD8" s="44" t="str">
        <f t="shared" si="22"/>
        <v/>
      </c>
      <c r="BE8" s="54"/>
      <c r="BF8" s="22" t="str">
        <f t="shared" si="23"/>
        <v/>
      </c>
      <c r="BG8" s="23"/>
      <c r="BH8" s="44" t="str">
        <f t="shared" si="36"/>
        <v/>
      </c>
      <c r="BI8" s="25"/>
      <c r="BJ8" s="44" t="str">
        <f t="shared" si="37"/>
        <v/>
      </c>
      <c r="BK8" s="46">
        <v>0.0</v>
      </c>
      <c r="BL8" s="33"/>
      <c r="BM8" s="22" t="str">
        <f t="shared" si="24"/>
        <v/>
      </c>
      <c r="BN8" s="23"/>
      <c r="BO8" s="44" t="str">
        <f t="shared" si="25"/>
        <v/>
      </c>
      <c r="BP8" s="25"/>
      <c r="BQ8" s="44" t="str">
        <f t="shared" si="26"/>
        <v/>
      </c>
      <c r="BR8" s="29" t="str">
        <f t="shared" si="27"/>
        <v/>
      </c>
      <c r="BS8" s="29">
        <f t="shared" si="28"/>
        <v>0</v>
      </c>
      <c r="BT8" s="29">
        <f t="shared" si="29"/>
        <v>0</v>
      </c>
      <c r="BU8" s="22" t="str">
        <f t="shared" si="30"/>
        <v/>
      </c>
      <c r="BV8" s="23"/>
      <c r="BW8" s="44" t="str">
        <f t="shared" si="31"/>
        <v/>
      </c>
      <c r="BX8" s="25"/>
      <c r="BY8" s="44" t="str">
        <f t="shared" si="32"/>
        <v/>
      </c>
      <c r="BZ8" s="54"/>
      <c r="CA8" s="22" t="str">
        <f t="shared" si="33"/>
        <v/>
      </c>
      <c r="CB8" s="23"/>
      <c r="CC8" s="44" t="str">
        <f t="shared" si="34"/>
        <v/>
      </c>
      <c r="CD8" s="25"/>
      <c r="CE8" s="44" t="str">
        <f t="shared" si="35"/>
        <v/>
      </c>
      <c r="CF8" s="54"/>
      <c r="CG8" s="22" t="str">
        <f t="shared" si="5"/>
        <v/>
      </c>
      <c r="CH8" s="23"/>
      <c r="CI8" s="44" t="str">
        <f t="shared" si="6"/>
        <v/>
      </c>
      <c r="CJ8" s="25"/>
      <c r="CK8" s="44" t="str">
        <f t="shared" si="7"/>
        <v/>
      </c>
      <c r="CL8" s="46">
        <v>0.0</v>
      </c>
    </row>
    <row r="9" ht="106.5" customHeight="1">
      <c r="A9" s="26">
        <f t="shared" si="1"/>
        <v>7</v>
      </c>
      <c r="B9" s="27"/>
      <c r="C9" s="27" t="s">
        <v>107</v>
      </c>
      <c r="D9" s="27"/>
      <c r="E9" s="26"/>
      <c r="F9" s="26"/>
      <c r="G9" s="20">
        <v>1.0</v>
      </c>
      <c r="H9" s="20">
        <v>1.0</v>
      </c>
      <c r="I9" s="23" t="s">
        <v>72</v>
      </c>
      <c r="J9" s="33"/>
      <c r="K9" s="22">
        <f t="shared" si="2"/>
        <v>1</v>
      </c>
      <c r="L9" s="23" t="s">
        <v>104</v>
      </c>
      <c r="M9" s="34">
        <v>46288.66809939815</v>
      </c>
      <c r="N9" s="25" t="s">
        <v>69</v>
      </c>
      <c r="O9" s="34">
        <v>46288.70682658565</v>
      </c>
      <c r="P9" s="29">
        <f t="shared" si="8"/>
        <v>55.76715</v>
      </c>
      <c r="Q9" s="29">
        <f t="shared" si="9"/>
        <v>0</v>
      </c>
      <c r="R9" s="29">
        <f t="shared" si="10"/>
        <v>0.9294525</v>
      </c>
      <c r="S9" s="22" t="str">
        <f t="shared" si="11"/>
        <v/>
      </c>
      <c r="T9" s="23"/>
      <c r="U9" s="44"/>
      <c r="V9" s="25"/>
      <c r="W9" s="44"/>
      <c r="X9" s="54"/>
      <c r="Y9" s="22" t="str">
        <f t="shared" si="12"/>
        <v/>
      </c>
      <c r="Z9" s="23"/>
      <c r="AA9" s="44"/>
      <c r="AB9" s="25"/>
      <c r="AC9" s="44"/>
      <c r="AD9" s="54"/>
      <c r="AE9" s="22" t="str">
        <f t="shared" si="13"/>
        <v/>
      </c>
      <c r="AF9" s="23"/>
      <c r="AG9" s="44" t="str">
        <f t="shared" si="3"/>
        <v/>
      </c>
      <c r="AH9" s="25"/>
      <c r="AI9" s="44" t="str">
        <f t="shared" si="4"/>
        <v/>
      </c>
      <c r="AJ9" s="46">
        <v>0.0</v>
      </c>
      <c r="AK9" s="33"/>
      <c r="AL9" s="22">
        <v>1.0</v>
      </c>
      <c r="AM9" s="23" t="s">
        <v>104</v>
      </c>
      <c r="AN9" s="34">
        <v>46293.39801089121</v>
      </c>
      <c r="AO9" s="25" t="s">
        <v>69</v>
      </c>
      <c r="AP9" s="34">
        <v>46293.44101945602</v>
      </c>
      <c r="AQ9" s="29">
        <f t="shared" si="14"/>
        <v>61.93233333</v>
      </c>
      <c r="AR9" s="29">
        <f t="shared" si="15"/>
        <v>0</v>
      </c>
      <c r="AS9" s="29">
        <f t="shared" si="16"/>
        <v>1.032205555</v>
      </c>
      <c r="AT9" s="22" t="str">
        <f t="shared" si="17"/>
        <v/>
      </c>
      <c r="AU9" s="23"/>
      <c r="AV9" s="44" t="str">
        <f t="shared" si="18"/>
        <v/>
      </c>
      <c r="AW9" s="25"/>
      <c r="AX9" s="44" t="str">
        <f t="shared" si="19"/>
        <v/>
      </c>
      <c r="AY9" s="54"/>
      <c r="AZ9" s="22" t="str">
        <f t="shared" si="20"/>
        <v/>
      </c>
      <c r="BA9" s="23"/>
      <c r="BB9" s="44" t="str">
        <f t="shared" si="21"/>
        <v/>
      </c>
      <c r="BC9" s="25"/>
      <c r="BD9" s="44" t="str">
        <f t="shared" si="22"/>
        <v/>
      </c>
      <c r="BE9" s="54"/>
      <c r="BF9" s="22" t="str">
        <f t="shared" si="23"/>
        <v/>
      </c>
      <c r="BG9" s="23"/>
      <c r="BH9" s="44" t="str">
        <f t="shared" si="36"/>
        <v/>
      </c>
      <c r="BI9" s="25"/>
      <c r="BJ9" s="44" t="str">
        <f t="shared" si="37"/>
        <v/>
      </c>
      <c r="BK9" s="46">
        <v>0.0</v>
      </c>
      <c r="BL9" s="33"/>
      <c r="BM9" s="22" t="str">
        <f t="shared" si="24"/>
        <v/>
      </c>
      <c r="BN9" s="23"/>
      <c r="BO9" s="44" t="str">
        <f t="shared" si="25"/>
        <v/>
      </c>
      <c r="BP9" s="25"/>
      <c r="BQ9" s="44" t="str">
        <f t="shared" si="26"/>
        <v/>
      </c>
      <c r="BR9" s="29" t="str">
        <f t="shared" si="27"/>
        <v/>
      </c>
      <c r="BS9" s="29">
        <f t="shared" si="28"/>
        <v>0</v>
      </c>
      <c r="BT9" s="29">
        <f t="shared" si="29"/>
        <v>0</v>
      </c>
      <c r="BU9" s="22" t="str">
        <f t="shared" si="30"/>
        <v/>
      </c>
      <c r="BV9" s="23"/>
      <c r="BW9" s="44" t="str">
        <f t="shared" si="31"/>
        <v/>
      </c>
      <c r="BX9" s="25"/>
      <c r="BY9" s="44" t="str">
        <f t="shared" si="32"/>
        <v/>
      </c>
      <c r="BZ9" s="54"/>
      <c r="CA9" s="22" t="str">
        <f t="shared" si="33"/>
        <v/>
      </c>
      <c r="CB9" s="23"/>
      <c r="CC9" s="44" t="str">
        <f t="shared" si="34"/>
        <v/>
      </c>
      <c r="CD9" s="25"/>
      <c r="CE9" s="44" t="str">
        <f t="shared" si="35"/>
        <v/>
      </c>
      <c r="CF9" s="54"/>
      <c r="CG9" s="22" t="str">
        <f t="shared" si="5"/>
        <v/>
      </c>
      <c r="CH9" s="23"/>
      <c r="CI9" s="44" t="str">
        <f t="shared" si="6"/>
        <v/>
      </c>
      <c r="CJ9" s="25"/>
      <c r="CK9" s="44" t="str">
        <f t="shared" si="7"/>
        <v/>
      </c>
      <c r="CL9" s="46">
        <v>0.0</v>
      </c>
    </row>
    <row r="10" ht="101.25" customHeight="1">
      <c r="A10" s="26">
        <f t="shared" si="1"/>
        <v>8</v>
      </c>
      <c r="B10" s="26" t="str">
        <f>IF(D10="","",COUNTA($A$3:B10))</f>
        <v/>
      </c>
      <c r="C10" s="27" t="s">
        <v>112</v>
      </c>
      <c r="D10" s="27"/>
      <c r="E10" s="26"/>
      <c r="F10" s="26"/>
      <c r="G10" s="20">
        <v>1.0</v>
      </c>
      <c r="H10" s="20">
        <v>1.0</v>
      </c>
      <c r="I10" s="23" t="s">
        <v>72</v>
      </c>
      <c r="J10" s="33"/>
      <c r="K10" s="22">
        <f t="shared" si="2"/>
        <v>1</v>
      </c>
      <c r="L10" s="23" t="s">
        <v>104</v>
      </c>
      <c r="M10" s="34">
        <v>46289.392288206014</v>
      </c>
      <c r="N10" s="25" t="s">
        <v>69</v>
      </c>
      <c r="O10" s="34">
        <v>46289.428679247685</v>
      </c>
      <c r="P10" s="29">
        <f t="shared" si="8"/>
        <v>52.40310001</v>
      </c>
      <c r="Q10" s="29">
        <f t="shared" si="9"/>
        <v>0</v>
      </c>
      <c r="R10" s="29">
        <f t="shared" si="10"/>
        <v>0.8733850001</v>
      </c>
      <c r="S10" s="22" t="str">
        <f t="shared" si="11"/>
        <v/>
      </c>
      <c r="T10" s="23"/>
      <c r="U10" s="44"/>
      <c r="V10" s="25"/>
      <c r="W10" s="44"/>
      <c r="X10" s="54"/>
      <c r="Y10" s="22" t="str">
        <f t="shared" si="12"/>
        <v/>
      </c>
      <c r="Z10" s="23"/>
      <c r="AA10" s="44"/>
      <c r="AB10" s="25"/>
      <c r="AC10" s="44"/>
      <c r="AD10" s="54"/>
      <c r="AE10" s="22" t="str">
        <f t="shared" si="13"/>
        <v/>
      </c>
      <c r="AF10" s="23"/>
      <c r="AG10" s="44" t="str">
        <f t="shared" si="3"/>
        <v/>
      </c>
      <c r="AH10" s="25"/>
      <c r="AI10" s="44" t="str">
        <f t="shared" si="4"/>
        <v/>
      </c>
      <c r="AJ10" s="46">
        <v>0.0</v>
      </c>
      <c r="AK10" s="33"/>
      <c r="AL10" s="22">
        <v>1.0</v>
      </c>
      <c r="AM10" s="23" t="s">
        <v>104</v>
      </c>
      <c r="AN10" s="34">
        <v>46293.458817673614</v>
      </c>
      <c r="AO10" s="25" t="s">
        <v>69</v>
      </c>
      <c r="AP10" s="34">
        <v>46293.49616052084</v>
      </c>
      <c r="AQ10" s="29">
        <f t="shared" si="14"/>
        <v>53.7737</v>
      </c>
      <c r="AR10" s="29">
        <f t="shared" si="15"/>
        <v>0</v>
      </c>
      <c r="AS10" s="29">
        <f t="shared" si="16"/>
        <v>0.8962283334</v>
      </c>
      <c r="AT10" s="22" t="str">
        <f t="shared" si="17"/>
        <v/>
      </c>
      <c r="AU10" s="23"/>
      <c r="AV10" s="44" t="str">
        <f t="shared" si="18"/>
        <v/>
      </c>
      <c r="AW10" s="25"/>
      <c r="AX10" s="44" t="str">
        <f t="shared" si="19"/>
        <v/>
      </c>
      <c r="AY10" s="54"/>
      <c r="AZ10" s="22" t="str">
        <f t="shared" si="20"/>
        <v/>
      </c>
      <c r="BA10" s="23"/>
      <c r="BB10" s="44" t="str">
        <f t="shared" si="21"/>
        <v/>
      </c>
      <c r="BC10" s="25"/>
      <c r="BD10" s="44" t="str">
        <f t="shared" si="22"/>
        <v/>
      </c>
      <c r="BE10" s="54"/>
      <c r="BF10" s="22" t="str">
        <f t="shared" si="23"/>
        <v/>
      </c>
      <c r="BG10" s="23"/>
      <c r="BH10" s="44" t="str">
        <f t="shared" si="36"/>
        <v/>
      </c>
      <c r="BI10" s="25"/>
      <c r="BJ10" s="44" t="str">
        <f t="shared" si="37"/>
        <v/>
      </c>
      <c r="BK10" s="46">
        <v>0.0</v>
      </c>
      <c r="BL10" s="33"/>
      <c r="BM10" s="22" t="str">
        <f t="shared" si="24"/>
        <v/>
      </c>
      <c r="BN10" s="23"/>
      <c r="BO10" s="44" t="str">
        <f t="shared" si="25"/>
        <v/>
      </c>
      <c r="BP10" s="25"/>
      <c r="BQ10" s="44" t="str">
        <f t="shared" si="26"/>
        <v/>
      </c>
      <c r="BR10" s="29" t="str">
        <f t="shared" si="27"/>
        <v/>
      </c>
      <c r="BS10" s="29">
        <f t="shared" si="28"/>
        <v>0</v>
      </c>
      <c r="BT10" s="29">
        <f t="shared" si="29"/>
        <v>0</v>
      </c>
      <c r="BU10" s="22" t="str">
        <f t="shared" si="30"/>
        <v/>
      </c>
      <c r="BV10" s="23"/>
      <c r="BW10" s="44" t="str">
        <f t="shared" si="31"/>
        <v/>
      </c>
      <c r="BX10" s="25"/>
      <c r="BY10" s="44" t="str">
        <f t="shared" si="32"/>
        <v/>
      </c>
      <c r="BZ10" s="54"/>
      <c r="CA10" s="22" t="str">
        <f t="shared" si="33"/>
        <v/>
      </c>
      <c r="CB10" s="23"/>
      <c r="CC10" s="44" t="str">
        <f t="shared" si="34"/>
        <v/>
      </c>
      <c r="CD10" s="25"/>
      <c r="CE10" s="44" t="str">
        <f t="shared" si="35"/>
        <v/>
      </c>
      <c r="CF10" s="54"/>
      <c r="CG10" s="22" t="str">
        <f t="shared" si="5"/>
        <v/>
      </c>
      <c r="CH10" s="23"/>
      <c r="CI10" s="44" t="str">
        <f t="shared" si="6"/>
        <v/>
      </c>
      <c r="CJ10" s="25"/>
      <c r="CK10" s="44" t="str">
        <f t="shared" si="7"/>
        <v/>
      </c>
      <c r="CL10" s="46">
        <v>0.0</v>
      </c>
    </row>
    <row r="11" ht="102.0" customHeight="1">
      <c r="A11" s="26">
        <f t="shared" si="1"/>
        <v>9</v>
      </c>
      <c r="B11" s="27"/>
      <c r="C11" s="27" t="s">
        <v>114</v>
      </c>
      <c r="D11" s="27"/>
      <c r="E11" s="26"/>
      <c r="F11" s="26"/>
      <c r="G11" s="20">
        <v>1.0</v>
      </c>
      <c r="H11" s="20">
        <v>1.0</v>
      </c>
      <c r="I11" s="23" t="s">
        <v>72</v>
      </c>
      <c r="J11" s="33"/>
      <c r="K11" s="22">
        <f t="shared" si="2"/>
        <v>1</v>
      </c>
      <c r="L11" s="23" t="s">
        <v>104</v>
      </c>
      <c r="M11" s="34">
        <v>46289.57122680555</v>
      </c>
      <c r="N11" s="25" t="s">
        <v>69</v>
      </c>
      <c r="O11" s="34">
        <v>46289.61009637731</v>
      </c>
      <c r="P11" s="29">
        <f t="shared" si="8"/>
        <v>55.97218334</v>
      </c>
      <c r="Q11" s="29">
        <f t="shared" si="9"/>
        <v>0</v>
      </c>
      <c r="R11" s="29">
        <f t="shared" si="10"/>
        <v>0.9328697223</v>
      </c>
      <c r="S11" s="22" t="str">
        <f t="shared" si="11"/>
        <v/>
      </c>
      <c r="T11" s="23"/>
      <c r="U11" s="44"/>
      <c r="V11" s="25"/>
      <c r="W11" s="44"/>
      <c r="X11" s="54"/>
      <c r="Y11" s="22" t="str">
        <f t="shared" si="12"/>
        <v/>
      </c>
      <c r="Z11" s="23"/>
      <c r="AA11" s="44"/>
      <c r="AB11" s="25"/>
      <c r="AC11" s="44"/>
      <c r="AD11" s="54"/>
      <c r="AE11" s="22" t="str">
        <f t="shared" si="13"/>
        <v/>
      </c>
      <c r="AF11" s="23"/>
      <c r="AG11" s="44" t="str">
        <f t="shared" si="3"/>
        <v/>
      </c>
      <c r="AH11" s="25"/>
      <c r="AI11" s="44" t="str">
        <f t="shared" si="4"/>
        <v/>
      </c>
      <c r="AJ11" s="46">
        <v>0.0</v>
      </c>
      <c r="AK11" s="33"/>
      <c r="AL11" s="22">
        <v>1.0</v>
      </c>
      <c r="AM11" s="23" t="s">
        <v>104</v>
      </c>
      <c r="AN11" s="34">
        <v>46293.55964515047</v>
      </c>
      <c r="AO11" s="25" t="s">
        <v>69</v>
      </c>
      <c r="AP11" s="34">
        <v>46293.61697552083</v>
      </c>
      <c r="AQ11" s="29">
        <f t="shared" si="14"/>
        <v>82.55573332</v>
      </c>
      <c r="AR11" s="29">
        <f t="shared" si="15"/>
        <v>0</v>
      </c>
      <c r="AS11" s="29">
        <f t="shared" si="16"/>
        <v>1.375928889</v>
      </c>
      <c r="AT11" s="22" t="str">
        <f t="shared" si="17"/>
        <v/>
      </c>
      <c r="AU11" s="23"/>
      <c r="AV11" s="44" t="str">
        <f t="shared" si="18"/>
        <v/>
      </c>
      <c r="AW11" s="25"/>
      <c r="AX11" s="44" t="str">
        <f t="shared" si="19"/>
        <v/>
      </c>
      <c r="AY11" s="54"/>
      <c r="AZ11" s="22" t="str">
        <f t="shared" si="20"/>
        <v/>
      </c>
      <c r="BA11" s="23"/>
      <c r="BB11" s="44" t="str">
        <f t="shared" si="21"/>
        <v/>
      </c>
      <c r="BC11" s="25"/>
      <c r="BD11" s="44" t="str">
        <f t="shared" si="22"/>
        <v/>
      </c>
      <c r="BE11" s="54"/>
      <c r="BF11" s="22" t="str">
        <f t="shared" si="23"/>
        <v/>
      </c>
      <c r="BG11" s="23"/>
      <c r="BH11" s="44" t="str">
        <f t="shared" si="36"/>
        <v/>
      </c>
      <c r="BI11" s="25"/>
      <c r="BJ11" s="44" t="str">
        <f t="shared" si="37"/>
        <v/>
      </c>
      <c r="BK11" s="46">
        <v>0.0</v>
      </c>
      <c r="BL11" s="33"/>
      <c r="BM11" s="22" t="str">
        <f t="shared" si="24"/>
        <v/>
      </c>
      <c r="BN11" s="23"/>
      <c r="BO11" s="44" t="str">
        <f t="shared" si="25"/>
        <v/>
      </c>
      <c r="BP11" s="25"/>
      <c r="BQ11" s="44" t="str">
        <f t="shared" si="26"/>
        <v/>
      </c>
      <c r="BR11" s="29" t="str">
        <f t="shared" si="27"/>
        <v/>
      </c>
      <c r="BS11" s="29">
        <f t="shared" si="28"/>
        <v>0</v>
      </c>
      <c r="BT11" s="29">
        <f t="shared" si="29"/>
        <v>0</v>
      </c>
      <c r="BU11" s="22" t="str">
        <f t="shared" si="30"/>
        <v/>
      </c>
      <c r="BV11" s="23"/>
      <c r="BW11" s="44" t="str">
        <f t="shared" si="31"/>
        <v/>
      </c>
      <c r="BX11" s="25"/>
      <c r="BY11" s="44" t="str">
        <f t="shared" si="32"/>
        <v/>
      </c>
      <c r="BZ11" s="54"/>
      <c r="CA11" s="22" t="str">
        <f t="shared" si="33"/>
        <v/>
      </c>
      <c r="CB11" s="23"/>
      <c r="CC11" s="44" t="str">
        <f t="shared" si="34"/>
        <v/>
      </c>
      <c r="CD11" s="25"/>
      <c r="CE11" s="44" t="str">
        <f t="shared" si="35"/>
        <v/>
      </c>
      <c r="CF11" s="54"/>
      <c r="CG11" s="22" t="str">
        <f t="shared" si="5"/>
        <v/>
      </c>
      <c r="CH11" s="23"/>
      <c r="CI11" s="44" t="str">
        <f t="shared" si="6"/>
        <v/>
      </c>
      <c r="CJ11" s="25"/>
      <c r="CK11" s="44" t="str">
        <f t="shared" si="7"/>
        <v/>
      </c>
      <c r="CL11" s="46">
        <v>0.0</v>
      </c>
    </row>
    <row r="12" ht="101.25" customHeight="1">
      <c r="A12" s="26">
        <f t="shared" si="1"/>
        <v>10</v>
      </c>
      <c r="B12" s="27"/>
      <c r="C12" s="27" t="s">
        <v>117</v>
      </c>
      <c r="D12" s="27"/>
      <c r="E12" s="26"/>
      <c r="F12" s="26"/>
      <c r="G12" s="20">
        <v>1.0</v>
      </c>
      <c r="H12" s="20">
        <v>1.0</v>
      </c>
      <c r="I12" s="23" t="s">
        <v>72</v>
      </c>
      <c r="J12" s="33"/>
      <c r="K12" s="22">
        <f t="shared" si="2"/>
        <v>1</v>
      </c>
      <c r="L12" s="23" t="s">
        <v>73</v>
      </c>
      <c r="M12" s="34">
        <v>46289.68164145833</v>
      </c>
      <c r="N12" s="25" t="s">
        <v>69</v>
      </c>
      <c r="O12" s="34">
        <v>46289.7070553588</v>
      </c>
      <c r="P12" s="29">
        <f t="shared" si="8"/>
        <v>36.59601667</v>
      </c>
      <c r="Q12" s="29">
        <f t="shared" si="9"/>
        <v>0</v>
      </c>
      <c r="R12" s="29">
        <f t="shared" si="10"/>
        <v>0.6099336112</v>
      </c>
      <c r="S12" s="22" t="str">
        <f t="shared" si="11"/>
        <v/>
      </c>
      <c r="T12" s="23"/>
      <c r="U12" s="44"/>
      <c r="V12" s="25"/>
      <c r="W12" s="44"/>
      <c r="X12" s="54"/>
      <c r="Y12" s="22" t="str">
        <f t="shared" si="12"/>
        <v/>
      </c>
      <c r="Z12" s="23"/>
      <c r="AA12" s="44"/>
      <c r="AB12" s="25"/>
      <c r="AC12" s="44"/>
      <c r="AD12" s="54"/>
      <c r="AE12" s="22" t="str">
        <f t="shared" si="13"/>
        <v/>
      </c>
      <c r="AF12" s="23"/>
      <c r="AG12" s="44" t="str">
        <f t="shared" si="3"/>
        <v/>
      </c>
      <c r="AH12" s="25"/>
      <c r="AI12" s="44" t="str">
        <f t="shared" si="4"/>
        <v/>
      </c>
      <c r="AJ12" s="46">
        <v>0.0</v>
      </c>
      <c r="AK12" s="33"/>
      <c r="AL12" s="22">
        <v>1.0</v>
      </c>
      <c r="AM12" s="23" t="s">
        <v>73</v>
      </c>
      <c r="AN12" s="34">
        <v>46293.43886318287</v>
      </c>
      <c r="AO12" s="25" t="s">
        <v>69</v>
      </c>
      <c r="AP12" s="34">
        <v>46293.47808641204</v>
      </c>
      <c r="AQ12" s="29">
        <f t="shared" si="14"/>
        <v>56.48145001</v>
      </c>
      <c r="AR12" s="29">
        <f t="shared" si="15"/>
        <v>0</v>
      </c>
      <c r="AS12" s="29">
        <f t="shared" si="16"/>
        <v>0.9413575001</v>
      </c>
      <c r="AT12" s="22" t="str">
        <f t="shared" si="17"/>
        <v/>
      </c>
      <c r="AU12" s="23"/>
      <c r="AV12" s="44" t="str">
        <f t="shared" si="18"/>
        <v/>
      </c>
      <c r="AW12" s="25"/>
      <c r="AX12" s="44" t="str">
        <f t="shared" si="19"/>
        <v/>
      </c>
      <c r="AY12" s="54"/>
      <c r="AZ12" s="22" t="str">
        <f t="shared" si="20"/>
        <v/>
      </c>
      <c r="BA12" s="23"/>
      <c r="BB12" s="44" t="str">
        <f t="shared" si="21"/>
        <v/>
      </c>
      <c r="BC12" s="25"/>
      <c r="BD12" s="44" t="str">
        <f t="shared" si="22"/>
        <v/>
      </c>
      <c r="BE12" s="54"/>
      <c r="BF12" s="22" t="str">
        <f t="shared" si="23"/>
        <v/>
      </c>
      <c r="BG12" s="23"/>
      <c r="BH12" s="44" t="str">
        <f t="shared" si="36"/>
        <v/>
      </c>
      <c r="BI12" s="25"/>
      <c r="BJ12" s="44" t="str">
        <f t="shared" si="37"/>
        <v/>
      </c>
      <c r="BK12" s="46">
        <v>0.0</v>
      </c>
      <c r="BL12" s="33"/>
      <c r="BM12" s="22" t="str">
        <f t="shared" si="24"/>
        <v/>
      </c>
      <c r="BN12" s="23"/>
      <c r="BO12" s="44" t="str">
        <f t="shared" si="25"/>
        <v/>
      </c>
      <c r="BP12" s="25"/>
      <c r="BQ12" s="44" t="str">
        <f t="shared" si="26"/>
        <v/>
      </c>
      <c r="BR12" s="29" t="str">
        <f t="shared" si="27"/>
        <v/>
      </c>
      <c r="BS12" s="29">
        <f t="shared" si="28"/>
        <v>0</v>
      </c>
      <c r="BT12" s="29">
        <f t="shared" si="29"/>
        <v>0</v>
      </c>
      <c r="BU12" s="22" t="str">
        <f t="shared" si="30"/>
        <v/>
      </c>
      <c r="BV12" s="23"/>
      <c r="BW12" s="44" t="str">
        <f t="shared" si="31"/>
        <v/>
      </c>
      <c r="BX12" s="25"/>
      <c r="BY12" s="44" t="str">
        <f t="shared" si="32"/>
        <v/>
      </c>
      <c r="BZ12" s="54"/>
      <c r="CA12" s="22" t="str">
        <f t="shared" si="33"/>
        <v/>
      </c>
      <c r="CB12" s="23"/>
      <c r="CC12" s="44" t="str">
        <f t="shared" si="34"/>
        <v/>
      </c>
      <c r="CD12" s="25"/>
      <c r="CE12" s="44" t="str">
        <f t="shared" si="35"/>
        <v/>
      </c>
      <c r="CF12" s="54"/>
      <c r="CG12" s="22" t="str">
        <f t="shared" si="5"/>
        <v/>
      </c>
      <c r="CH12" s="23"/>
      <c r="CI12" s="44" t="str">
        <f t="shared" si="6"/>
        <v/>
      </c>
      <c r="CJ12" s="25"/>
      <c r="CK12" s="44" t="str">
        <f t="shared" si="7"/>
        <v/>
      </c>
      <c r="CL12" s="46">
        <v>0.0</v>
      </c>
    </row>
    <row r="13" ht="97.5" customHeight="1">
      <c r="A13" s="26">
        <f t="shared" si="1"/>
        <v>11</v>
      </c>
      <c r="B13" s="27"/>
      <c r="C13" s="27" t="s">
        <v>121</v>
      </c>
      <c r="D13" s="27"/>
      <c r="E13" s="26"/>
      <c r="F13" s="26"/>
      <c r="G13" s="20">
        <v>2.0</v>
      </c>
      <c r="H13" s="20">
        <v>2.0</v>
      </c>
      <c r="I13" s="23" t="s">
        <v>72</v>
      </c>
      <c r="J13" s="33"/>
      <c r="K13" s="22">
        <f t="shared" si="2"/>
        <v>2</v>
      </c>
      <c r="L13" s="23" t="s">
        <v>80</v>
      </c>
      <c r="M13" s="34">
        <v>46290.39486543981</v>
      </c>
      <c r="N13" s="25" t="s">
        <v>69</v>
      </c>
      <c r="O13" s="34">
        <v>46290.450795324075</v>
      </c>
      <c r="P13" s="29">
        <f t="shared" si="8"/>
        <v>80.53903334</v>
      </c>
      <c r="Q13" s="29">
        <f t="shared" si="9"/>
        <v>0</v>
      </c>
      <c r="R13" s="29">
        <f t="shared" si="10"/>
        <v>1.342317222</v>
      </c>
      <c r="S13" s="22" t="str">
        <f t="shared" si="11"/>
        <v/>
      </c>
      <c r="T13" s="23"/>
      <c r="U13" s="44"/>
      <c r="V13" s="25"/>
      <c r="W13" s="44"/>
      <c r="X13" s="54"/>
      <c r="Y13" s="22" t="str">
        <f t="shared" si="12"/>
        <v/>
      </c>
      <c r="Z13" s="23"/>
      <c r="AA13" s="44"/>
      <c r="AB13" s="25"/>
      <c r="AC13" s="44"/>
      <c r="AD13" s="54"/>
      <c r="AE13" s="22" t="str">
        <f t="shared" si="13"/>
        <v/>
      </c>
      <c r="AF13" s="23"/>
      <c r="AG13" s="44" t="str">
        <f t="shared" si="3"/>
        <v/>
      </c>
      <c r="AH13" s="25"/>
      <c r="AI13" s="44" t="str">
        <f t="shared" si="4"/>
        <v/>
      </c>
      <c r="AJ13" s="46">
        <v>0.0</v>
      </c>
      <c r="AK13" s="33"/>
      <c r="AL13" s="22">
        <v>2.0</v>
      </c>
      <c r="AM13" s="23" t="s">
        <v>80</v>
      </c>
      <c r="AN13" s="34">
        <v>46290.603577974536</v>
      </c>
      <c r="AO13" s="25" t="s">
        <v>69</v>
      </c>
      <c r="AP13" s="34">
        <v>46290.683614270834</v>
      </c>
      <c r="AQ13" s="29">
        <f t="shared" si="14"/>
        <v>115.2522667</v>
      </c>
      <c r="AR13" s="29">
        <f t="shared" si="15"/>
        <v>0</v>
      </c>
      <c r="AS13" s="29">
        <f t="shared" si="16"/>
        <v>1.920871111</v>
      </c>
      <c r="AT13" s="22" t="str">
        <f t="shared" si="17"/>
        <v/>
      </c>
      <c r="AU13" s="23"/>
      <c r="AV13" s="44" t="str">
        <f t="shared" si="18"/>
        <v/>
      </c>
      <c r="AW13" s="25"/>
      <c r="AX13" s="44" t="str">
        <f t="shared" si="19"/>
        <v/>
      </c>
      <c r="AY13" s="54"/>
      <c r="AZ13" s="22" t="str">
        <f t="shared" si="20"/>
        <v/>
      </c>
      <c r="BA13" s="23"/>
      <c r="BB13" s="44" t="str">
        <f t="shared" si="21"/>
        <v/>
      </c>
      <c r="BC13" s="25"/>
      <c r="BD13" s="44" t="str">
        <f t="shared" si="22"/>
        <v/>
      </c>
      <c r="BE13" s="54"/>
      <c r="BF13" s="22" t="str">
        <f t="shared" si="23"/>
        <v/>
      </c>
      <c r="BG13" s="23"/>
      <c r="BH13" s="44" t="str">
        <f t="shared" si="36"/>
        <v/>
      </c>
      <c r="BI13" s="25"/>
      <c r="BJ13" s="44" t="str">
        <f t="shared" si="37"/>
        <v/>
      </c>
      <c r="BK13" s="46">
        <v>0.0</v>
      </c>
      <c r="BL13" s="33"/>
      <c r="BM13" s="22" t="str">
        <f t="shared" si="24"/>
        <v/>
      </c>
      <c r="BN13" s="23"/>
      <c r="BO13" s="44" t="str">
        <f t="shared" si="25"/>
        <v/>
      </c>
      <c r="BP13" s="25"/>
      <c r="BQ13" s="44" t="str">
        <f t="shared" si="26"/>
        <v/>
      </c>
      <c r="BR13" s="29" t="str">
        <f t="shared" si="27"/>
        <v/>
      </c>
      <c r="BS13" s="29">
        <f t="shared" si="28"/>
        <v>0</v>
      </c>
      <c r="BT13" s="29">
        <f t="shared" si="29"/>
        <v>0</v>
      </c>
      <c r="BU13" s="22" t="str">
        <f t="shared" si="30"/>
        <v/>
      </c>
      <c r="BV13" s="23"/>
      <c r="BW13" s="44" t="str">
        <f t="shared" si="31"/>
        <v/>
      </c>
      <c r="BX13" s="25"/>
      <c r="BY13" s="44" t="str">
        <f t="shared" si="32"/>
        <v/>
      </c>
      <c r="BZ13" s="54"/>
      <c r="CA13" s="22" t="str">
        <f t="shared" si="33"/>
        <v/>
      </c>
      <c r="CB13" s="23"/>
      <c r="CC13" s="44" t="str">
        <f t="shared" si="34"/>
        <v/>
      </c>
      <c r="CD13" s="25"/>
      <c r="CE13" s="44" t="str">
        <f t="shared" si="35"/>
        <v/>
      </c>
      <c r="CF13" s="54"/>
      <c r="CG13" s="22" t="str">
        <f t="shared" si="5"/>
        <v/>
      </c>
      <c r="CH13" s="23"/>
      <c r="CI13" s="44" t="str">
        <f t="shared" si="6"/>
        <v/>
      </c>
      <c r="CJ13" s="25"/>
      <c r="CK13" s="44" t="str">
        <f t="shared" si="7"/>
        <v/>
      </c>
      <c r="CL13" s="46">
        <v>0.0</v>
      </c>
    </row>
    <row r="14" ht="74.25" customHeight="1">
      <c r="A14" s="26">
        <f t="shared" si="1"/>
        <v>12</v>
      </c>
      <c r="B14" s="27"/>
      <c r="C14" s="57" t="s">
        <v>122</v>
      </c>
      <c r="D14" s="27"/>
      <c r="E14" s="26"/>
      <c r="F14" s="26"/>
      <c r="G14" s="20">
        <v>3.0</v>
      </c>
      <c r="H14" s="20">
        <v>3.0</v>
      </c>
      <c r="I14" s="23" t="s">
        <v>72</v>
      </c>
      <c r="J14" s="33"/>
      <c r="K14" s="22">
        <f t="shared" si="2"/>
        <v>3</v>
      </c>
      <c r="L14" s="23" t="s">
        <v>104</v>
      </c>
      <c r="M14" s="34">
        <v>46290.4120912037</v>
      </c>
      <c r="N14" s="25" t="s">
        <v>69</v>
      </c>
      <c r="O14" s="34">
        <v>46290.606955138894</v>
      </c>
      <c r="P14" s="29">
        <f t="shared" si="8"/>
        <v>280.6040667</v>
      </c>
      <c r="Q14" s="29">
        <f t="shared" si="9"/>
        <v>60</v>
      </c>
      <c r="R14" s="29">
        <f t="shared" si="10"/>
        <v>3.676734445</v>
      </c>
      <c r="S14" s="22" t="str">
        <f t="shared" si="11"/>
        <v/>
      </c>
      <c r="T14" s="23"/>
      <c r="U14" s="44"/>
      <c r="V14" s="25"/>
      <c r="W14" s="44"/>
      <c r="X14" s="54"/>
      <c r="Y14" s="22" t="str">
        <f t="shared" si="12"/>
        <v/>
      </c>
      <c r="Z14" s="23"/>
      <c r="AA14" s="44"/>
      <c r="AB14" s="25"/>
      <c r="AC14" s="44"/>
      <c r="AD14" s="54"/>
      <c r="AE14" s="22" t="str">
        <f t="shared" si="13"/>
        <v/>
      </c>
      <c r="AF14" s="23"/>
      <c r="AG14" s="44" t="str">
        <f t="shared" si="3"/>
        <v/>
      </c>
      <c r="AH14" s="25"/>
      <c r="AI14" s="44" t="str">
        <f t="shared" si="4"/>
        <v/>
      </c>
      <c r="AJ14" s="46">
        <v>0.0</v>
      </c>
      <c r="AK14" s="33"/>
      <c r="AL14" s="22">
        <v>3.0</v>
      </c>
      <c r="AM14" s="23" t="s">
        <v>104</v>
      </c>
      <c r="AN14" s="34">
        <v>46293.645416921296</v>
      </c>
      <c r="AO14" s="25" t="s">
        <v>69</v>
      </c>
      <c r="AP14" s="34">
        <v>46294.4125</v>
      </c>
      <c r="AQ14" s="29">
        <f t="shared" si="14"/>
        <v>1104.599633</v>
      </c>
      <c r="AR14" s="29">
        <f t="shared" si="15"/>
        <v>960</v>
      </c>
      <c r="AS14" s="29">
        <f t="shared" si="16"/>
        <v>2.409993889</v>
      </c>
      <c r="AT14" s="22" t="str">
        <f t="shared" si="17"/>
        <v/>
      </c>
      <c r="AU14" s="23"/>
      <c r="AV14" s="44" t="str">
        <f t="shared" si="18"/>
        <v/>
      </c>
      <c r="AW14" s="25"/>
      <c r="AX14" s="44" t="str">
        <f t="shared" si="19"/>
        <v/>
      </c>
      <c r="AY14" s="54"/>
      <c r="AZ14" s="22" t="str">
        <f t="shared" si="20"/>
        <v/>
      </c>
      <c r="BA14" s="23"/>
      <c r="BB14" s="44" t="str">
        <f t="shared" si="21"/>
        <v/>
      </c>
      <c r="BC14" s="25"/>
      <c r="BD14" s="44" t="str">
        <f t="shared" si="22"/>
        <v/>
      </c>
      <c r="BE14" s="54"/>
      <c r="BF14" s="22" t="str">
        <f t="shared" si="23"/>
        <v/>
      </c>
      <c r="BG14" s="23"/>
      <c r="BH14" s="44" t="str">
        <f t="shared" si="36"/>
        <v/>
      </c>
      <c r="BI14" s="25"/>
      <c r="BJ14" s="44" t="str">
        <f t="shared" si="37"/>
        <v/>
      </c>
      <c r="BK14" s="46">
        <v>0.0</v>
      </c>
      <c r="BL14" s="33"/>
      <c r="BM14" s="22" t="str">
        <f t="shared" si="24"/>
        <v/>
      </c>
      <c r="BN14" s="23"/>
      <c r="BO14" s="44" t="str">
        <f t="shared" si="25"/>
        <v/>
      </c>
      <c r="BP14" s="25"/>
      <c r="BQ14" s="44" t="str">
        <f t="shared" si="26"/>
        <v/>
      </c>
      <c r="BR14" s="29" t="str">
        <f t="shared" si="27"/>
        <v/>
      </c>
      <c r="BS14" s="29">
        <f t="shared" si="28"/>
        <v>0</v>
      </c>
      <c r="BT14" s="29">
        <f t="shared" si="29"/>
        <v>0</v>
      </c>
      <c r="BU14" s="22" t="str">
        <f t="shared" si="30"/>
        <v/>
      </c>
      <c r="BV14" s="23"/>
      <c r="BW14" s="44" t="str">
        <f t="shared" si="31"/>
        <v/>
      </c>
      <c r="BX14" s="25"/>
      <c r="BY14" s="44" t="str">
        <f t="shared" si="32"/>
        <v/>
      </c>
      <c r="BZ14" s="54"/>
      <c r="CA14" s="22" t="str">
        <f t="shared" si="33"/>
        <v/>
      </c>
      <c r="CB14" s="23"/>
      <c r="CC14" s="44" t="str">
        <f t="shared" si="34"/>
        <v/>
      </c>
      <c r="CD14" s="25"/>
      <c r="CE14" s="44" t="str">
        <f t="shared" si="35"/>
        <v/>
      </c>
      <c r="CF14" s="54"/>
      <c r="CG14" s="22" t="str">
        <f t="shared" si="5"/>
        <v/>
      </c>
      <c r="CH14" s="23"/>
      <c r="CI14" s="44" t="str">
        <f t="shared" si="6"/>
        <v/>
      </c>
      <c r="CJ14" s="25"/>
      <c r="CK14" s="44" t="str">
        <f t="shared" si="7"/>
        <v/>
      </c>
      <c r="CL14" s="46">
        <v>0.0</v>
      </c>
    </row>
    <row r="15" ht="70.5" customHeight="1">
      <c r="A15" s="26">
        <f t="shared" si="1"/>
        <v>13</v>
      </c>
      <c r="B15" s="27"/>
      <c r="C15" s="57" t="s">
        <v>125</v>
      </c>
      <c r="D15" s="27"/>
      <c r="E15" s="26"/>
      <c r="F15" s="26"/>
      <c r="G15" s="20">
        <v>4.0</v>
      </c>
      <c r="H15" s="20">
        <v>4.0</v>
      </c>
      <c r="I15" s="23" t="s">
        <v>72</v>
      </c>
      <c r="J15" s="33"/>
      <c r="K15" s="22">
        <f t="shared" si="2"/>
        <v>4</v>
      </c>
      <c r="L15" s="23" t="s">
        <v>126</v>
      </c>
      <c r="M15" s="34">
        <v>46290.55208638889</v>
      </c>
      <c r="N15" s="25" t="s">
        <v>69</v>
      </c>
      <c r="O15" s="34">
        <v>46294.46388888889</v>
      </c>
      <c r="P15" s="29">
        <f t="shared" si="8"/>
        <v>5632.9956</v>
      </c>
      <c r="Q15" s="29">
        <f t="shared" si="9"/>
        <v>3840</v>
      </c>
      <c r="R15" s="29">
        <f t="shared" si="10"/>
        <v>29.88326</v>
      </c>
      <c r="S15" s="22" t="str">
        <f t="shared" si="11"/>
        <v/>
      </c>
      <c r="T15" s="23"/>
      <c r="U15" s="44"/>
      <c r="V15" s="25"/>
      <c r="W15" s="44"/>
      <c r="X15" s="54"/>
      <c r="Y15" s="22" t="str">
        <f t="shared" si="12"/>
        <v/>
      </c>
      <c r="Z15" s="23"/>
      <c r="AA15" s="44"/>
      <c r="AB15" s="25"/>
      <c r="AC15" s="44"/>
      <c r="AD15" s="54"/>
      <c r="AE15" s="22" t="str">
        <f t="shared" si="13"/>
        <v/>
      </c>
      <c r="AF15" s="23"/>
      <c r="AG15" s="44" t="str">
        <f t="shared" si="3"/>
        <v/>
      </c>
      <c r="AH15" s="25"/>
      <c r="AI15" s="44" t="str">
        <f t="shared" si="4"/>
        <v/>
      </c>
      <c r="AJ15" s="46">
        <v>0.0</v>
      </c>
      <c r="AK15" s="33"/>
      <c r="AL15" s="22">
        <v>4.0</v>
      </c>
      <c r="AM15" s="23" t="s">
        <v>126</v>
      </c>
      <c r="AN15" s="34">
        <v>46294.48372726852</v>
      </c>
      <c r="AO15" s="25" t="s">
        <v>69</v>
      </c>
      <c r="AP15" s="34">
        <v>46294.684243344906</v>
      </c>
      <c r="AQ15" s="29">
        <f t="shared" si="14"/>
        <v>288.74315</v>
      </c>
      <c r="AR15" s="29">
        <f t="shared" si="15"/>
        <v>60</v>
      </c>
      <c r="AS15" s="29">
        <f t="shared" si="16"/>
        <v>3.812385833</v>
      </c>
      <c r="AT15" s="22" t="str">
        <f t="shared" si="17"/>
        <v/>
      </c>
      <c r="AU15" s="23"/>
      <c r="AV15" s="44" t="str">
        <f t="shared" si="18"/>
        <v/>
      </c>
      <c r="AW15" s="25"/>
      <c r="AX15" s="44" t="str">
        <f t="shared" si="19"/>
        <v/>
      </c>
      <c r="AY15" s="54"/>
      <c r="AZ15" s="22" t="str">
        <f t="shared" si="20"/>
        <v/>
      </c>
      <c r="BA15" s="23"/>
      <c r="BB15" s="44" t="str">
        <f t="shared" si="21"/>
        <v/>
      </c>
      <c r="BC15" s="25"/>
      <c r="BD15" s="44" t="str">
        <f t="shared" si="22"/>
        <v/>
      </c>
      <c r="BE15" s="54"/>
      <c r="BF15" s="22" t="str">
        <f t="shared" si="23"/>
        <v/>
      </c>
      <c r="BG15" s="23"/>
      <c r="BH15" s="44" t="str">
        <f t="shared" si="36"/>
        <v/>
      </c>
      <c r="BI15" s="25"/>
      <c r="BJ15" s="44" t="str">
        <f t="shared" si="37"/>
        <v/>
      </c>
      <c r="BK15" s="46">
        <v>0.0</v>
      </c>
      <c r="BL15" s="33"/>
      <c r="BM15" s="22" t="str">
        <f t="shared" si="24"/>
        <v/>
      </c>
      <c r="BN15" s="23"/>
      <c r="BO15" s="44" t="str">
        <f t="shared" si="25"/>
        <v/>
      </c>
      <c r="BP15" s="25"/>
      <c r="BQ15" s="44" t="str">
        <f t="shared" si="26"/>
        <v/>
      </c>
      <c r="BR15" s="29" t="str">
        <f t="shared" si="27"/>
        <v/>
      </c>
      <c r="BS15" s="29">
        <f t="shared" si="28"/>
        <v>0</v>
      </c>
      <c r="BT15" s="29">
        <f t="shared" si="29"/>
        <v>0</v>
      </c>
      <c r="BU15" s="22" t="str">
        <f t="shared" si="30"/>
        <v/>
      </c>
      <c r="BV15" s="23"/>
      <c r="BW15" s="44" t="str">
        <f t="shared" si="31"/>
        <v/>
      </c>
      <c r="BX15" s="25"/>
      <c r="BY15" s="44" t="str">
        <f t="shared" si="32"/>
        <v/>
      </c>
      <c r="BZ15" s="54"/>
      <c r="CA15" s="22" t="str">
        <f t="shared" si="33"/>
        <v/>
      </c>
      <c r="CB15" s="23"/>
      <c r="CC15" s="44" t="str">
        <f t="shared" si="34"/>
        <v/>
      </c>
      <c r="CD15" s="25"/>
      <c r="CE15" s="44" t="str">
        <f t="shared" si="35"/>
        <v/>
      </c>
      <c r="CF15" s="54"/>
      <c r="CG15" s="22" t="str">
        <f t="shared" si="5"/>
        <v/>
      </c>
      <c r="CH15" s="23"/>
      <c r="CI15" s="44" t="str">
        <f t="shared" si="6"/>
        <v/>
      </c>
      <c r="CJ15" s="25"/>
      <c r="CK15" s="44" t="str">
        <f t="shared" si="7"/>
        <v/>
      </c>
      <c r="CL15" s="46">
        <v>0.0</v>
      </c>
    </row>
    <row r="16" ht="66.75" customHeight="1">
      <c r="A16" s="26">
        <f t="shared" si="1"/>
        <v>14</v>
      </c>
      <c r="B16" s="27"/>
      <c r="C16" s="57" t="s">
        <v>129</v>
      </c>
      <c r="D16" s="27"/>
      <c r="E16" s="26"/>
      <c r="F16" s="26"/>
      <c r="G16" s="20">
        <v>2.0</v>
      </c>
      <c r="H16" s="20">
        <v>2.0</v>
      </c>
      <c r="I16" s="23" t="s">
        <v>72</v>
      </c>
      <c r="J16" s="33"/>
      <c r="K16" s="22">
        <f t="shared" si="2"/>
        <v>2</v>
      </c>
      <c r="L16" s="23" t="s">
        <v>73</v>
      </c>
      <c r="M16" s="34">
        <v>46290.408400960645</v>
      </c>
      <c r="N16" s="25" t="s">
        <v>69</v>
      </c>
      <c r="O16" s="34">
        <v>46290.45463821759</v>
      </c>
      <c r="P16" s="29">
        <f t="shared" si="8"/>
        <v>66.58165</v>
      </c>
      <c r="Q16" s="29">
        <f t="shared" si="9"/>
        <v>0</v>
      </c>
      <c r="R16" s="29">
        <f t="shared" si="10"/>
        <v>1.109694167</v>
      </c>
      <c r="S16" s="22" t="str">
        <f t="shared" si="11"/>
        <v/>
      </c>
      <c r="T16" s="23"/>
      <c r="U16" s="44"/>
      <c r="V16" s="25"/>
      <c r="W16" s="44"/>
      <c r="X16" s="54"/>
      <c r="Y16" s="22" t="str">
        <f t="shared" si="12"/>
        <v/>
      </c>
      <c r="Z16" s="23"/>
      <c r="AA16" s="44"/>
      <c r="AB16" s="25"/>
      <c r="AC16" s="44"/>
      <c r="AD16" s="54"/>
      <c r="AE16" s="22" t="str">
        <f t="shared" si="13"/>
        <v/>
      </c>
      <c r="AF16" s="23"/>
      <c r="AG16" s="44" t="str">
        <f t="shared" si="3"/>
        <v/>
      </c>
      <c r="AH16" s="25"/>
      <c r="AI16" s="44" t="str">
        <f t="shared" si="4"/>
        <v/>
      </c>
      <c r="AJ16" s="46">
        <v>0.0</v>
      </c>
      <c r="AK16" s="33"/>
      <c r="AL16" s="22">
        <v>2.0</v>
      </c>
      <c r="AM16" s="23" t="s">
        <v>73</v>
      </c>
      <c r="AN16" s="34">
        <v>46293.48786864583</v>
      </c>
      <c r="AO16" s="25" t="s">
        <v>69</v>
      </c>
      <c r="AP16" s="34">
        <v>46293.595578611115</v>
      </c>
      <c r="AQ16" s="29">
        <f t="shared" si="14"/>
        <v>155.10235</v>
      </c>
      <c r="AR16" s="29">
        <f t="shared" si="15"/>
        <v>60</v>
      </c>
      <c r="AS16" s="29">
        <f t="shared" si="16"/>
        <v>1.585039167</v>
      </c>
      <c r="AT16" s="22" t="str">
        <f t="shared" si="17"/>
        <v/>
      </c>
      <c r="AU16" s="23"/>
      <c r="AV16" s="44" t="str">
        <f t="shared" si="18"/>
        <v/>
      </c>
      <c r="AW16" s="25"/>
      <c r="AX16" s="44" t="str">
        <f t="shared" si="19"/>
        <v/>
      </c>
      <c r="AY16" s="54"/>
      <c r="AZ16" s="22" t="str">
        <f t="shared" si="20"/>
        <v/>
      </c>
      <c r="BA16" s="23"/>
      <c r="BB16" s="44" t="str">
        <f t="shared" si="21"/>
        <v/>
      </c>
      <c r="BC16" s="25"/>
      <c r="BD16" s="44" t="str">
        <f t="shared" si="22"/>
        <v/>
      </c>
      <c r="BE16" s="54"/>
      <c r="BF16" s="22" t="str">
        <f t="shared" si="23"/>
        <v/>
      </c>
      <c r="BG16" s="23"/>
      <c r="BH16" s="44" t="str">
        <f t="shared" si="36"/>
        <v/>
      </c>
      <c r="BI16" s="25"/>
      <c r="BJ16" s="44" t="str">
        <f t="shared" si="37"/>
        <v/>
      </c>
      <c r="BK16" s="46">
        <v>0.0</v>
      </c>
      <c r="BL16" s="33"/>
      <c r="BM16" s="22" t="str">
        <f t="shared" si="24"/>
        <v/>
      </c>
      <c r="BN16" s="23"/>
      <c r="BO16" s="44" t="str">
        <f t="shared" si="25"/>
        <v/>
      </c>
      <c r="BP16" s="25"/>
      <c r="BQ16" s="44" t="str">
        <f t="shared" si="26"/>
        <v/>
      </c>
      <c r="BR16" s="29" t="str">
        <f t="shared" si="27"/>
        <v/>
      </c>
      <c r="BS16" s="29">
        <f t="shared" si="28"/>
        <v>0</v>
      </c>
      <c r="BT16" s="29">
        <f t="shared" si="29"/>
        <v>0</v>
      </c>
      <c r="BU16" s="22" t="str">
        <f t="shared" si="30"/>
        <v/>
      </c>
      <c r="BV16" s="23"/>
      <c r="BW16" s="44" t="str">
        <f t="shared" si="31"/>
        <v/>
      </c>
      <c r="BX16" s="25"/>
      <c r="BY16" s="44" t="str">
        <f t="shared" si="32"/>
        <v/>
      </c>
      <c r="BZ16" s="54"/>
      <c r="CA16" s="22" t="str">
        <f t="shared" si="33"/>
        <v/>
      </c>
      <c r="CB16" s="23"/>
      <c r="CC16" s="44" t="str">
        <f t="shared" si="34"/>
        <v/>
      </c>
      <c r="CD16" s="25"/>
      <c r="CE16" s="44" t="str">
        <f t="shared" si="35"/>
        <v/>
      </c>
      <c r="CF16" s="54"/>
      <c r="CG16" s="22" t="str">
        <f t="shared" si="5"/>
        <v/>
      </c>
      <c r="CH16" s="23"/>
      <c r="CI16" s="44" t="str">
        <f t="shared" si="6"/>
        <v/>
      </c>
      <c r="CJ16" s="25"/>
      <c r="CK16" s="44" t="str">
        <f t="shared" si="7"/>
        <v/>
      </c>
      <c r="CL16" s="46">
        <v>0.0</v>
      </c>
    </row>
    <row r="17" ht="60.75" customHeight="1">
      <c r="A17" s="26">
        <f t="shared" si="1"/>
        <v>15</v>
      </c>
      <c r="B17" s="27"/>
      <c r="C17" s="62" t="s">
        <v>137</v>
      </c>
      <c r="D17" s="27"/>
      <c r="E17" s="26"/>
      <c r="F17" s="26"/>
      <c r="G17" s="20">
        <v>1.0</v>
      </c>
      <c r="H17" s="20">
        <v>1.0</v>
      </c>
      <c r="I17" s="23" t="s">
        <v>72</v>
      </c>
      <c r="J17" s="33"/>
      <c r="K17" s="22">
        <f t="shared" si="2"/>
        <v>1</v>
      </c>
      <c r="L17" s="23" t="s">
        <v>80</v>
      </c>
      <c r="M17" s="34">
        <v>46289.67033079861</v>
      </c>
      <c r="N17" s="25" t="s">
        <v>69</v>
      </c>
      <c r="O17" s="34">
        <v>46289.705555555556</v>
      </c>
      <c r="P17" s="29">
        <f t="shared" si="8"/>
        <v>50.72365</v>
      </c>
      <c r="Q17" s="29">
        <f t="shared" si="9"/>
        <v>0</v>
      </c>
      <c r="R17" s="29">
        <f t="shared" si="10"/>
        <v>0.8453941667</v>
      </c>
      <c r="S17" s="22" t="str">
        <f t="shared" si="11"/>
        <v/>
      </c>
      <c r="T17" s="23"/>
      <c r="U17" s="44"/>
      <c r="V17" s="25"/>
      <c r="W17" s="44"/>
      <c r="X17" s="54"/>
      <c r="Y17" s="22" t="str">
        <f t="shared" si="12"/>
        <v/>
      </c>
      <c r="Z17" s="23"/>
      <c r="AA17" s="44"/>
      <c r="AB17" s="25"/>
      <c r="AC17" s="44"/>
      <c r="AD17" s="54"/>
      <c r="AE17" s="22" t="str">
        <f t="shared" si="13"/>
        <v/>
      </c>
      <c r="AF17" s="23"/>
      <c r="AG17" s="44" t="str">
        <f t="shared" si="3"/>
        <v/>
      </c>
      <c r="AH17" s="25"/>
      <c r="AI17" s="44" t="str">
        <f t="shared" si="4"/>
        <v/>
      </c>
      <c r="AJ17" s="46">
        <v>0.0</v>
      </c>
      <c r="AK17" s="33"/>
      <c r="AL17" s="22">
        <v>1.0</v>
      </c>
      <c r="AM17" s="23" t="s">
        <v>104</v>
      </c>
      <c r="AN17" s="34">
        <v>46294.41914060185</v>
      </c>
      <c r="AO17" s="25" t="s">
        <v>69</v>
      </c>
      <c r="AP17" s="34">
        <v>46294.45833333333</v>
      </c>
      <c r="AQ17" s="29">
        <f t="shared" si="14"/>
        <v>56.43753333</v>
      </c>
      <c r="AR17" s="29">
        <f t="shared" si="15"/>
        <v>0</v>
      </c>
      <c r="AS17" s="29">
        <f t="shared" si="16"/>
        <v>0.9406255555</v>
      </c>
      <c r="AT17" s="22" t="str">
        <f t="shared" si="17"/>
        <v/>
      </c>
      <c r="AU17" s="23"/>
      <c r="AV17" s="44" t="str">
        <f t="shared" si="18"/>
        <v/>
      </c>
      <c r="AW17" s="25"/>
      <c r="AX17" s="44" t="str">
        <f t="shared" si="19"/>
        <v/>
      </c>
      <c r="AY17" s="54"/>
      <c r="AZ17" s="22" t="str">
        <f t="shared" si="20"/>
        <v/>
      </c>
      <c r="BA17" s="23"/>
      <c r="BB17" s="44" t="str">
        <f t="shared" si="21"/>
        <v/>
      </c>
      <c r="BC17" s="25"/>
      <c r="BD17" s="44" t="str">
        <f t="shared" si="22"/>
        <v/>
      </c>
      <c r="BE17" s="54"/>
      <c r="BF17" s="22" t="str">
        <f t="shared" si="23"/>
        <v/>
      </c>
      <c r="BG17" s="23"/>
      <c r="BH17" s="44" t="str">
        <f t="shared" si="36"/>
        <v/>
      </c>
      <c r="BI17" s="25"/>
      <c r="BJ17" s="44" t="str">
        <f t="shared" si="37"/>
        <v/>
      </c>
      <c r="BK17" s="46">
        <v>0.0</v>
      </c>
      <c r="BL17" s="33"/>
      <c r="BM17" s="22" t="str">
        <f t="shared" si="24"/>
        <v/>
      </c>
      <c r="BN17" s="23"/>
      <c r="BO17" s="44" t="str">
        <f t="shared" si="25"/>
        <v/>
      </c>
      <c r="BP17" s="25"/>
      <c r="BQ17" s="44" t="str">
        <f t="shared" si="26"/>
        <v/>
      </c>
      <c r="BR17" s="29" t="str">
        <f t="shared" si="27"/>
        <v/>
      </c>
      <c r="BS17" s="29">
        <f t="shared" si="28"/>
        <v>0</v>
      </c>
      <c r="BT17" s="29">
        <f t="shared" si="29"/>
        <v>0</v>
      </c>
      <c r="BU17" s="22" t="str">
        <f t="shared" si="30"/>
        <v/>
      </c>
      <c r="BV17" s="23"/>
      <c r="BW17" s="44" t="str">
        <f t="shared" si="31"/>
        <v/>
      </c>
      <c r="BX17" s="25"/>
      <c r="BY17" s="44" t="str">
        <f t="shared" si="32"/>
        <v/>
      </c>
      <c r="BZ17" s="54"/>
      <c r="CA17" s="22" t="str">
        <f t="shared" si="33"/>
        <v/>
      </c>
      <c r="CB17" s="23"/>
      <c r="CC17" s="44" t="str">
        <f t="shared" si="34"/>
        <v/>
      </c>
      <c r="CD17" s="25"/>
      <c r="CE17" s="44" t="str">
        <f t="shared" si="35"/>
        <v/>
      </c>
      <c r="CF17" s="54"/>
      <c r="CG17" s="22" t="str">
        <f t="shared" si="5"/>
        <v/>
      </c>
      <c r="CH17" s="23"/>
      <c r="CI17" s="44" t="str">
        <f t="shared" si="6"/>
        <v/>
      </c>
      <c r="CJ17" s="25"/>
      <c r="CK17" s="44" t="str">
        <f t="shared" si="7"/>
        <v/>
      </c>
      <c r="CL17" s="46">
        <v>0.0</v>
      </c>
    </row>
    <row r="18" ht="61.5" customHeight="1">
      <c r="A18" s="26">
        <f t="shared" si="1"/>
        <v>16</v>
      </c>
      <c r="B18" s="27"/>
      <c r="C18" s="62" t="s">
        <v>148</v>
      </c>
      <c r="D18" s="27"/>
      <c r="E18" s="26"/>
      <c r="F18" s="26"/>
      <c r="G18" s="20">
        <v>3.0</v>
      </c>
      <c r="H18" s="20">
        <v>3.0</v>
      </c>
      <c r="I18" s="23" t="s">
        <v>72</v>
      </c>
      <c r="J18" s="33"/>
      <c r="K18" s="22">
        <f t="shared" si="2"/>
        <v>3</v>
      </c>
      <c r="L18" s="23" t="s">
        <v>73</v>
      </c>
      <c r="M18" s="34">
        <v>46290.46266875</v>
      </c>
      <c r="N18" s="25" t="s">
        <v>69</v>
      </c>
      <c r="O18" s="34">
        <v>46290.671669664356</v>
      </c>
      <c r="P18" s="29">
        <f t="shared" si="8"/>
        <v>300.9613167</v>
      </c>
      <c r="Q18" s="29">
        <f t="shared" si="9"/>
        <v>60</v>
      </c>
      <c r="R18" s="29">
        <f t="shared" si="10"/>
        <v>4.016021945</v>
      </c>
      <c r="S18" s="22" t="str">
        <f t="shared" si="11"/>
        <v/>
      </c>
      <c r="T18" s="23"/>
      <c r="U18" s="44"/>
      <c r="V18" s="25"/>
      <c r="W18" s="44"/>
      <c r="X18" s="54"/>
      <c r="Y18" s="22" t="str">
        <f t="shared" si="12"/>
        <v/>
      </c>
      <c r="Z18" s="23"/>
      <c r="AA18" s="44"/>
      <c r="AB18" s="25"/>
      <c r="AC18" s="44"/>
      <c r="AD18" s="54"/>
      <c r="AE18" s="22" t="str">
        <f t="shared" si="13"/>
        <v/>
      </c>
      <c r="AF18" s="23"/>
      <c r="AG18" s="44" t="str">
        <f t="shared" si="3"/>
        <v/>
      </c>
      <c r="AH18" s="25"/>
      <c r="AI18" s="44" t="str">
        <f t="shared" si="4"/>
        <v/>
      </c>
      <c r="AJ18" s="46">
        <v>0.0</v>
      </c>
      <c r="AK18" s="33"/>
      <c r="AL18" s="22">
        <v>3.0</v>
      </c>
      <c r="AM18" s="23" t="s">
        <v>73</v>
      </c>
      <c r="AN18" s="34">
        <v>46293.60006268519</v>
      </c>
      <c r="AO18" s="25" t="s">
        <v>69</v>
      </c>
      <c r="AP18" s="34">
        <v>46293.70845738426</v>
      </c>
      <c r="AQ18" s="29">
        <f t="shared" si="14"/>
        <v>156.0883667</v>
      </c>
      <c r="AR18" s="29">
        <f t="shared" si="15"/>
        <v>0</v>
      </c>
      <c r="AS18" s="29">
        <f t="shared" si="16"/>
        <v>2.601472778</v>
      </c>
      <c r="AT18" s="22" t="str">
        <f t="shared" si="17"/>
        <v/>
      </c>
      <c r="AU18" s="23"/>
      <c r="AV18" s="44" t="str">
        <f t="shared" si="18"/>
        <v/>
      </c>
      <c r="AW18" s="25"/>
      <c r="AX18" s="44" t="str">
        <f t="shared" si="19"/>
        <v/>
      </c>
      <c r="AY18" s="54"/>
      <c r="AZ18" s="22" t="str">
        <f t="shared" si="20"/>
        <v/>
      </c>
      <c r="BA18" s="23"/>
      <c r="BB18" s="44" t="str">
        <f t="shared" si="21"/>
        <v/>
      </c>
      <c r="BC18" s="25"/>
      <c r="BD18" s="44" t="str">
        <f t="shared" si="22"/>
        <v/>
      </c>
      <c r="BE18" s="54"/>
      <c r="BF18" s="22" t="str">
        <f t="shared" si="23"/>
        <v/>
      </c>
      <c r="BG18" s="23"/>
      <c r="BH18" s="44" t="str">
        <f t="shared" si="36"/>
        <v/>
      </c>
      <c r="BI18" s="25"/>
      <c r="BJ18" s="44" t="str">
        <f t="shared" si="37"/>
        <v/>
      </c>
      <c r="BK18" s="46">
        <v>0.0</v>
      </c>
      <c r="BL18" s="33"/>
      <c r="BM18" s="22" t="str">
        <f t="shared" si="24"/>
        <v/>
      </c>
      <c r="BN18" s="23"/>
      <c r="BO18" s="44" t="str">
        <f t="shared" si="25"/>
        <v/>
      </c>
      <c r="BP18" s="25"/>
      <c r="BQ18" s="44" t="str">
        <f t="shared" si="26"/>
        <v/>
      </c>
      <c r="BR18" s="29" t="str">
        <f t="shared" si="27"/>
        <v/>
      </c>
      <c r="BS18" s="29">
        <f t="shared" si="28"/>
        <v>0</v>
      </c>
      <c r="BT18" s="29">
        <f t="shared" si="29"/>
        <v>0</v>
      </c>
      <c r="BU18" s="22" t="str">
        <f t="shared" si="30"/>
        <v/>
      </c>
      <c r="BV18" s="23"/>
      <c r="BW18" s="44" t="str">
        <f t="shared" si="31"/>
        <v/>
      </c>
      <c r="BX18" s="25"/>
      <c r="BY18" s="44" t="str">
        <f t="shared" si="32"/>
        <v/>
      </c>
      <c r="BZ18" s="54"/>
      <c r="CA18" s="22" t="str">
        <f t="shared" si="33"/>
        <v/>
      </c>
      <c r="CB18" s="23"/>
      <c r="CC18" s="44" t="str">
        <f t="shared" si="34"/>
        <v/>
      </c>
      <c r="CD18" s="25"/>
      <c r="CE18" s="44" t="str">
        <f t="shared" si="35"/>
        <v/>
      </c>
      <c r="CF18" s="54"/>
      <c r="CG18" s="22" t="str">
        <f t="shared" si="5"/>
        <v/>
      </c>
      <c r="CH18" s="23"/>
      <c r="CI18" s="44" t="str">
        <f t="shared" si="6"/>
        <v/>
      </c>
      <c r="CJ18" s="25"/>
      <c r="CK18" s="44" t="str">
        <f t="shared" si="7"/>
        <v/>
      </c>
      <c r="CL18" s="46">
        <v>0.0</v>
      </c>
    </row>
    <row r="19" ht="57.0" customHeight="1">
      <c r="A19" s="26">
        <f t="shared" si="1"/>
        <v>17</v>
      </c>
      <c r="B19" s="27"/>
      <c r="C19" s="62" t="s">
        <v>152</v>
      </c>
      <c r="D19" s="27"/>
      <c r="E19" s="26"/>
      <c r="F19" s="26"/>
      <c r="G19" s="20">
        <v>2.0</v>
      </c>
      <c r="H19" s="20">
        <v>1.0</v>
      </c>
      <c r="I19" s="23" t="s">
        <v>72</v>
      </c>
      <c r="J19" s="33"/>
      <c r="K19" s="22">
        <f t="shared" si="2"/>
        <v>2</v>
      </c>
      <c r="L19" s="23" t="s">
        <v>126</v>
      </c>
      <c r="M19" s="34">
        <v>46290.410484618056</v>
      </c>
      <c r="N19" s="25" t="s">
        <v>69</v>
      </c>
      <c r="O19" s="34">
        <v>46290.46543835648</v>
      </c>
      <c r="P19" s="29">
        <f t="shared" si="8"/>
        <v>79.13338333</v>
      </c>
      <c r="Q19" s="29">
        <f t="shared" si="9"/>
        <v>0</v>
      </c>
      <c r="R19" s="29">
        <f t="shared" si="10"/>
        <v>1.318889722</v>
      </c>
      <c r="S19" s="22" t="str">
        <f t="shared" si="11"/>
        <v/>
      </c>
      <c r="T19" s="23"/>
      <c r="U19" s="44"/>
      <c r="V19" s="25"/>
      <c r="W19" s="44"/>
      <c r="X19" s="54"/>
      <c r="Y19" s="22" t="str">
        <f t="shared" si="12"/>
        <v/>
      </c>
      <c r="Z19" s="23"/>
      <c r="AA19" s="44"/>
      <c r="AB19" s="25"/>
      <c r="AC19" s="44"/>
      <c r="AD19" s="54"/>
      <c r="AE19" s="22" t="str">
        <f t="shared" si="13"/>
        <v/>
      </c>
      <c r="AF19" s="23"/>
      <c r="AG19" s="44" t="str">
        <f t="shared" si="3"/>
        <v/>
      </c>
      <c r="AH19" s="25"/>
      <c r="AI19" s="44" t="str">
        <f t="shared" si="4"/>
        <v/>
      </c>
      <c r="AJ19" s="46">
        <v>0.0</v>
      </c>
      <c r="AK19" s="33"/>
      <c r="AL19" s="22">
        <v>1.0</v>
      </c>
      <c r="AM19" s="23" t="s">
        <v>80</v>
      </c>
      <c r="AN19" s="34">
        <v>46294.39809038195</v>
      </c>
      <c r="AO19" s="25" t="s">
        <v>69</v>
      </c>
      <c r="AP19" s="34">
        <v>46294.43639795139</v>
      </c>
      <c r="AQ19" s="29">
        <f t="shared" si="14"/>
        <v>55.16289999</v>
      </c>
      <c r="AR19" s="29">
        <f t="shared" si="15"/>
        <v>0</v>
      </c>
      <c r="AS19" s="29">
        <f t="shared" si="16"/>
        <v>0.9193816666</v>
      </c>
      <c r="AT19" s="22" t="str">
        <f t="shared" si="17"/>
        <v/>
      </c>
      <c r="AU19" s="23"/>
      <c r="AV19" s="44" t="str">
        <f t="shared" si="18"/>
        <v/>
      </c>
      <c r="AW19" s="25"/>
      <c r="AX19" s="44" t="str">
        <f t="shared" si="19"/>
        <v/>
      </c>
      <c r="AY19" s="54"/>
      <c r="AZ19" s="22" t="str">
        <f t="shared" si="20"/>
        <v/>
      </c>
      <c r="BA19" s="23"/>
      <c r="BB19" s="44" t="str">
        <f t="shared" si="21"/>
        <v/>
      </c>
      <c r="BC19" s="25"/>
      <c r="BD19" s="44" t="str">
        <f t="shared" si="22"/>
        <v/>
      </c>
      <c r="BE19" s="54"/>
      <c r="BF19" s="22" t="str">
        <f t="shared" si="23"/>
        <v/>
      </c>
      <c r="BG19" s="23"/>
      <c r="BH19" s="44" t="str">
        <f t="shared" si="36"/>
        <v/>
      </c>
      <c r="BI19" s="25"/>
      <c r="BJ19" s="44" t="str">
        <f t="shared" si="37"/>
        <v/>
      </c>
      <c r="BK19" s="46">
        <v>0.0</v>
      </c>
      <c r="BL19" s="33"/>
      <c r="BM19" s="22" t="str">
        <f t="shared" si="24"/>
        <v/>
      </c>
      <c r="BN19" s="23"/>
      <c r="BO19" s="44" t="str">
        <f t="shared" si="25"/>
        <v/>
      </c>
      <c r="BP19" s="25"/>
      <c r="BQ19" s="44" t="str">
        <f t="shared" si="26"/>
        <v/>
      </c>
      <c r="BR19" s="29" t="str">
        <f t="shared" si="27"/>
        <v/>
      </c>
      <c r="BS19" s="29">
        <f t="shared" si="28"/>
        <v>0</v>
      </c>
      <c r="BT19" s="29">
        <f t="shared" si="29"/>
        <v>0</v>
      </c>
      <c r="BU19" s="22" t="str">
        <f t="shared" si="30"/>
        <v/>
      </c>
      <c r="BV19" s="23"/>
      <c r="BW19" s="44" t="str">
        <f t="shared" si="31"/>
        <v/>
      </c>
      <c r="BX19" s="25"/>
      <c r="BY19" s="44" t="str">
        <f t="shared" si="32"/>
        <v/>
      </c>
      <c r="BZ19" s="54"/>
      <c r="CA19" s="22" t="str">
        <f t="shared" si="33"/>
        <v/>
      </c>
      <c r="CB19" s="23"/>
      <c r="CC19" s="44" t="str">
        <f t="shared" si="34"/>
        <v/>
      </c>
      <c r="CD19" s="25"/>
      <c r="CE19" s="44" t="str">
        <f t="shared" si="35"/>
        <v/>
      </c>
      <c r="CF19" s="54"/>
      <c r="CG19" s="22" t="str">
        <f t="shared" si="5"/>
        <v/>
      </c>
      <c r="CH19" s="23"/>
      <c r="CI19" s="44" t="str">
        <f t="shared" si="6"/>
        <v/>
      </c>
      <c r="CJ19" s="25"/>
      <c r="CK19" s="44" t="str">
        <f t="shared" si="7"/>
        <v/>
      </c>
      <c r="CL19" s="46">
        <v>0.0</v>
      </c>
    </row>
    <row r="20" ht="64.5" customHeight="1">
      <c r="A20" s="26">
        <f t="shared" si="1"/>
        <v>18</v>
      </c>
      <c r="B20" s="27"/>
      <c r="C20" s="62" t="s">
        <v>158</v>
      </c>
      <c r="D20" s="27"/>
      <c r="E20" s="65"/>
      <c r="F20" s="26"/>
      <c r="G20" s="20">
        <v>2.0</v>
      </c>
      <c r="H20" s="20">
        <v>2.0</v>
      </c>
      <c r="I20" s="23" t="s">
        <v>72</v>
      </c>
      <c r="J20" s="33"/>
      <c r="K20" s="22">
        <f t="shared" si="2"/>
        <v>2</v>
      </c>
      <c r="L20" s="23" t="s">
        <v>80</v>
      </c>
      <c r="M20" s="34">
        <v>46290.466589895834</v>
      </c>
      <c r="N20" s="25" t="s">
        <v>69</v>
      </c>
      <c r="O20" s="34">
        <v>46290.59936493056</v>
      </c>
      <c r="P20" s="29">
        <f t="shared" si="8"/>
        <v>191.19605</v>
      </c>
      <c r="Q20" s="29">
        <f t="shared" si="9"/>
        <v>60</v>
      </c>
      <c r="R20" s="29">
        <f t="shared" si="10"/>
        <v>2.186600833</v>
      </c>
      <c r="S20" s="22" t="str">
        <f t="shared" si="11"/>
        <v/>
      </c>
      <c r="T20" s="23"/>
      <c r="U20" s="44"/>
      <c r="V20" s="25"/>
      <c r="W20" s="44"/>
      <c r="X20" s="54"/>
      <c r="Y20" s="22" t="str">
        <f t="shared" si="12"/>
        <v/>
      </c>
      <c r="Z20" s="23"/>
      <c r="AA20" s="44"/>
      <c r="AB20" s="25"/>
      <c r="AC20" s="44"/>
      <c r="AD20" s="54"/>
      <c r="AE20" s="22" t="str">
        <f t="shared" si="13"/>
        <v/>
      </c>
      <c r="AF20" s="23"/>
      <c r="AG20" s="44" t="str">
        <f t="shared" si="3"/>
        <v/>
      </c>
      <c r="AH20" s="25"/>
      <c r="AI20" s="44" t="str">
        <f t="shared" si="4"/>
        <v/>
      </c>
      <c r="AJ20" s="46">
        <v>0.0</v>
      </c>
      <c r="AK20" s="33"/>
      <c r="AL20" s="22">
        <v>2.0</v>
      </c>
      <c r="AM20" s="23" t="s">
        <v>80</v>
      </c>
      <c r="AN20" s="34">
        <v>46293.59517380787</v>
      </c>
      <c r="AO20" s="25" t="s">
        <v>69</v>
      </c>
      <c r="AP20" s="34">
        <v>46293.67260060185</v>
      </c>
      <c r="AQ20" s="29">
        <f t="shared" si="14"/>
        <v>111.4945833</v>
      </c>
      <c r="AR20" s="29">
        <f t="shared" si="15"/>
        <v>0</v>
      </c>
      <c r="AS20" s="29">
        <f t="shared" si="16"/>
        <v>1.858243055</v>
      </c>
      <c r="AT20" s="22" t="str">
        <f t="shared" si="17"/>
        <v/>
      </c>
      <c r="AU20" s="23"/>
      <c r="AV20" s="44" t="str">
        <f t="shared" si="18"/>
        <v/>
      </c>
      <c r="AW20" s="25"/>
      <c r="AX20" s="44" t="str">
        <f t="shared" si="19"/>
        <v/>
      </c>
      <c r="AY20" s="54"/>
      <c r="AZ20" s="22" t="str">
        <f t="shared" si="20"/>
        <v/>
      </c>
      <c r="BA20" s="23"/>
      <c r="BB20" s="44" t="str">
        <f t="shared" si="21"/>
        <v/>
      </c>
      <c r="BC20" s="25"/>
      <c r="BD20" s="44" t="str">
        <f t="shared" si="22"/>
        <v/>
      </c>
      <c r="BE20" s="54"/>
      <c r="BF20" s="22" t="str">
        <f t="shared" si="23"/>
        <v/>
      </c>
      <c r="BG20" s="23"/>
      <c r="BH20" s="44" t="str">
        <f t="shared" si="36"/>
        <v/>
      </c>
      <c r="BI20" s="25"/>
      <c r="BJ20" s="44" t="str">
        <f t="shared" si="37"/>
        <v/>
      </c>
      <c r="BK20" s="46">
        <v>0.0</v>
      </c>
      <c r="BL20" s="33"/>
      <c r="BM20" s="22" t="str">
        <f t="shared" si="24"/>
        <v/>
      </c>
      <c r="BN20" s="23"/>
      <c r="BO20" s="44" t="str">
        <f t="shared" si="25"/>
        <v/>
      </c>
      <c r="BP20" s="25"/>
      <c r="BQ20" s="44" t="str">
        <f t="shared" si="26"/>
        <v/>
      </c>
      <c r="BR20" s="29" t="str">
        <f t="shared" si="27"/>
        <v/>
      </c>
      <c r="BS20" s="29">
        <f t="shared" si="28"/>
        <v>0</v>
      </c>
      <c r="BT20" s="29">
        <f t="shared" si="29"/>
        <v>0</v>
      </c>
      <c r="BU20" s="22" t="str">
        <f t="shared" si="30"/>
        <v/>
      </c>
      <c r="BV20" s="23"/>
      <c r="BW20" s="44" t="str">
        <f t="shared" si="31"/>
        <v/>
      </c>
      <c r="BX20" s="25"/>
      <c r="BY20" s="44" t="str">
        <f t="shared" si="32"/>
        <v/>
      </c>
      <c r="BZ20" s="54"/>
      <c r="CA20" s="22" t="str">
        <f t="shared" si="33"/>
        <v/>
      </c>
      <c r="CB20" s="23"/>
      <c r="CC20" s="44" t="str">
        <f t="shared" si="34"/>
        <v/>
      </c>
      <c r="CD20" s="25"/>
      <c r="CE20" s="44" t="str">
        <f t="shared" si="35"/>
        <v/>
      </c>
      <c r="CF20" s="54"/>
      <c r="CG20" s="22" t="str">
        <f t="shared" si="5"/>
        <v/>
      </c>
      <c r="CH20" s="23"/>
      <c r="CI20" s="44" t="str">
        <f t="shared" si="6"/>
        <v/>
      </c>
      <c r="CJ20" s="25"/>
      <c r="CK20" s="44" t="str">
        <f t="shared" si="7"/>
        <v/>
      </c>
      <c r="CL20" s="46">
        <v>0.0</v>
      </c>
    </row>
    <row r="21" ht="67.5" customHeight="1">
      <c r="A21" s="26">
        <f t="shared" si="1"/>
        <v>19</v>
      </c>
      <c r="B21" s="27"/>
      <c r="C21" s="62" t="s">
        <v>168</v>
      </c>
      <c r="D21" s="27"/>
      <c r="E21" s="26"/>
      <c r="F21" s="26"/>
      <c r="G21" s="20"/>
      <c r="H21" s="20"/>
      <c r="I21" s="23"/>
      <c r="J21" s="33"/>
      <c r="K21" s="22" t="str">
        <f t="shared" si="2"/>
        <v/>
      </c>
      <c r="L21" s="23"/>
      <c r="M21" s="44" t="str">
        <f>if(L21&lt;&gt;"", if(M21="",NOW(),M21),"")</f>
        <v/>
      </c>
      <c r="N21" s="25"/>
      <c r="O21" s="44" t="str">
        <f>if(N21="Done", if(O21="",NOW(),O21),"")</f>
        <v/>
      </c>
      <c r="P21" s="29" t="str">
        <f t="shared" si="8"/>
        <v/>
      </c>
      <c r="Q21" s="29">
        <f t="shared" si="9"/>
        <v>0</v>
      </c>
      <c r="R21" s="29">
        <f t="shared" si="10"/>
        <v>0</v>
      </c>
      <c r="S21" s="22" t="str">
        <f t="shared" si="11"/>
        <v/>
      </c>
      <c r="T21" s="23"/>
      <c r="U21" s="44" t="str">
        <f t="shared" ref="U21:U32" si="38">if(T21&lt;&gt;"", if(U21="",NOW(),U21),"")</f>
        <v/>
      </c>
      <c r="V21" s="25"/>
      <c r="W21" s="44" t="str">
        <f t="shared" ref="W21:W32" si="39">if(V21="Done", if(W21="",NOW(),W21),"")</f>
        <v/>
      </c>
      <c r="X21" s="54"/>
      <c r="Y21" s="22" t="str">
        <f t="shared" si="12"/>
        <v/>
      </c>
      <c r="Z21" s="23"/>
      <c r="AA21" s="44" t="str">
        <f t="shared" ref="AA21:AA128" si="40">if(Z21&lt;&gt;"", if(AA21="",NOW(),AA21),"")</f>
        <v/>
      </c>
      <c r="AB21" s="25"/>
      <c r="AC21" s="44" t="str">
        <f t="shared" ref="AC21:AC128" si="41">if(AB21="Done", if(AC21="",NOW(),AC21),"")</f>
        <v/>
      </c>
      <c r="AD21" s="54"/>
      <c r="AE21" s="22" t="str">
        <f t="shared" si="13"/>
        <v/>
      </c>
      <c r="AF21" s="23"/>
      <c r="AG21" s="44" t="str">
        <f t="shared" si="3"/>
        <v/>
      </c>
      <c r="AH21" s="25"/>
      <c r="AI21" s="44" t="str">
        <f t="shared" si="4"/>
        <v/>
      </c>
      <c r="AJ21" s="46">
        <v>0.0</v>
      </c>
      <c r="AK21" s="33"/>
      <c r="AL21" s="22"/>
      <c r="AM21" s="23"/>
      <c r="AN21" s="44" t="str">
        <f t="shared" ref="AN21:AN32" si="42">if(AM21&lt;&gt;"", if(AN21="",NOW(),AN21),"")</f>
        <v/>
      </c>
      <c r="AO21" s="25"/>
      <c r="AP21" s="44" t="str">
        <f t="shared" ref="AP21:AP32" si="43">if(AO21="Done", if(AP21="",NOW(),AP21),"")</f>
        <v/>
      </c>
      <c r="AQ21" s="29" t="str">
        <f t="shared" si="14"/>
        <v/>
      </c>
      <c r="AR21" s="29">
        <f t="shared" si="15"/>
        <v>0</v>
      </c>
      <c r="AS21" s="29">
        <f t="shared" si="16"/>
        <v>0</v>
      </c>
      <c r="AT21" s="22" t="str">
        <f t="shared" si="17"/>
        <v/>
      </c>
      <c r="AU21" s="23"/>
      <c r="AV21" s="44" t="str">
        <f t="shared" si="18"/>
        <v/>
      </c>
      <c r="AW21" s="25"/>
      <c r="AX21" s="44" t="str">
        <f t="shared" si="19"/>
        <v/>
      </c>
      <c r="AY21" s="54"/>
      <c r="AZ21" s="22" t="str">
        <f t="shared" si="20"/>
        <v/>
      </c>
      <c r="BA21" s="23"/>
      <c r="BB21" s="44" t="str">
        <f t="shared" si="21"/>
        <v/>
      </c>
      <c r="BC21" s="25"/>
      <c r="BD21" s="44" t="str">
        <f t="shared" si="22"/>
        <v/>
      </c>
      <c r="BE21" s="54"/>
      <c r="BF21" s="22" t="str">
        <f t="shared" si="23"/>
        <v/>
      </c>
      <c r="BG21" s="23"/>
      <c r="BH21" s="44" t="str">
        <f t="shared" si="36"/>
        <v/>
      </c>
      <c r="BI21" s="25"/>
      <c r="BJ21" s="44" t="str">
        <f t="shared" si="37"/>
        <v/>
      </c>
      <c r="BK21" s="46">
        <v>0.0</v>
      </c>
      <c r="BL21" s="33"/>
      <c r="BM21" s="22" t="str">
        <f t="shared" si="24"/>
        <v/>
      </c>
      <c r="BN21" s="23"/>
      <c r="BO21" s="44" t="str">
        <f t="shared" si="25"/>
        <v/>
      </c>
      <c r="BP21" s="25"/>
      <c r="BQ21" s="44" t="str">
        <f t="shared" si="26"/>
        <v/>
      </c>
      <c r="BR21" s="29" t="str">
        <f t="shared" si="27"/>
        <v/>
      </c>
      <c r="BS21" s="29">
        <f t="shared" si="28"/>
        <v>0</v>
      </c>
      <c r="BT21" s="29">
        <f t="shared" si="29"/>
        <v>0</v>
      </c>
      <c r="BU21" s="22" t="str">
        <f t="shared" si="30"/>
        <v/>
      </c>
      <c r="BV21" s="23"/>
      <c r="BW21" s="44" t="str">
        <f t="shared" si="31"/>
        <v/>
      </c>
      <c r="BX21" s="25"/>
      <c r="BY21" s="44" t="str">
        <f t="shared" si="32"/>
        <v/>
      </c>
      <c r="BZ21" s="54"/>
      <c r="CA21" s="22" t="str">
        <f t="shared" si="33"/>
        <v/>
      </c>
      <c r="CB21" s="23"/>
      <c r="CC21" s="44" t="str">
        <f t="shared" si="34"/>
        <v/>
      </c>
      <c r="CD21" s="25"/>
      <c r="CE21" s="44" t="str">
        <f t="shared" si="35"/>
        <v/>
      </c>
      <c r="CF21" s="54"/>
      <c r="CG21" s="22" t="str">
        <f t="shared" si="5"/>
        <v/>
      </c>
      <c r="CH21" s="23"/>
      <c r="CI21" s="44" t="str">
        <f t="shared" si="6"/>
        <v/>
      </c>
      <c r="CJ21" s="25"/>
      <c r="CK21" s="44" t="str">
        <f t="shared" si="7"/>
        <v/>
      </c>
      <c r="CL21" s="46">
        <v>0.0</v>
      </c>
    </row>
    <row r="22" ht="43.5" customHeight="1">
      <c r="A22" s="26">
        <f t="shared" si="1"/>
        <v>20</v>
      </c>
      <c r="B22" s="27"/>
      <c r="C22" s="62" t="s">
        <v>175</v>
      </c>
      <c r="D22" s="27"/>
      <c r="E22" s="26"/>
      <c r="F22" s="26"/>
      <c r="G22" s="20"/>
      <c r="H22" s="20"/>
      <c r="I22" s="23"/>
      <c r="J22" s="33"/>
      <c r="K22" s="22" t="str">
        <f t="shared" si="2"/>
        <v/>
      </c>
      <c r="L22" s="23"/>
      <c r="M22" s="44"/>
      <c r="N22" s="25"/>
      <c r="O22" s="44"/>
      <c r="P22" s="29" t="str">
        <f t="shared" si="8"/>
        <v/>
      </c>
      <c r="Q22" s="29">
        <f t="shared" si="9"/>
        <v>0</v>
      </c>
      <c r="R22" s="29">
        <f t="shared" si="10"/>
        <v>0</v>
      </c>
      <c r="S22" s="22" t="str">
        <f t="shared" si="11"/>
        <v/>
      </c>
      <c r="T22" s="23"/>
      <c r="U22" s="44" t="str">
        <f t="shared" si="38"/>
        <v/>
      </c>
      <c r="V22" s="25"/>
      <c r="W22" s="44" t="str">
        <f t="shared" si="39"/>
        <v/>
      </c>
      <c r="X22" s="54"/>
      <c r="Y22" s="22" t="str">
        <f t="shared" si="12"/>
        <v/>
      </c>
      <c r="Z22" s="23"/>
      <c r="AA22" s="44" t="str">
        <f t="shared" si="40"/>
        <v/>
      </c>
      <c r="AB22" s="25"/>
      <c r="AC22" s="44" t="str">
        <f t="shared" si="41"/>
        <v/>
      </c>
      <c r="AD22" s="54"/>
      <c r="AE22" s="22" t="str">
        <f t="shared" si="13"/>
        <v/>
      </c>
      <c r="AF22" s="23"/>
      <c r="AG22" s="44"/>
      <c r="AH22" s="25"/>
      <c r="AI22" s="44"/>
      <c r="AJ22" s="46">
        <v>0.0</v>
      </c>
      <c r="AK22" s="33"/>
      <c r="AL22" s="22"/>
      <c r="AM22" s="23"/>
      <c r="AN22" s="44" t="str">
        <f t="shared" si="42"/>
        <v/>
      </c>
      <c r="AO22" s="25"/>
      <c r="AP22" s="44" t="str">
        <f t="shared" si="43"/>
        <v/>
      </c>
      <c r="AQ22" s="29" t="str">
        <f t="shared" si="14"/>
        <v/>
      </c>
      <c r="AR22" s="29">
        <f t="shared" si="15"/>
        <v>0</v>
      </c>
      <c r="AS22" s="29">
        <f t="shared" si="16"/>
        <v>0</v>
      </c>
      <c r="AT22" s="22" t="str">
        <f t="shared" si="17"/>
        <v/>
      </c>
      <c r="AU22" s="23"/>
      <c r="AV22" s="44" t="str">
        <f t="shared" si="18"/>
        <v/>
      </c>
      <c r="AW22" s="25"/>
      <c r="AX22" s="44" t="str">
        <f t="shared" si="19"/>
        <v/>
      </c>
      <c r="AY22" s="54"/>
      <c r="AZ22" s="22" t="str">
        <f t="shared" si="20"/>
        <v/>
      </c>
      <c r="BA22" s="23"/>
      <c r="BB22" s="44" t="str">
        <f t="shared" si="21"/>
        <v/>
      </c>
      <c r="BC22" s="25"/>
      <c r="BD22" s="44" t="str">
        <f t="shared" si="22"/>
        <v/>
      </c>
      <c r="BE22" s="54"/>
      <c r="BF22" s="22" t="str">
        <f t="shared" si="23"/>
        <v/>
      </c>
      <c r="BG22" s="23"/>
      <c r="BH22" s="44" t="str">
        <f t="shared" si="36"/>
        <v/>
      </c>
      <c r="BI22" s="25"/>
      <c r="BJ22" s="44" t="str">
        <f t="shared" si="37"/>
        <v/>
      </c>
      <c r="BK22" s="46">
        <v>0.0</v>
      </c>
      <c r="BL22" s="33"/>
      <c r="BM22" s="22" t="str">
        <f t="shared" si="24"/>
        <v/>
      </c>
      <c r="BN22" s="23"/>
      <c r="BO22" s="44" t="str">
        <f t="shared" si="25"/>
        <v/>
      </c>
      <c r="BP22" s="25"/>
      <c r="BQ22" s="44" t="str">
        <f t="shared" si="26"/>
        <v/>
      </c>
      <c r="BR22" s="29" t="str">
        <f t="shared" si="27"/>
        <v/>
      </c>
      <c r="BS22" s="29">
        <f t="shared" si="28"/>
        <v>0</v>
      </c>
      <c r="BT22" s="29">
        <f t="shared" si="29"/>
        <v>0</v>
      </c>
      <c r="BU22" s="22" t="str">
        <f t="shared" si="30"/>
        <v/>
      </c>
      <c r="BV22" s="23"/>
      <c r="BW22" s="44" t="str">
        <f t="shared" si="31"/>
        <v/>
      </c>
      <c r="BX22" s="25"/>
      <c r="BY22" s="44" t="str">
        <f t="shared" si="32"/>
        <v/>
      </c>
      <c r="BZ22" s="54"/>
      <c r="CA22" s="22" t="str">
        <f t="shared" si="33"/>
        <v/>
      </c>
      <c r="CB22" s="23"/>
      <c r="CC22" s="44" t="str">
        <f t="shared" si="34"/>
        <v/>
      </c>
      <c r="CD22" s="25"/>
      <c r="CE22" s="44" t="str">
        <f t="shared" si="35"/>
        <v/>
      </c>
      <c r="CF22" s="54"/>
      <c r="CG22" s="22" t="str">
        <f t="shared" si="5"/>
        <v/>
      </c>
      <c r="CH22" s="23"/>
      <c r="CI22" s="44" t="str">
        <f t="shared" si="6"/>
        <v/>
      </c>
      <c r="CJ22" s="25"/>
      <c r="CK22" s="44" t="str">
        <f t="shared" si="7"/>
        <v/>
      </c>
      <c r="CL22" s="46">
        <v>0.0</v>
      </c>
    </row>
    <row r="23" ht="51.75" customHeight="1">
      <c r="A23" s="26">
        <f t="shared" si="1"/>
        <v>21</v>
      </c>
      <c r="B23" s="27"/>
      <c r="C23" s="62" t="s">
        <v>178</v>
      </c>
      <c r="D23" s="27"/>
      <c r="E23" s="26"/>
      <c r="F23" s="26"/>
      <c r="G23" s="20"/>
      <c r="H23" s="20"/>
      <c r="I23" s="23"/>
      <c r="J23" s="33"/>
      <c r="K23" s="22" t="str">
        <f t="shared" si="2"/>
        <v/>
      </c>
      <c r="L23" s="23"/>
      <c r="M23" s="44" t="str">
        <f t="shared" ref="M23:M27" si="44">if(L23&lt;&gt;"", if(M23="",NOW(),M23),"")</f>
        <v/>
      </c>
      <c r="N23" s="25"/>
      <c r="O23" s="44" t="str">
        <f t="shared" ref="O23:O31" si="45">if(N23="Done", if(O23="",NOW(),O23),"")</f>
        <v/>
      </c>
      <c r="P23" s="29" t="str">
        <f t="shared" si="8"/>
        <v/>
      </c>
      <c r="Q23" s="29">
        <f t="shared" si="9"/>
        <v>0</v>
      </c>
      <c r="R23" s="29">
        <f t="shared" si="10"/>
        <v>0</v>
      </c>
      <c r="S23" s="22" t="str">
        <f t="shared" si="11"/>
        <v/>
      </c>
      <c r="T23" s="23"/>
      <c r="U23" s="44" t="str">
        <f t="shared" si="38"/>
        <v/>
      </c>
      <c r="V23" s="25"/>
      <c r="W23" s="44" t="str">
        <f t="shared" si="39"/>
        <v/>
      </c>
      <c r="X23" s="54"/>
      <c r="Y23" s="22" t="str">
        <f t="shared" si="12"/>
        <v/>
      </c>
      <c r="Z23" s="23"/>
      <c r="AA23" s="44" t="str">
        <f t="shared" si="40"/>
        <v/>
      </c>
      <c r="AB23" s="25"/>
      <c r="AC23" s="44" t="str">
        <f t="shared" si="41"/>
        <v/>
      </c>
      <c r="AD23" s="54"/>
      <c r="AE23" s="22" t="str">
        <f t="shared" si="13"/>
        <v/>
      </c>
      <c r="AF23" s="23"/>
      <c r="AG23" s="44" t="str">
        <f t="shared" ref="AG23:AG32" si="46">if(AF23&lt;&gt;"", if(AG23="",NOW(),AG23),"")</f>
        <v/>
      </c>
      <c r="AH23" s="25"/>
      <c r="AI23" s="44" t="str">
        <f t="shared" ref="AI23:AI32" si="47">if(AH23="Done", if(AI23="",NOW(),AI23),"")</f>
        <v/>
      </c>
      <c r="AJ23" s="46">
        <v>0.0</v>
      </c>
      <c r="AK23" s="33"/>
      <c r="AL23" s="22"/>
      <c r="AM23" s="23"/>
      <c r="AN23" s="44" t="str">
        <f t="shared" si="42"/>
        <v/>
      </c>
      <c r="AO23" s="25"/>
      <c r="AP23" s="44" t="str">
        <f t="shared" si="43"/>
        <v/>
      </c>
      <c r="AQ23" s="29" t="str">
        <f t="shared" si="14"/>
        <v/>
      </c>
      <c r="AR23" s="29">
        <f t="shared" si="15"/>
        <v>0</v>
      </c>
      <c r="AS23" s="29">
        <f t="shared" si="16"/>
        <v>0</v>
      </c>
      <c r="AT23" s="22" t="str">
        <f t="shared" si="17"/>
        <v/>
      </c>
      <c r="AU23" s="23"/>
      <c r="AV23" s="44" t="str">
        <f t="shared" si="18"/>
        <v/>
      </c>
      <c r="AW23" s="25"/>
      <c r="AX23" s="44" t="str">
        <f t="shared" si="19"/>
        <v/>
      </c>
      <c r="AY23" s="54"/>
      <c r="AZ23" s="22" t="str">
        <f t="shared" si="20"/>
        <v/>
      </c>
      <c r="BA23" s="23"/>
      <c r="BB23" s="44" t="str">
        <f t="shared" si="21"/>
        <v/>
      </c>
      <c r="BC23" s="25"/>
      <c r="BD23" s="44" t="str">
        <f t="shared" si="22"/>
        <v/>
      </c>
      <c r="BE23" s="54"/>
      <c r="BF23" s="22" t="str">
        <f t="shared" si="23"/>
        <v/>
      </c>
      <c r="BG23" s="23"/>
      <c r="BH23" s="44" t="str">
        <f t="shared" si="36"/>
        <v/>
      </c>
      <c r="BI23" s="25"/>
      <c r="BJ23" s="44" t="str">
        <f t="shared" si="37"/>
        <v/>
      </c>
      <c r="BK23" s="46">
        <v>0.0</v>
      </c>
      <c r="BL23" s="33"/>
      <c r="BM23" s="22" t="str">
        <f t="shared" si="24"/>
        <v/>
      </c>
      <c r="BN23" s="23"/>
      <c r="BO23" s="44" t="str">
        <f t="shared" si="25"/>
        <v/>
      </c>
      <c r="BP23" s="25"/>
      <c r="BQ23" s="44" t="str">
        <f t="shared" si="26"/>
        <v/>
      </c>
      <c r="BR23" s="29" t="str">
        <f t="shared" si="27"/>
        <v/>
      </c>
      <c r="BS23" s="29">
        <f t="shared" si="28"/>
        <v>0</v>
      </c>
      <c r="BT23" s="29">
        <f t="shared" si="29"/>
        <v>0</v>
      </c>
      <c r="BU23" s="22" t="str">
        <f t="shared" si="30"/>
        <v/>
      </c>
      <c r="BV23" s="23"/>
      <c r="BW23" s="44" t="str">
        <f t="shared" si="31"/>
        <v/>
      </c>
      <c r="BX23" s="25"/>
      <c r="BY23" s="44" t="str">
        <f t="shared" si="32"/>
        <v/>
      </c>
      <c r="BZ23" s="54"/>
      <c r="CA23" s="22" t="str">
        <f t="shared" si="33"/>
        <v/>
      </c>
      <c r="CB23" s="23"/>
      <c r="CC23" s="44" t="str">
        <f t="shared" si="34"/>
        <v/>
      </c>
      <c r="CD23" s="25"/>
      <c r="CE23" s="44" t="str">
        <f t="shared" si="35"/>
        <v/>
      </c>
      <c r="CF23" s="54"/>
      <c r="CG23" s="22" t="str">
        <f t="shared" si="5"/>
        <v/>
      </c>
      <c r="CH23" s="23"/>
      <c r="CI23" s="44" t="str">
        <f t="shared" si="6"/>
        <v/>
      </c>
      <c r="CJ23" s="25"/>
      <c r="CK23" s="44" t="str">
        <f t="shared" si="7"/>
        <v/>
      </c>
      <c r="CL23" s="46">
        <v>0.0</v>
      </c>
    </row>
    <row r="24" ht="108.75" customHeight="1">
      <c r="A24" s="26">
        <f t="shared" si="1"/>
        <v>22</v>
      </c>
      <c r="B24" s="27"/>
      <c r="C24" s="62" t="s">
        <v>184</v>
      </c>
      <c r="D24" s="27"/>
      <c r="E24" s="26"/>
      <c r="F24" s="26"/>
      <c r="G24" s="20"/>
      <c r="H24" s="20"/>
      <c r="I24" s="23"/>
      <c r="J24" s="33"/>
      <c r="K24" s="22" t="str">
        <f t="shared" si="2"/>
        <v/>
      </c>
      <c r="L24" s="23"/>
      <c r="M24" s="44" t="str">
        <f t="shared" si="44"/>
        <v/>
      </c>
      <c r="N24" s="25"/>
      <c r="O24" s="44" t="str">
        <f t="shared" si="45"/>
        <v/>
      </c>
      <c r="P24" s="29" t="str">
        <f t="shared" si="8"/>
        <v/>
      </c>
      <c r="Q24" s="29">
        <f t="shared" si="9"/>
        <v>0</v>
      </c>
      <c r="R24" s="29">
        <f t="shared" si="10"/>
        <v>0</v>
      </c>
      <c r="S24" s="22" t="str">
        <f t="shared" si="11"/>
        <v/>
      </c>
      <c r="T24" s="23"/>
      <c r="U24" s="44" t="str">
        <f t="shared" si="38"/>
        <v/>
      </c>
      <c r="V24" s="25"/>
      <c r="W24" s="44" t="str">
        <f t="shared" si="39"/>
        <v/>
      </c>
      <c r="X24" s="54"/>
      <c r="Y24" s="22" t="str">
        <f t="shared" si="12"/>
        <v/>
      </c>
      <c r="Z24" s="23"/>
      <c r="AA24" s="44" t="str">
        <f t="shared" si="40"/>
        <v/>
      </c>
      <c r="AB24" s="25"/>
      <c r="AC24" s="44" t="str">
        <f t="shared" si="41"/>
        <v/>
      </c>
      <c r="AD24" s="54"/>
      <c r="AE24" s="22" t="str">
        <f t="shared" si="13"/>
        <v/>
      </c>
      <c r="AF24" s="23"/>
      <c r="AG24" s="44" t="str">
        <f t="shared" si="46"/>
        <v/>
      </c>
      <c r="AH24" s="25"/>
      <c r="AI24" s="44" t="str">
        <f t="shared" si="47"/>
        <v/>
      </c>
      <c r="AJ24" s="46">
        <v>0.0</v>
      </c>
      <c r="AK24" s="33"/>
      <c r="AL24" s="22"/>
      <c r="AM24" s="23"/>
      <c r="AN24" s="44" t="str">
        <f t="shared" si="42"/>
        <v/>
      </c>
      <c r="AO24" s="25"/>
      <c r="AP24" s="44" t="str">
        <f t="shared" si="43"/>
        <v/>
      </c>
      <c r="AQ24" s="29" t="str">
        <f t="shared" si="14"/>
        <v/>
      </c>
      <c r="AR24" s="29">
        <f t="shared" si="15"/>
        <v>0</v>
      </c>
      <c r="AS24" s="29">
        <f t="shared" si="16"/>
        <v>0</v>
      </c>
      <c r="AT24" s="22" t="str">
        <f t="shared" si="17"/>
        <v/>
      </c>
      <c r="AU24" s="23"/>
      <c r="AV24" s="44" t="str">
        <f t="shared" si="18"/>
        <v/>
      </c>
      <c r="AW24" s="25"/>
      <c r="AX24" s="44" t="str">
        <f t="shared" si="19"/>
        <v/>
      </c>
      <c r="AY24" s="54"/>
      <c r="AZ24" s="22" t="str">
        <f t="shared" si="20"/>
        <v/>
      </c>
      <c r="BA24" s="23"/>
      <c r="BB24" s="44" t="str">
        <f t="shared" si="21"/>
        <v/>
      </c>
      <c r="BC24" s="25"/>
      <c r="BD24" s="44" t="str">
        <f t="shared" si="22"/>
        <v/>
      </c>
      <c r="BE24" s="54"/>
      <c r="BF24" s="22" t="str">
        <f t="shared" si="23"/>
        <v/>
      </c>
      <c r="BG24" s="23"/>
      <c r="BH24" s="44" t="str">
        <f t="shared" si="36"/>
        <v/>
      </c>
      <c r="BI24" s="25"/>
      <c r="BJ24" s="44" t="str">
        <f t="shared" si="37"/>
        <v/>
      </c>
      <c r="BK24" s="46">
        <v>0.0</v>
      </c>
      <c r="BL24" s="33"/>
      <c r="BM24" s="22" t="str">
        <f t="shared" si="24"/>
        <v/>
      </c>
      <c r="BN24" s="23"/>
      <c r="BO24" s="44" t="str">
        <f t="shared" si="25"/>
        <v/>
      </c>
      <c r="BP24" s="25"/>
      <c r="BQ24" s="44" t="str">
        <f t="shared" si="26"/>
        <v/>
      </c>
      <c r="BR24" s="29" t="str">
        <f t="shared" si="27"/>
        <v/>
      </c>
      <c r="BS24" s="29">
        <f t="shared" si="28"/>
        <v>0</v>
      </c>
      <c r="BT24" s="29">
        <f t="shared" si="29"/>
        <v>0</v>
      </c>
      <c r="BU24" s="22" t="str">
        <f t="shared" si="30"/>
        <v/>
      </c>
      <c r="BV24" s="23"/>
      <c r="BW24" s="44" t="str">
        <f t="shared" si="31"/>
        <v/>
      </c>
      <c r="BX24" s="25"/>
      <c r="BY24" s="44" t="str">
        <f t="shared" si="32"/>
        <v/>
      </c>
      <c r="BZ24" s="54"/>
      <c r="CA24" s="22" t="str">
        <f t="shared" si="33"/>
        <v/>
      </c>
      <c r="CB24" s="23"/>
      <c r="CC24" s="44" t="str">
        <f t="shared" si="34"/>
        <v/>
      </c>
      <c r="CD24" s="25"/>
      <c r="CE24" s="44" t="str">
        <f t="shared" si="35"/>
        <v/>
      </c>
      <c r="CF24" s="54"/>
      <c r="CG24" s="22" t="str">
        <f t="shared" si="5"/>
        <v/>
      </c>
      <c r="CH24" s="23"/>
      <c r="CI24" s="44" t="str">
        <f t="shared" si="6"/>
        <v/>
      </c>
      <c r="CJ24" s="25"/>
      <c r="CK24" s="44" t="str">
        <f t="shared" si="7"/>
        <v/>
      </c>
      <c r="CL24" s="46">
        <v>0.0</v>
      </c>
    </row>
    <row r="25" ht="106.5" customHeight="1">
      <c r="A25" s="26">
        <f t="shared" si="1"/>
        <v>23</v>
      </c>
      <c r="B25" s="27"/>
      <c r="C25" s="62" t="s">
        <v>185</v>
      </c>
      <c r="D25" s="27"/>
      <c r="E25" s="26"/>
      <c r="F25" s="26"/>
      <c r="G25" s="20">
        <v>5.0</v>
      </c>
      <c r="H25" s="20">
        <v>4.0</v>
      </c>
      <c r="I25" s="23" t="s">
        <v>72</v>
      </c>
      <c r="J25" s="33"/>
      <c r="K25" s="22">
        <f t="shared" si="2"/>
        <v>5</v>
      </c>
      <c r="L25" s="23" t="s">
        <v>186</v>
      </c>
      <c r="M25" s="44">
        <f t="shared" si="44"/>
        <v>46315.61726</v>
      </c>
      <c r="N25" s="25" t="s">
        <v>187</v>
      </c>
      <c r="O25" s="44" t="str">
        <f t="shared" si="45"/>
        <v/>
      </c>
      <c r="P25" s="29" t="str">
        <f t="shared" si="8"/>
        <v/>
      </c>
      <c r="Q25" s="29">
        <f t="shared" si="9"/>
        <v>-44462400</v>
      </c>
      <c r="R25" s="29">
        <f t="shared" si="10"/>
        <v>741040</v>
      </c>
      <c r="S25" s="22" t="str">
        <f t="shared" si="11"/>
        <v/>
      </c>
      <c r="T25" s="23"/>
      <c r="U25" s="44" t="str">
        <f t="shared" si="38"/>
        <v/>
      </c>
      <c r="V25" s="25"/>
      <c r="W25" s="44" t="str">
        <f t="shared" si="39"/>
        <v/>
      </c>
      <c r="X25" s="54"/>
      <c r="Y25" s="22" t="str">
        <f t="shared" si="12"/>
        <v/>
      </c>
      <c r="Z25" s="23"/>
      <c r="AA25" s="44" t="str">
        <f t="shared" si="40"/>
        <v/>
      </c>
      <c r="AB25" s="25"/>
      <c r="AC25" s="44" t="str">
        <f t="shared" si="41"/>
        <v/>
      </c>
      <c r="AD25" s="54"/>
      <c r="AE25" s="22" t="str">
        <f t="shared" si="13"/>
        <v/>
      </c>
      <c r="AF25" s="23"/>
      <c r="AG25" s="44" t="str">
        <f t="shared" si="46"/>
        <v/>
      </c>
      <c r="AH25" s="25"/>
      <c r="AI25" s="44" t="str">
        <f t="shared" si="47"/>
        <v/>
      </c>
      <c r="AJ25" s="46">
        <v>0.0</v>
      </c>
      <c r="AK25" s="33"/>
      <c r="AL25" s="22">
        <v>4.0</v>
      </c>
      <c r="AM25" s="23"/>
      <c r="AN25" s="44" t="str">
        <f t="shared" si="42"/>
        <v/>
      </c>
      <c r="AO25" s="25"/>
      <c r="AP25" s="44" t="str">
        <f t="shared" si="43"/>
        <v/>
      </c>
      <c r="AQ25" s="29" t="str">
        <f t="shared" si="14"/>
        <v/>
      </c>
      <c r="AR25" s="29">
        <f t="shared" si="15"/>
        <v>0</v>
      </c>
      <c r="AS25" s="29">
        <f t="shared" si="16"/>
        <v>0</v>
      </c>
      <c r="AT25" s="22" t="str">
        <f t="shared" si="17"/>
        <v/>
      </c>
      <c r="AU25" s="23"/>
      <c r="AV25" s="44" t="str">
        <f t="shared" si="18"/>
        <v/>
      </c>
      <c r="AW25" s="25"/>
      <c r="AX25" s="44" t="str">
        <f t="shared" si="19"/>
        <v/>
      </c>
      <c r="AY25" s="54"/>
      <c r="AZ25" s="22" t="str">
        <f t="shared" si="20"/>
        <v/>
      </c>
      <c r="BA25" s="23"/>
      <c r="BB25" s="44" t="str">
        <f t="shared" si="21"/>
        <v/>
      </c>
      <c r="BC25" s="25"/>
      <c r="BD25" s="44" t="str">
        <f t="shared" si="22"/>
        <v/>
      </c>
      <c r="BE25" s="54"/>
      <c r="BF25" s="22" t="str">
        <f t="shared" si="23"/>
        <v/>
      </c>
      <c r="BG25" s="23"/>
      <c r="BH25" s="44" t="str">
        <f t="shared" si="36"/>
        <v/>
      </c>
      <c r="BI25" s="25"/>
      <c r="BJ25" s="44" t="str">
        <f t="shared" si="37"/>
        <v/>
      </c>
      <c r="BK25" s="46">
        <v>0.0</v>
      </c>
      <c r="BL25" s="33"/>
      <c r="BM25" s="22" t="str">
        <f t="shared" si="24"/>
        <v/>
      </c>
      <c r="BN25" s="23"/>
      <c r="BO25" s="44" t="str">
        <f t="shared" si="25"/>
        <v/>
      </c>
      <c r="BP25" s="25"/>
      <c r="BQ25" s="44" t="str">
        <f t="shared" si="26"/>
        <v/>
      </c>
      <c r="BR25" s="29" t="str">
        <f t="shared" si="27"/>
        <v/>
      </c>
      <c r="BS25" s="29">
        <f t="shared" si="28"/>
        <v>0</v>
      </c>
      <c r="BT25" s="29">
        <f t="shared" si="29"/>
        <v>0</v>
      </c>
      <c r="BU25" s="22" t="str">
        <f t="shared" si="30"/>
        <v/>
      </c>
      <c r="BV25" s="23"/>
      <c r="BW25" s="44" t="str">
        <f t="shared" si="31"/>
        <v/>
      </c>
      <c r="BX25" s="25"/>
      <c r="BY25" s="44" t="str">
        <f t="shared" si="32"/>
        <v/>
      </c>
      <c r="BZ25" s="54"/>
      <c r="CA25" s="22" t="str">
        <f t="shared" si="33"/>
        <v/>
      </c>
      <c r="CB25" s="23"/>
      <c r="CC25" s="44" t="str">
        <f t="shared" si="34"/>
        <v/>
      </c>
      <c r="CD25" s="25"/>
      <c r="CE25" s="44" t="str">
        <f t="shared" si="35"/>
        <v/>
      </c>
      <c r="CF25" s="54"/>
      <c r="CG25" s="22" t="str">
        <f t="shared" si="5"/>
        <v/>
      </c>
      <c r="CH25" s="23"/>
      <c r="CI25" s="44" t="str">
        <f t="shared" si="6"/>
        <v/>
      </c>
      <c r="CJ25" s="25"/>
      <c r="CK25" s="44" t="str">
        <f t="shared" si="7"/>
        <v/>
      </c>
      <c r="CL25" s="46">
        <v>0.0</v>
      </c>
    </row>
    <row r="26" ht="108.0" customHeight="1">
      <c r="A26" s="26">
        <f t="shared" si="1"/>
        <v>24</v>
      </c>
      <c r="B26" s="27"/>
      <c r="C26" s="62" t="s">
        <v>188</v>
      </c>
      <c r="D26" s="27"/>
      <c r="E26" s="26"/>
      <c r="F26" s="23"/>
      <c r="G26" s="20"/>
      <c r="H26" s="20"/>
      <c r="I26" s="23"/>
      <c r="J26" s="33"/>
      <c r="K26" s="22" t="str">
        <f t="shared" si="2"/>
        <v/>
      </c>
      <c r="L26" s="23"/>
      <c r="M26" s="44" t="str">
        <f t="shared" si="44"/>
        <v/>
      </c>
      <c r="N26" s="25"/>
      <c r="O26" s="44" t="str">
        <f t="shared" si="45"/>
        <v/>
      </c>
      <c r="P26" s="29" t="str">
        <f t="shared" si="8"/>
        <v/>
      </c>
      <c r="Q26" s="29">
        <f t="shared" si="9"/>
        <v>0</v>
      </c>
      <c r="R26" s="29">
        <f t="shared" si="10"/>
        <v>0</v>
      </c>
      <c r="S26" s="22" t="str">
        <f t="shared" si="11"/>
        <v/>
      </c>
      <c r="T26" s="23"/>
      <c r="U26" s="44" t="str">
        <f t="shared" si="38"/>
        <v/>
      </c>
      <c r="V26" s="25"/>
      <c r="W26" s="44" t="str">
        <f t="shared" si="39"/>
        <v/>
      </c>
      <c r="X26" s="54"/>
      <c r="Y26" s="22" t="str">
        <f t="shared" si="12"/>
        <v/>
      </c>
      <c r="Z26" s="23"/>
      <c r="AA26" s="44" t="str">
        <f t="shared" si="40"/>
        <v/>
      </c>
      <c r="AB26" s="25"/>
      <c r="AC26" s="44" t="str">
        <f t="shared" si="41"/>
        <v/>
      </c>
      <c r="AD26" s="54"/>
      <c r="AE26" s="22" t="str">
        <f t="shared" si="13"/>
        <v/>
      </c>
      <c r="AF26" s="23"/>
      <c r="AG26" s="44" t="str">
        <f t="shared" si="46"/>
        <v/>
      </c>
      <c r="AH26" s="25"/>
      <c r="AI26" s="44" t="str">
        <f t="shared" si="47"/>
        <v/>
      </c>
      <c r="AJ26" s="46">
        <v>0.0</v>
      </c>
      <c r="AK26" s="33"/>
      <c r="AL26" s="22"/>
      <c r="AM26" s="23"/>
      <c r="AN26" s="44" t="str">
        <f t="shared" si="42"/>
        <v/>
      </c>
      <c r="AO26" s="25"/>
      <c r="AP26" s="44" t="str">
        <f t="shared" si="43"/>
        <v/>
      </c>
      <c r="AQ26" s="29" t="str">
        <f t="shared" si="14"/>
        <v/>
      </c>
      <c r="AR26" s="29">
        <f t="shared" si="15"/>
        <v>0</v>
      </c>
      <c r="AS26" s="29">
        <f t="shared" si="16"/>
        <v>0</v>
      </c>
      <c r="AT26" s="22" t="str">
        <f t="shared" si="17"/>
        <v/>
      </c>
      <c r="AU26" s="23"/>
      <c r="AV26" s="44" t="str">
        <f t="shared" si="18"/>
        <v/>
      </c>
      <c r="AW26" s="25"/>
      <c r="AX26" s="44" t="str">
        <f t="shared" si="19"/>
        <v/>
      </c>
      <c r="AY26" s="54"/>
      <c r="AZ26" s="22" t="str">
        <f t="shared" si="20"/>
        <v/>
      </c>
      <c r="BA26" s="23"/>
      <c r="BB26" s="44" t="str">
        <f t="shared" si="21"/>
        <v/>
      </c>
      <c r="BC26" s="25"/>
      <c r="BD26" s="44" t="str">
        <f t="shared" si="22"/>
        <v/>
      </c>
      <c r="BE26" s="54"/>
      <c r="BF26" s="22" t="str">
        <f t="shared" si="23"/>
        <v/>
      </c>
      <c r="BG26" s="23"/>
      <c r="BH26" s="44" t="str">
        <f t="shared" si="36"/>
        <v/>
      </c>
      <c r="BI26" s="25"/>
      <c r="BJ26" s="44" t="str">
        <f t="shared" si="37"/>
        <v/>
      </c>
      <c r="BK26" s="46">
        <v>0.0</v>
      </c>
      <c r="BL26" s="33"/>
      <c r="BM26" s="22" t="str">
        <f t="shared" si="24"/>
        <v/>
      </c>
      <c r="BN26" s="23"/>
      <c r="BO26" s="44" t="str">
        <f t="shared" si="25"/>
        <v/>
      </c>
      <c r="BP26" s="25"/>
      <c r="BQ26" s="44" t="str">
        <f t="shared" si="26"/>
        <v/>
      </c>
      <c r="BR26" s="29" t="str">
        <f t="shared" si="27"/>
        <v/>
      </c>
      <c r="BS26" s="29">
        <f t="shared" si="28"/>
        <v>0</v>
      </c>
      <c r="BT26" s="29">
        <f t="shared" si="29"/>
        <v>0</v>
      </c>
      <c r="BU26" s="22" t="str">
        <f t="shared" si="30"/>
        <v/>
      </c>
      <c r="BV26" s="23"/>
      <c r="BW26" s="44" t="str">
        <f t="shared" si="31"/>
        <v/>
      </c>
      <c r="BX26" s="25"/>
      <c r="BY26" s="44" t="str">
        <f t="shared" si="32"/>
        <v/>
      </c>
      <c r="BZ26" s="54"/>
      <c r="CA26" s="22" t="str">
        <f t="shared" si="33"/>
        <v/>
      </c>
      <c r="CB26" s="23"/>
      <c r="CC26" s="44" t="str">
        <f t="shared" si="34"/>
        <v/>
      </c>
      <c r="CD26" s="25"/>
      <c r="CE26" s="44" t="str">
        <f t="shared" si="35"/>
        <v/>
      </c>
      <c r="CF26" s="54"/>
      <c r="CG26" s="22" t="str">
        <f t="shared" si="5"/>
        <v/>
      </c>
      <c r="CH26" s="23"/>
      <c r="CI26" s="44" t="str">
        <f t="shared" si="6"/>
        <v/>
      </c>
      <c r="CJ26" s="25"/>
      <c r="CK26" s="44" t="str">
        <f t="shared" si="7"/>
        <v/>
      </c>
      <c r="CL26" s="46">
        <v>0.0</v>
      </c>
    </row>
    <row r="27" ht="111.75" customHeight="1">
      <c r="A27" s="26">
        <f t="shared" si="1"/>
        <v>25</v>
      </c>
      <c r="B27" s="27"/>
      <c r="C27" s="62" t="s">
        <v>190</v>
      </c>
      <c r="D27" s="27"/>
      <c r="E27" s="26"/>
      <c r="F27" s="26"/>
      <c r="G27" s="20"/>
      <c r="H27" s="20"/>
      <c r="I27" s="23"/>
      <c r="J27" s="33"/>
      <c r="K27" s="22" t="str">
        <f t="shared" si="2"/>
        <v/>
      </c>
      <c r="L27" s="23"/>
      <c r="M27" s="44" t="str">
        <f t="shared" si="44"/>
        <v/>
      </c>
      <c r="N27" s="25"/>
      <c r="O27" s="44" t="str">
        <f t="shared" si="45"/>
        <v/>
      </c>
      <c r="P27" s="29" t="str">
        <f t="shared" si="8"/>
        <v/>
      </c>
      <c r="Q27" s="29">
        <f t="shared" si="9"/>
        <v>0</v>
      </c>
      <c r="R27" s="29">
        <f t="shared" si="10"/>
        <v>0</v>
      </c>
      <c r="S27" s="22" t="str">
        <f t="shared" si="11"/>
        <v/>
      </c>
      <c r="T27" s="23"/>
      <c r="U27" s="44" t="str">
        <f t="shared" si="38"/>
        <v/>
      </c>
      <c r="V27" s="25"/>
      <c r="W27" s="44" t="str">
        <f t="shared" si="39"/>
        <v/>
      </c>
      <c r="X27" s="54"/>
      <c r="Y27" s="22" t="str">
        <f t="shared" si="12"/>
        <v/>
      </c>
      <c r="Z27" s="23"/>
      <c r="AA27" s="44" t="str">
        <f t="shared" si="40"/>
        <v/>
      </c>
      <c r="AB27" s="25"/>
      <c r="AC27" s="44" t="str">
        <f t="shared" si="41"/>
        <v/>
      </c>
      <c r="AD27" s="54"/>
      <c r="AE27" s="22" t="str">
        <f t="shared" si="13"/>
        <v/>
      </c>
      <c r="AF27" s="23"/>
      <c r="AG27" s="44" t="str">
        <f t="shared" si="46"/>
        <v/>
      </c>
      <c r="AH27" s="25"/>
      <c r="AI27" s="44" t="str">
        <f t="shared" si="47"/>
        <v/>
      </c>
      <c r="AJ27" s="46">
        <v>0.0</v>
      </c>
      <c r="AK27" s="33"/>
      <c r="AL27" s="22"/>
      <c r="AM27" s="23"/>
      <c r="AN27" s="44" t="str">
        <f t="shared" si="42"/>
        <v/>
      </c>
      <c r="AO27" s="25"/>
      <c r="AP27" s="44" t="str">
        <f t="shared" si="43"/>
        <v/>
      </c>
      <c r="AQ27" s="29" t="str">
        <f t="shared" si="14"/>
        <v/>
      </c>
      <c r="AR27" s="29">
        <f t="shared" si="15"/>
        <v>0</v>
      </c>
      <c r="AS27" s="29">
        <f t="shared" si="16"/>
        <v>0</v>
      </c>
      <c r="AT27" s="22" t="str">
        <f t="shared" si="17"/>
        <v/>
      </c>
      <c r="AU27" s="23"/>
      <c r="AV27" s="44" t="str">
        <f t="shared" si="18"/>
        <v/>
      </c>
      <c r="AW27" s="25"/>
      <c r="AX27" s="44" t="str">
        <f t="shared" si="19"/>
        <v/>
      </c>
      <c r="AY27" s="54"/>
      <c r="AZ27" s="22" t="str">
        <f t="shared" si="20"/>
        <v/>
      </c>
      <c r="BA27" s="23"/>
      <c r="BB27" s="44" t="str">
        <f t="shared" si="21"/>
        <v/>
      </c>
      <c r="BC27" s="25"/>
      <c r="BD27" s="44" t="str">
        <f t="shared" si="22"/>
        <v/>
      </c>
      <c r="BE27" s="54"/>
      <c r="BF27" s="22" t="str">
        <f t="shared" si="23"/>
        <v/>
      </c>
      <c r="BG27" s="23"/>
      <c r="BH27" s="44" t="str">
        <f t="shared" si="36"/>
        <v/>
      </c>
      <c r="BI27" s="25"/>
      <c r="BJ27" s="44" t="str">
        <f t="shared" si="37"/>
        <v/>
      </c>
      <c r="BK27" s="46">
        <v>0.0</v>
      </c>
      <c r="BL27" s="33"/>
      <c r="BM27" s="22" t="str">
        <f t="shared" si="24"/>
        <v/>
      </c>
      <c r="BN27" s="23"/>
      <c r="BO27" s="44" t="str">
        <f t="shared" si="25"/>
        <v/>
      </c>
      <c r="BP27" s="25"/>
      <c r="BQ27" s="44" t="str">
        <f t="shared" si="26"/>
        <v/>
      </c>
      <c r="BR27" s="29" t="str">
        <f t="shared" si="27"/>
        <v/>
      </c>
      <c r="BS27" s="29">
        <f t="shared" si="28"/>
        <v>0</v>
      </c>
      <c r="BT27" s="29">
        <f t="shared" si="29"/>
        <v>0</v>
      </c>
      <c r="BU27" s="22" t="str">
        <f t="shared" si="30"/>
        <v/>
      </c>
      <c r="BV27" s="23"/>
      <c r="BW27" s="44" t="str">
        <f t="shared" si="31"/>
        <v/>
      </c>
      <c r="BX27" s="25"/>
      <c r="BY27" s="44" t="str">
        <f t="shared" si="32"/>
        <v/>
      </c>
      <c r="BZ27" s="54"/>
      <c r="CA27" s="22" t="str">
        <f t="shared" si="33"/>
        <v/>
      </c>
      <c r="CB27" s="23"/>
      <c r="CC27" s="44" t="str">
        <f t="shared" si="34"/>
        <v/>
      </c>
      <c r="CD27" s="25"/>
      <c r="CE27" s="44" t="str">
        <f t="shared" si="35"/>
        <v/>
      </c>
      <c r="CF27" s="54"/>
      <c r="CG27" s="22" t="str">
        <f t="shared" si="5"/>
        <v/>
      </c>
      <c r="CH27" s="23"/>
      <c r="CI27" s="44" t="str">
        <f t="shared" si="6"/>
        <v/>
      </c>
      <c r="CJ27" s="25"/>
      <c r="CK27" s="44" t="str">
        <f t="shared" si="7"/>
        <v/>
      </c>
      <c r="CL27" s="46">
        <v>0.0</v>
      </c>
    </row>
    <row r="28" ht="104.25" customHeight="1">
      <c r="A28" s="26">
        <f t="shared" si="1"/>
        <v>26</v>
      </c>
      <c r="B28" s="27"/>
      <c r="C28" s="62" t="s">
        <v>193</v>
      </c>
      <c r="D28" s="27"/>
      <c r="E28" s="26"/>
      <c r="F28" s="26"/>
      <c r="G28" s="20">
        <v>5.0</v>
      </c>
      <c r="H28" s="20">
        <v>4.0</v>
      </c>
      <c r="I28" s="23" t="s">
        <v>72</v>
      </c>
      <c r="J28" s="33"/>
      <c r="K28" s="22">
        <f t="shared" si="2"/>
        <v>5</v>
      </c>
      <c r="L28" s="23" t="s">
        <v>194</v>
      </c>
      <c r="M28" s="34">
        <v>46310.40570560185</v>
      </c>
      <c r="N28" s="25" t="s">
        <v>147</v>
      </c>
      <c r="O28" s="44" t="str">
        <f t="shared" si="45"/>
        <v/>
      </c>
      <c r="P28" s="29" t="str">
        <f t="shared" si="8"/>
        <v/>
      </c>
      <c r="Q28" s="29">
        <f t="shared" si="9"/>
        <v>-44457600</v>
      </c>
      <c r="R28" s="29">
        <f t="shared" si="10"/>
        <v>740960</v>
      </c>
      <c r="S28" s="22" t="str">
        <f t="shared" si="11"/>
        <v/>
      </c>
      <c r="T28" s="23"/>
      <c r="U28" s="44" t="str">
        <f t="shared" si="38"/>
        <v/>
      </c>
      <c r="V28" s="25"/>
      <c r="W28" s="44" t="str">
        <f t="shared" si="39"/>
        <v/>
      </c>
      <c r="X28" s="54"/>
      <c r="Y28" s="22" t="str">
        <f t="shared" si="12"/>
        <v/>
      </c>
      <c r="Z28" s="23"/>
      <c r="AA28" s="44" t="str">
        <f t="shared" si="40"/>
        <v/>
      </c>
      <c r="AB28" s="25"/>
      <c r="AC28" s="44" t="str">
        <f t="shared" si="41"/>
        <v/>
      </c>
      <c r="AD28" s="54"/>
      <c r="AE28" s="22" t="str">
        <f t="shared" si="13"/>
        <v/>
      </c>
      <c r="AF28" s="23"/>
      <c r="AG28" s="44" t="str">
        <f t="shared" si="46"/>
        <v/>
      </c>
      <c r="AH28" s="25"/>
      <c r="AI28" s="44" t="str">
        <f t="shared" si="47"/>
        <v/>
      </c>
      <c r="AJ28" s="46">
        <v>0.0</v>
      </c>
      <c r="AK28" s="33"/>
      <c r="AL28" s="22">
        <v>4.0</v>
      </c>
      <c r="AM28" s="23"/>
      <c r="AN28" s="44" t="str">
        <f t="shared" si="42"/>
        <v/>
      </c>
      <c r="AO28" s="25"/>
      <c r="AP28" s="44" t="str">
        <f t="shared" si="43"/>
        <v/>
      </c>
      <c r="AQ28" s="29" t="str">
        <f t="shared" si="14"/>
        <v/>
      </c>
      <c r="AR28" s="29">
        <f t="shared" si="15"/>
        <v>0</v>
      </c>
      <c r="AS28" s="29">
        <f t="shared" si="16"/>
        <v>0</v>
      </c>
      <c r="AT28" s="22" t="str">
        <f t="shared" si="17"/>
        <v/>
      </c>
      <c r="AU28" s="23"/>
      <c r="AV28" s="44" t="str">
        <f t="shared" si="18"/>
        <v/>
      </c>
      <c r="AW28" s="25"/>
      <c r="AX28" s="44" t="str">
        <f t="shared" si="19"/>
        <v/>
      </c>
      <c r="AY28" s="54"/>
      <c r="AZ28" s="22" t="str">
        <f t="shared" si="20"/>
        <v/>
      </c>
      <c r="BA28" s="23"/>
      <c r="BB28" s="44" t="str">
        <f t="shared" si="21"/>
        <v/>
      </c>
      <c r="BC28" s="25"/>
      <c r="BD28" s="44" t="str">
        <f t="shared" si="22"/>
        <v/>
      </c>
      <c r="BE28" s="54"/>
      <c r="BF28" s="22" t="str">
        <f t="shared" si="23"/>
        <v/>
      </c>
      <c r="BG28" s="23"/>
      <c r="BH28" s="44" t="str">
        <f t="shared" si="36"/>
        <v/>
      </c>
      <c r="BI28" s="25"/>
      <c r="BJ28" s="44" t="str">
        <f t="shared" si="37"/>
        <v/>
      </c>
      <c r="BK28" s="46">
        <v>0.0</v>
      </c>
      <c r="BL28" s="33"/>
      <c r="BM28" s="22" t="str">
        <f t="shared" si="24"/>
        <v/>
      </c>
      <c r="BN28" s="23"/>
      <c r="BO28" s="44" t="str">
        <f t="shared" si="25"/>
        <v/>
      </c>
      <c r="BP28" s="25"/>
      <c r="BQ28" s="44" t="str">
        <f t="shared" si="26"/>
        <v/>
      </c>
      <c r="BR28" s="29" t="str">
        <f t="shared" si="27"/>
        <v/>
      </c>
      <c r="BS28" s="29">
        <f t="shared" si="28"/>
        <v>0</v>
      </c>
      <c r="BT28" s="29">
        <f t="shared" si="29"/>
        <v>0</v>
      </c>
      <c r="BU28" s="22" t="str">
        <f t="shared" si="30"/>
        <v/>
      </c>
      <c r="BV28" s="23"/>
      <c r="BW28" s="44" t="str">
        <f t="shared" si="31"/>
        <v/>
      </c>
      <c r="BX28" s="25"/>
      <c r="BY28" s="44" t="str">
        <f t="shared" si="32"/>
        <v/>
      </c>
      <c r="BZ28" s="54"/>
      <c r="CA28" s="22" t="str">
        <f t="shared" si="33"/>
        <v/>
      </c>
      <c r="CB28" s="23"/>
      <c r="CC28" s="44" t="str">
        <f t="shared" si="34"/>
        <v/>
      </c>
      <c r="CD28" s="25"/>
      <c r="CE28" s="44" t="str">
        <f t="shared" si="35"/>
        <v/>
      </c>
      <c r="CF28" s="54"/>
      <c r="CG28" s="22" t="str">
        <f t="shared" si="5"/>
        <v/>
      </c>
      <c r="CH28" s="23"/>
      <c r="CI28" s="44" t="str">
        <f t="shared" si="6"/>
        <v/>
      </c>
      <c r="CJ28" s="25"/>
      <c r="CK28" s="44" t="str">
        <f t="shared" si="7"/>
        <v/>
      </c>
      <c r="CL28" s="46">
        <v>0.0</v>
      </c>
    </row>
    <row r="29" ht="107.25" customHeight="1">
      <c r="A29" s="26">
        <f t="shared" si="1"/>
        <v>27</v>
      </c>
      <c r="B29" s="27"/>
      <c r="C29" s="62" t="s">
        <v>196</v>
      </c>
      <c r="D29" s="27"/>
      <c r="E29" s="26"/>
      <c r="F29" s="26"/>
      <c r="G29" s="20"/>
      <c r="H29" s="20"/>
      <c r="I29" s="23"/>
      <c r="J29" s="33"/>
      <c r="K29" s="22" t="str">
        <f t="shared" si="2"/>
        <v/>
      </c>
      <c r="L29" s="23"/>
      <c r="M29" s="44" t="str">
        <f t="shared" ref="M29:M32" si="48">if(L29&lt;&gt;"", if(M29="",NOW(),M29),"")</f>
        <v/>
      </c>
      <c r="N29" s="25"/>
      <c r="O29" s="44" t="str">
        <f t="shared" si="45"/>
        <v/>
      </c>
      <c r="P29" s="29" t="str">
        <f t="shared" si="8"/>
        <v/>
      </c>
      <c r="Q29" s="29">
        <f t="shared" si="9"/>
        <v>0</v>
      </c>
      <c r="R29" s="29">
        <f t="shared" si="10"/>
        <v>0</v>
      </c>
      <c r="S29" s="22" t="str">
        <f t="shared" si="11"/>
        <v/>
      </c>
      <c r="T29" s="23"/>
      <c r="U29" s="44" t="str">
        <f t="shared" si="38"/>
        <v/>
      </c>
      <c r="V29" s="25"/>
      <c r="W29" s="44" t="str">
        <f t="shared" si="39"/>
        <v/>
      </c>
      <c r="X29" s="54"/>
      <c r="Y29" s="22" t="str">
        <f t="shared" si="12"/>
        <v/>
      </c>
      <c r="Z29" s="23"/>
      <c r="AA29" s="44" t="str">
        <f t="shared" si="40"/>
        <v/>
      </c>
      <c r="AB29" s="25"/>
      <c r="AC29" s="44" t="str">
        <f t="shared" si="41"/>
        <v/>
      </c>
      <c r="AD29" s="54"/>
      <c r="AE29" s="22" t="str">
        <f t="shared" si="13"/>
        <v/>
      </c>
      <c r="AF29" s="23"/>
      <c r="AG29" s="44" t="str">
        <f t="shared" si="46"/>
        <v/>
      </c>
      <c r="AH29" s="25"/>
      <c r="AI29" s="44" t="str">
        <f t="shared" si="47"/>
        <v/>
      </c>
      <c r="AJ29" s="46">
        <v>0.0</v>
      </c>
      <c r="AK29" s="33"/>
      <c r="AL29" s="22"/>
      <c r="AM29" s="23"/>
      <c r="AN29" s="44" t="str">
        <f t="shared" si="42"/>
        <v/>
      </c>
      <c r="AO29" s="25"/>
      <c r="AP29" s="44" t="str">
        <f t="shared" si="43"/>
        <v/>
      </c>
      <c r="AQ29" s="29" t="str">
        <f t="shared" si="14"/>
        <v/>
      </c>
      <c r="AR29" s="29">
        <f t="shared" si="15"/>
        <v>0</v>
      </c>
      <c r="AS29" s="29">
        <f t="shared" si="16"/>
        <v>0</v>
      </c>
      <c r="AT29" s="22" t="str">
        <f t="shared" si="17"/>
        <v/>
      </c>
      <c r="AU29" s="23"/>
      <c r="AV29" s="44" t="str">
        <f t="shared" si="18"/>
        <v/>
      </c>
      <c r="AW29" s="25"/>
      <c r="AX29" s="44" t="str">
        <f t="shared" si="19"/>
        <v/>
      </c>
      <c r="AY29" s="54"/>
      <c r="AZ29" s="22" t="str">
        <f t="shared" si="20"/>
        <v/>
      </c>
      <c r="BA29" s="23"/>
      <c r="BB29" s="44" t="str">
        <f t="shared" si="21"/>
        <v/>
      </c>
      <c r="BC29" s="25"/>
      <c r="BD29" s="44" t="str">
        <f t="shared" si="22"/>
        <v/>
      </c>
      <c r="BE29" s="54"/>
      <c r="BF29" s="22" t="str">
        <f t="shared" si="23"/>
        <v/>
      </c>
      <c r="BG29" s="23"/>
      <c r="BH29" s="44" t="str">
        <f t="shared" si="36"/>
        <v/>
      </c>
      <c r="BI29" s="25"/>
      <c r="BJ29" s="44" t="str">
        <f t="shared" si="37"/>
        <v/>
      </c>
      <c r="BK29" s="46">
        <v>0.0</v>
      </c>
      <c r="BL29" s="33"/>
      <c r="BM29" s="22" t="str">
        <f t="shared" si="24"/>
        <v/>
      </c>
      <c r="BN29" s="23"/>
      <c r="BO29" s="44" t="str">
        <f t="shared" si="25"/>
        <v/>
      </c>
      <c r="BP29" s="25"/>
      <c r="BQ29" s="44" t="str">
        <f t="shared" si="26"/>
        <v/>
      </c>
      <c r="BR29" s="29" t="str">
        <f t="shared" si="27"/>
        <v/>
      </c>
      <c r="BS29" s="29">
        <f t="shared" si="28"/>
        <v>0</v>
      </c>
      <c r="BT29" s="29">
        <f t="shared" si="29"/>
        <v>0</v>
      </c>
      <c r="BU29" s="22" t="str">
        <f t="shared" si="30"/>
        <v/>
      </c>
      <c r="BV29" s="23"/>
      <c r="BW29" s="44" t="str">
        <f t="shared" si="31"/>
        <v/>
      </c>
      <c r="BX29" s="25"/>
      <c r="BY29" s="44" t="str">
        <f t="shared" si="32"/>
        <v/>
      </c>
      <c r="BZ29" s="54"/>
      <c r="CA29" s="22" t="str">
        <f t="shared" si="33"/>
        <v/>
      </c>
      <c r="CB29" s="23"/>
      <c r="CC29" s="44" t="str">
        <f t="shared" si="34"/>
        <v/>
      </c>
      <c r="CD29" s="25"/>
      <c r="CE29" s="44" t="str">
        <f t="shared" si="35"/>
        <v/>
      </c>
      <c r="CF29" s="54"/>
      <c r="CG29" s="22" t="str">
        <f t="shared" si="5"/>
        <v/>
      </c>
      <c r="CH29" s="23"/>
      <c r="CI29" s="44" t="str">
        <f t="shared" si="6"/>
        <v/>
      </c>
      <c r="CJ29" s="25"/>
      <c r="CK29" s="44" t="str">
        <f t="shared" si="7"/>
        <v/>
      </c>
      <c r="CL29" s="46">
        <v>0.0</v>
      </c>
    </row>
    <row r="30" ht="97.5" customHeight="1">
      <c r="A30" s="26">
        <f t="shared" si="1"/>
        <v>28</v>
      </c>
      <c r="B30" s="27"/>
      <c r="C30" s="62" t="s">
        <v>199</v>
      </c>
      <c r="D30" s="27"/>
      <c r="E30" s="26"/>
      <c r="F30" s="26"/>
      <c r="G30" s="20"/>
      <c r="H30" s="20"/>
      <c r="I30" s="23"/>
      <c r="J30" s="33"/>
      <c r="K30" s="22" t="str">
        <f t="shared" si="2"/>
        <v/>
      </c>
      <c r="L30" s="23"/>
      <c r="M30" s="44" t="str">
        <f t="shared" si="48"/>
        <v/>
      </c>
      <c r="N30" s="25"/>
      <c r="O30" s="44" t="str">
        <f t="shared" si="45"/>
        <v/>
      </c>
      <c r="P30" s="29" t="str">
        <f t="shared" si="8"/>
        <v/>
      </c>
      <c r="Q30" s="29">
        <f t="shared" si="9"/>
        <v>0</v>
      </c>
      <c r="R30" s="29">
        <f t="shared" si="10"/>
        <v>0</v>
      </c>
      <c r="S30" s="22" t="str">
        <f t="shared" si="11"/>
        <v/>
      </c>
      <c r="T30" s="23"/>
      <c r="U30" s="44" t="str">
        <f t="shared" si="38"/>
        <v/>
      </c>
      <c r="V30" s="25"/>
      <c r="W30" s="44" t="str">
        <f t="shared" si="39"/>
        <v/>
      </c>
      <c r="X30" s="54"/>
      <c r="Y30" s="22" t="str">
        <f t="shared" si="12"/>
        <v/>
      </c>
      <c r="Z30" s="23"/>
      <c r="AA30" s="44" t="str">
        <f t="shared" si="40"/>
        <v/>
      </c>
      <c r="AB30" s="25"/>
      <c r="AC30" s="44" t="str">
        <f t="shared" si="41"/>
        <v/>
      </c>
      <c r="AD30" s="54"/>
      <c r="AE30" s="22" t="str">
        <f t="shared" si="13"/>
        <v/>
      </c>
      <c r="AF30" s="23"/>
      <c r="AG30" s="44" t="str">
        <f t="shared" si="46"/>
        <v/>
      </c>
      <c r="AH30" s="25"/>
      <c r="AI30" s="44" t="str">
        <f t="shared" si="47"/>
        <v/>
      </c>
      <c r="AJ30" s="46">
        <v>0.0</v>
      </c>
      <c r="AK30" s="33"/>
      <c r="AL30" s="22"/>
      <c r="AM30" s="23"/>
      <c r="AN30" s="44" t="str">
        <f t="shared" si="42"/>
        <v/>
      </c>
      <c r="AO30" s="25"/>
      <c r="AP30" s="44" t="str">
        <f t="shared" si="43"/>
        <v/>
      </c>
      <c r="AQ30" s="29" t="str">
        <f t="shared" si="14"/>
        <v/>
      </c>
      <c r="AR30" s="29">
        <f t="shared" si="15"/>
        <v>0</v>
      </c>
      <c r="AS30" s="29">
        <f t="shared" si="16"/>
        <v>0</v>
      </c>
      <c r="AT30" s="22" t="str">
        <f t="shared" si="17"/>
        <v/>
      </c>
      <c r="AU30" s="23"/>
      <c r="AV30" s="44" t="str">
        <f t="shared" si="18"/>
        <v/>
      </c>
      <c r="AW30" s="25"/>
      <c r="AX30" s="44" t="str">
        <f t="shared" si="19"/>
        <v/>
      </c>
      <c r="AY30" s="54"/>
      <c r="AZ30" s="22" t="str">
        <f t="shared" si="20"/>
        <v/>
      </c>
      <c r="BA30" s="23"/>
      <c r="BB30" s="44" t="str">
        <f t="shared" si="21"/>
        <v/>
      </c>
      <c r="BC30" s="25"/>
      <c r="BD30" s="44" t="str">
        <f t="shared" si="22"/>
        <v/>
      </c>
      <c r="BE30" s="54"/>
      <c r="BF30" s="22" t="str">
        <f t="shared" si="23"/>
        <v/>
      </c>
      <c r="BG30" s="23"/>
      <c r="BH30" s="44" t="str">
        <f t="shared" si="36"/>
        <v/>
      </c>
      <c r="BI30" s="25"/>
      <c r="BJ30" s="44" t="str">
        <f t="shared" si="37"/>
        <v/>
      </c>
      <c r="BK30" s="46">
        <v>0.0</v>
      </c>
      <c r="BL30" s="33"/>
      <c r="BM30" s="22" t="str">
        <f t="shared" si="24"/>
        <v/>
      </c>
      <c r="BN30" s="23"/>
      <c r="BO30" s="44" t="str">
        <f t="shared" si="25"/>
        <v/>
      </c>
      <c r="BP30" s="25"/>
      <c r="BQ30" s="44" t="str">
        <f t="shared" si="26"/>
        <v/>
      </c>
      <c r="BR30" s="29" t="str">
        <f t="shared" si="27"/>
        <v/>
      </c>
      <c r="BS30" s="29">
        <f t="shared" si="28"/>
        <v>0</v>
      </c>
      <c r="BT30" s="29">
        <f t="shared" si="29"/>
        <v>0</v>
      </c>
      <c r="BU30" s="22" t="str">
        <f t="shared" si="30"/>
        <v/>
      </c>
      <c r="BV30" s="23"/>
      <c r="BW30" s="44" t="str">
        <f t="shared" si="31"/>
        <v/>
      </c>
      <c r="BX30" s="25"/>
      <c r="BY30" s="44" t="str">
        <f t="shared" si="32"/>
        <v/>
      </c>
      <c r="BZ30" s="54"/>
      <c r="CA30" s="22" t="str">
        <f t="shared" si="33"/>
        <v/>
      </c>
      <c r="CB30" s="23"/>
      <c r="CC30" s="44" t="str">
        <f t="shared" si="34"/>
        <v/>
      </c>
      <c r="CD30" s="25"/>
      <c r="CE30" s="44" t="str">
        <f t="shared" si="35"/>
        <v/>
      </c>
      <c r="CF30" s="54"/>
      <c r="CG30" s="22" t="str">
        <f t="shared" si="5"/>
        <v/>
      </c>
      <c r="CH30" s="23"/>
      <c r="CI30" s="44" t="str">
        <f t="shared" si="6"/>
        <v/>
      </c>
      <c r="CJ30" s="25"/>
      <c r="CK30" s="44" t="str">
        <f t="shared" si="7"/>
        <v/>
      </c>
      <c r="CL30" s="46">
        <v>0.0</v>
      </c>
    </row>
    <row r="31" ht="110.25" customHeight="1">
      <c r="A31" s="26">
        <f t="shared" si="1"/>
        <v>29</v>
      </c>
      <c r="B31" s="27"/>
      <c r="C31" s="62" t="s">
        <v>200</v>
      </c>
      <c r="D31" s="27"/>
      <c r="E31" s="26"/>
      <c r="F31" s="26"/>
      <c r="G31" s="20"/>
      <c r="H31" s="20"/>
      <c r="I31" s="23"/>
      <c r="J31" s="33"/>
      <c r="K31" s="22" t="str">
        <f t="shared" si="2"/>
        <v/>
      </c>
      <c r="L31" s="23"/>
      <c r="M31" s="44" t="str">
        <f t="shared" si="48"/>
        <v/>
      </c>
      <c r="N31" s="25"/>
      <c r="O31" s="44" t="str">
        <f t="shared" si="45"/>
        <v/>
      </c>
      <c r="P31" s="29" t="str">
        <f t="shared" si="8"/>
        <v/>
      </c>
      <c r="Q31" s="29">
        <f t="shared" si="9"/>
        <v>0</v>
      </c>
      <c r="R31" s="29">
        <f t="shared" si="10"/>
        <v>0</v>
      </c>
      <c r="S31" s="22" t="str">
        <f t="shared" si="11"/>
        <v/>
      </c>
      <c r="T31" s="23"/>
      <c r="U31" s="44" t="str">
        <f t="shared" si="38"/>
        <v/>
      </c>
      <c r="V31" s="25"/>
      <c r="W31" s="44" t="str">
        <f t="shared" si="39"/>
        <v/>
      </c>
      <c r="X31" s="54"/>
      <c r="Y31" s="22" t="str">
        <f t="shared" si="12"/>
        <v/>
      </c>
      <c r="Z31" s="23"/>
      <c r="AA31" s="44" t="str">
        <f t="shared" si="40"/>
        <v/>
      </c>
      <c r="AB31" s="25"/>
      <c r="AC31" s="44" t="str">
        <f t="shared" si="41"/>
        <v/>
      </c>
      <c r="AD31" s="54"/>
      <c r="AE31" s="22" t="str">
        <f t="shared" si="13"/>
        <v/>
      </c>
      <c r="AF31" s="23"/>
      <c r="AG31" s="44" t="str">
        <f t="shared" si="46"/>
        <v/>
      </c>
      <c r="AH31" s="25"/>
      <c r="AI31" s="44" t="str">
        <f t="shared" si="47"/>
        <v/>
      </c>
      <c r="AJ31" s="46">
        <v>0.0</v>
      </c>
      <c r="AK31" s="33"/>
      <c r="AL31" s="22"/>
      <c r="AM31" s="23"/>
      <c r="AN31" s="44" t="str">
        <f t="shared" si="42"/>
        <v/>
      </c>
      <c r="AO31" s="25"/>
      <c r="AP31" s="44" t="str">
        <f t="shared" si="43"/>
        <v/>
      </c>
      <c r="AQ31" s="29" t="str">
        <f t="shared" si="14"/>
        <v/>
      </c>
      <c r="AR31" s="29">
        <f t="shared" si="15"/>
        <v>0</v>
      </c>
      <c r="AS31" s="29">
        <f t="shared" si="16"/>
        <v>0</v>
      </c>
      <c r="AT31" s="22" t="str">
        <f t="shared" si="17"/>
        <v/>
      </c>
      <c r="AU31" s="23"/>
      <c r="AV31" s="44" t="str">
        <f t="shared" si="18"/>
        <v/>
      </c>
      <c r="AW31" s="25"/>
      <c r="AX31" s="44" t="str">
        <f t="shared" si="19"/>
        <v/>
      </c>
      <c r="AY31" s="54"/>
      <c r="AZ31" s="22" t="str">
        <f t="shared" si="20"/>
        <v/>
      </c>
      <c r="BA31" s="23"/>
      <c r="BB31" s="44" t="str">
        <f t="shared" si="21"/>
        <v/>
      </c>
      <c r="BC31" s="25"/>
      <c r="BD31" s="44" t="str">
        <f t="shared" si="22"/>
        <v/>
      </c>
      <c r="BE31" s="54"/>
      <c r="BF31" s="22" t="str">
        <f t="shared" si="23"/>
        <v/>
      </c>
      <c r="BG31" s="23"/>
      <c r="BH31" s="44" t="str">
        <f t="shared" si="36"/>
        <v/>
      </c>
      <c r="BI31" s="25"/>
      <c r="BJ31" s="44" t="str">
        <f t="shared" si="37"/>
        <v/>
      </c>
      <c r="BK31" s="46">
        <v>0.0</v>
      </c>
      <c r="BL31" s="33"/>
      <c r="BM31" s="22" t="str">
        <f t="shared" si="24"/>
        <v/>
      </c>
      <c r="BN31" s="23"/>
      <c r="BO31" s="44" t="str">
        <f t="shared" si="25"/>
        <v/>
      </c>
      <c r="BP31" s="25"/>
      <c r="BQ31" s="44" t="str">
        <f t="shared" si="26"/>
        <v/>
      </c>
      <c r="BR31" s="29" t="str">
        <f t="shared" si="27"/>
        <v/>
      </c>
      <c r="BS31" s="29">
        <f t="shared" si="28"/>
        <v>0</v>
      </c>
      <c r="BT31" s="29">
        <f t="shared" si="29"/>
        <v>0</v>
      </c>
      <c r="BU31" s="22" t="str">
        <f t="shared" si="30"/>
        <v/>
      </c>
      <c r="BV31" s="23"/>
      <c r="BW31" s="44" t="str">
        <f t="shared" si="31"/>
        <v/>
      </c>
      <c r="BX31" s="25"/>
      <c r="BY31" s="44" t="str">
        <f t="shared" si="32"/>
        <v/>
      </c>
      <c r="BZ31" s="54"/>
      <c r="CA31" s="22" t="str">
        <f t="shared" si="33"/>
        <v/>
      </c>
      <c r="CB31" s="23"/>
      <c r="CC31" s="44" t="str">
        <f t="shared" si="34"/>
        <v/>
      </c>
      <c r="CD31" s="25"/>
      <c r="CE31" s="44" t="str">
        <f t="shared" si="35"/>
        <v/>
      </c>
      <c r="CF31" s="54"/>
      <c r="CG31" s="22" t="str">
        <f t="shared" si="5"/>
        <v/>
      </c>
      <c r="CH31" s="23"/>
      <c r="CI31" s="44" t="str">
        <f t="shared" si="6"/>
        <v/>
      </c>
      <c r="CJ31" s="25"/>
      <c r="CK31" s="44" t="str">
        <f t="shared" si="7"/>
        <v/>
      </c>
      <c r="CL31" s="46">
        <v>0.0</v>
      </c>
    </row>
    <row r="32" ht="92.25" customHeight="1">
      <c r="A32" s="26">
        <f t="shared" si="1"/>
        <v>30</v>
      </c>
      <c r="B32" s="27"/>
      <c r="C32" s="62" t="s">
        <v>201</v>
      </c>
      <c r="D32" s="27"/>
      <c r="E32" s="26"/>
      <c r="F32" s="26"/>
      <c r="G32" s="20">
        <v>4.0</v>
      </c>
      <c r="H32" s="20">
        <v>2.0</v>
      </c>
      <c r="I32" s="23" t="s">
        <v>72</v>
      </c>
      <c r="J32" s="33"/>
      <c r="K32" s="22">
        <f t="shared" si="2"/>
        <v>4</v>
      </c>
      <c r="L32" s="23" t="s">
        <v>180</v>
      </c>
      <c r="M32" s="44">
        <f t="shared" si="48"/>
        <v>46314.49264</v>
      </c>
      <c r="N32" s="25" t="s">
        <v>69</v>
      </c>
      <c r="O32" s="34">
        <v>46315.68565488426</v>
      </c>
      <c r="P32" s="29">
        <f t="shared" si="8"/>
        <v>1717.944367</v>
      </c>
      <c r="Q32" s="29">
        <f t="shared" si="9"/>
        <v>1020</v>
      </c>
      <c r="R32" s="29">
        <f t="shared" si="10"/>
        <v>11.63240611</v>
      </c>
      <c r="S32" s="22" t="str">
        <f t="shared" si="11"/>
        <v/>
      </c>
      <c r="T32" s="23"/>
      <c r="U32" s="44" t="str">
        <f t="shared" si="38"/>
        <v/>
      </c>
      <c r="V32" s="25"/>
      <c r="W32" s="44" t="str">
        <f t="shared" si="39"/>
        <v/>
      </c>
      <c r="X32" s="54"/>
      <c r="Y32" s="22" t="str">
        <f t="shared" si="12"/>
        <v/>
      </c>
      <c r="Z32" s="23"/>
      <c r="AA32" s="44" t="str">
        <f t="shared" si="40"/>
        <v/>
      </c>
      <c r="AB32" s="25"/>
      <c r="AC32" s="44" t="str">
        <f t="shared" si="41"/>
        <v/>
      </c>
      <c r="AD32" s="54"/>
      <c r="AE32" s="22" t="str">
        <f t="shared" si="13"/>
        <v/>
      </c>
      <c r="AF32" s="23"/>
      <c r="AG32" s="44" t="str">
        <f t="shared" si="46"/>
        <v/>
      </c>
      <c r="AH32" s="25"/>
      <c r="AI32" s="44" t="str">
        <f t="shared" si="47"/>
        <v/>
      </c>
      <c r="AJ32" s="46">
        <v>0.0</v>
      </c>
      <c r="AK32" s="33"/>
      <c r="AL32" s="22">
        <v>2.0</v>
      </c>
      <c r="AM32" s="23" t="s">
        <v>180</v>
      </c>
      <c r="AN32" s="44">
        <f t="shared" si="42"/>
        <v>46316.39892</v>
      </c>
      <c r="AO32" s="25" t="s">
        <v>147</v>
      </c>
      <c r="AP32" s="44" t="str">
        <f t="shared" si="43"/>
        <v/>
      </c>
      <c r="AQ32" s="29" t="str">
        <f t="shared" si="14"/>
        <v/>
      </c>
      <c r="AR32" s="29">
        <f t="shared" si="15"/>
        <v>-44463360</v>
      </c>
      <c r="AS32" s="29">
        <f t="shared" si="16"/>
        <v>741056</v>
      </c>
      <c r="AT32" s="22" t="str">
        <f t="shared" si="17"/>
        <v/>
      </c>
      <c r="AU32" s="23"/>
      <c r="AV32" s="44" t="str">
        <f t="shared" si="18"/>
        <v/>
      </c>
      <c r="AW32" s="25"/>
      <c r="AX32" s="44" t="str">
        <f t="shared" si="19"/>
        <v/>
      </c>
      <c r="AY32" s="54"/>
      <c r="AZ32" s="22" t="str">
        <f t="shared" si="20"/>
        <v/>
      </c>
      <c r="BA32" s="23"/>
      <c r="BB32" s="44" t="str">
        <f t="shared" si="21"/>
        <v/>
      </c>
      <c r="BC32" s="25"/>
      <c r="BD32" s="44" t="str">
        <f t="shared" si="22"/>
        <v/>
      </c>
      <c r="BE32" s="54"/>
      <c r="BF32" s="22" t="str">
        <f t="shared" si="23"/>
        <v/>
      </c>
      <c r="BG32" s="23"/>
      <c r="BH32" s="44" t="str">
        <f t="shared" si="36"/>
        <v/>
      </c>
      <c r="BI32" s="25"/>
      <c r="BJ32" s="44" t="str">
        <f t="shared" si="37"/>
        <v/>
      </c>
      <c r="BK32" s="46">
        <v>0.0</v>
      </c>
      <c r="BL32" s="33"/>
      <c r="BM32" s="22" t="str">
        <f t="shared" si="24"/>
        <v/>
      </c>
      <c r="BN32" s="23"/>
      <c r="BO32" s="44" t="str">
        <f t="shared" si="25"/>
        <v/>
      </c>
      <c r="BP32" s="25"/>
      <c r="BQ32" s="44" t="str">
        <f t="shared" si="26"/>
        <v/>
      </c>
      <c r="BR32" s="29" t="str">
        <f t="shared" si="27"/>
        <v/>
      </c>
      <c r="BS32" s="29">
        <f t="shared" si="28"/>
        <v>0</v>
      </c>
      <c r="BT32" s="29">
        <f t="shared" si="29"/>
        <v>0</v>
      </c>
      <c r="BU32" s="22" t="str">
        <f t="shared" si="30"/>
        <v/>
      </c>
      <c r="BV32" s="23"/>
      <c r="BW32" s="44" t="str">
        <f t="shared" si="31"/>
        <v/>
      </c>
      <c r="BX32" s="25"/>
      <c r="BY32" s="44" t="str">
        <f t="shared" si="32"/>
        <v/>
      </c>
      <c r="BZ32" s="54"/>
      <c r="CA32" s="22" t="str">
        <f t="shared" si="33"/>
        <v/>
      </c>
      <c r="CB32" s="23"/>
      <c r="CC32" s="44" t="str">
        <f t="shared" si="34"/>
        <v/>
      </c>
      <c r="CD32" s="25"/>
      <c r="CE32" s="44" t="str">
        <f t="shared" si="35"/>
        <v/>
      </c>
      <c r="CF32" s="54"/>
      <c r="CG32" s="22" t="str">
        <f t="shared" si="5"/>
        <v/>
      </c>
      <c r="CH32" s="23"/>
      <c r="CI32" s="44" t="str">
        <f t="shared" si="6"/>
        <v/>
      </c>
      <c r="CJ32" s="25"/>
      <c r="CK32" s="44" t="str">
        <f t="shared" si="7"/>
        <v/>
      </c>
      <c r="CL32" s="46">
        <v>0.0</v>
      </c>
    </row>
    <row r="33" ht="134.25" customHeight="1">
      <c r="A33" s="26">
        <f t="shared" si="1"/>
        <v>31</v>
      </c>
      <c r="B33" s="46" t="s">
        <v>205</v>
      </c>
      <c r="C33" s="27" t="s">
        <v>206</v>
      </c>
      <c r="D33" s="27"/>
      <c r="E33" s="26"/>
      <c r="F33" s="26"/>
      <c r="G33" s="20">
        <v>1.0</v>
      </c>
      <c r="H33" s="20">
        <v>2.0</v>
      </c>
      <c r="I33" s="23" t="s">
        <v>72</v>
      </c>
      <c r="J33" s="33"/>
      <c r="K33" s="22">
        <f t="shared" si="2"/>
        <v>1</v>
      </c>
      <c r="L33" s="23" t="s">
        <v>180</v>
      </c>
      <c r="M33" s="34">
        <v>46303.643491435185</v>
      </c>
      <c r="N33" s="25" t="s">
        <v>69</v>
      </c>
      <c r="O33" s="34">
        <v>46303.68251859954</v>
      </c>
      <c r="P33" s="29">
        <f t="shared" si="8"/>
        <v>56.19911667</v>
      </c>
      <c r="Q33" s="29">
        <f t="shared" si="9"/>
        <v>0</v>
      </c>
      <c r="R33" s="29">
        <f t="shared" si="10"/>
        <v>0.9366519445</v>
      </c>
      <c r="S33" s="22" t="str">
        <f t="shared" si="11"/>
        <v>Done</v>
      </c>
      <c r="T33" s="23" t="s">
        <v>180</v>
      </c>
      <c r="U33" s="34">
        <v>46308.455753726856</v>
      </c>
      <c r="V33" s="25" t="s">
        <v>69</v>
      </c>
      <c r="W33" s="34">
        <v>46308.492050127315</v>
      </c>
      <c r="X33" s="35">
        <v>0.2</v>
      </c>
      <c r="Y33" s="22" t="str">
        <f t="shared" si="12"/>
        <v/>
      </c>
      <c r="Z33" s="23"/>
      <c r="AA33" s="44" t="str">
        <f t="shared" si="40"/>
        <v/>
      </c>
      <c r="AB33" s="25"/>
      <c r="AC33" s="44" t="str">
        <f t="shared" si="41"/>
        <v/>
      </c>
      <c r="AD33" s="54"/>
      <c r="AE33" s="22" t="str">
        <f t="shared" si="13"/>
        <v>Revision</v>
      </c>
      <c r="AF33" s="23" t="s">
        <v>77</v>
      </c>
      <c r="AG33" s="34">
        <v>46308.39844675926</v>
      </c>
      <c r="AH33" s="25" t="s">
        <v>93</v>
      </c>
      <c r="AI33" s="34">
        <v>46308.40005137731</v>
      </c>
      <c r="AJ33" s="46">
        <v>1.0</v>
      </c>
      <c r="AK33" s="33"/>
      <c r="AL33" s="22">
        <v>2.0</v>
      </c>
      <c r="AM33" s="23" t="s">
        <v>180</v>
      </c>
      <c r="AN33" s="34">
        <v>46307.65175016204</v>
      </c>
      <c r="AO33" s="25" t="s">
        <v>69</v>
      </c>
      <c r="AP33" s="34">
        <v>46308.44431199074</v>
      </c>
      <c r="AQ33" s="29">
        <f t="shared" si="14"/>
        <v>1141.289033</v>
      </c>
      <c r="AR33" s="29">
        <f t="shared" si="15"/>
        <v>960</v>
      </c>
      <c r="AS33" s="29">
        <f t="shared" si="16"/>
        <v>3.021483889</v>
      </c>
      <c r="AT33" s="22" t="str">
        <f t="shared" si="17"/>
        <v/>
      </c>
      <c r="AU33" s="23"/>
      <c r="AV33" s="44" t="str">
        <f t="shared" si="18"/>
        <v/>
      </c>
      <c r="AW33" s="25"/>
      <c r="AX33" s="44" t="str">
        <f t="shared" si="19"/>
        <v/>
      </c>
      <c r="AY33" s="54"/>
      <c r="AZ33" s="22" t="str">
        <f t="shared" si="20"/>
        <v/>
      </c>
      <c r="BA33" s="23"/>
      <c r="BB33" s="44" t="str">
        <f t="shared" si="21"/>
        <v/>
      </c>
      <c r="BC33" s="25"/>
      <c r="BD33" s="44" t="str">
        <f t="shared" si="22"/>
        <v/>
      </c>
      <c r="BE33" s="54"/>
      <c r="BF33" s="22" t="str">
        <f t="shared" si="23"/>
        <v/>
      </c>
      <c r="BG33" s="23"/>
      <c r="BH33" s="44" t="str">
        <f t="shared" si="36"/>
        <v/>
      </c>
      <c r="BI33" s="25"/>
      <c r="BJ33" s="44" t="str">
        <f t="shared" si="37"/>
        <v/>
      </c>
      <c r="BK33" s="46">
        <v>0.0</v>
      </c>
      <c r="BL33" s="33"/>
      <c r="BM33" s="22" t="str">
        <f t="shared" si="24"/>
        <v/>
      </c>
      <c r="BN33" s="23"/>
      <c r="BO33" s="44" t="str">
        <f t="shared" si="25"/>
        <v/>
      </c>
      <c r="BP33" s="25"/>
      <c r="BQ33" s="44" t="str">
        <f t="shared" si="26"/>
        <v/>
      </c>
      <c r="BR33" s="29" t="str">
        <f t="shared" si="27"/>
        <v/>
      </c>
      <c r="BS33" s="29">
        <f t="shared" si="28"/>
        <v>0</v>
      </c>
      <c r="BT33" s="29">
        <f t="shared" si="29"/>
        <v>0</v>
      </c>
      <c r="BU33" s="22" t="str">
        <f t="shared" si="30"/>
        <v/>
      </c>
      <c r="BV33" s="23"/>
      <c r="BW33" s="44" t="str">
        <f t="shared" si="31"/>
        <v/>
      </c>
      <c r="BX33" s="25"/>
      <c r="BY33" s="44" t="str">
        <f t="shared" si="32"/>
        <v/>
      </c>
      <c r="BZ33" s="54"/>
      <c r="CA33" s="22" t="str">
        <f t="shared" si="33"/>
        <v/>
      </c>
      <c r="CB33" s="23"/>
      <c r="CC33" s="44" t="str">
        <f t="shared" si="34"/>
        <v/>
      </c>
      <c r="CD33" s="25"/>
      <c r="CE33" s="44" t="str">
        <f t="shared" si="35"/>
        <v/>
      </c>
      <c r="CF33" s="54"/>
      <c r="CG33" s="22" t="str">
        <f t="shared" si="5"/>
        <v/>
      </c>
      <c r="CH33" s="23"/>
      <c r="CI33" s="44" t="str">
        <f t="shared" si="6"/>
        <v/>
      </c>
      <c r="CJ33" s="25"/>
      <c r="CK33" s="44" t="str">
        <f t="shared" si="7"/>
        <v/>
      </c>
      <c r="CL33" s="46">
        <v>0.0</v>
      </c>
    </row>
    <row r="34" ht="120.0" customHeight="1">
      <c r="A34" s="26">
        <f t="shared" si="1"/>
        <v>32</v>
      </c>
      <c r="B34" s="46" t="s">
        <v>205</v>
      </c>
      <c r="C34" s="27" t="s">
        <v>209</v>
      </c>
      <c r="D34" s="27"/>
      <c r="E34" s="26"/>
      <c r="F34" s="26"/>
      <c r="G34" s="20">
        <v>1.0</v>
      </c>
      <c r="H34" s="20">
        <v>2.0</v>
      </c>
      <c r="I34" s="23" t="s">
        <v>72</v>
      </c>
      <c r="J34" s="33"/>
      <c r="K34" s="22">
        <f t="shared" si="2"/>
        <v>1</v>
      </c>
      <c r="L34" s="23" t="s">
        <v>210</v>
      </c>
      <c r="M34" s="34">
        <v>46303.638025</v>
      </c>
      <c r="N34" s="25" t="s">
        <v>69</v>
      </c>
      <c r="O34" s="34">
        <v>46303.67685618055</v>
      </c>
      <c r="P34" s="29">
        <f t="shared" si="8"/>
        <v>55.91689999</v>
      </c>
      <c r="Q34" s="29">
        <f t="shared" si="9"/>
        <v>0</v>
      </c>
      <c r="R34" s="29">
        <f t="shared" si="10"/>
        <v>0.9319483332</v>
      </c>
      <c r="S34" s="22" t="str">
        <f t="shared" si="11"/>
        <v>Done</v>
      </c>
      <c r="T34" s="23" t="s">
        <v>210</v>
      </c>
      <c r="U34" s="44">
        <f t="shared" ref="U34:U128" si="49">if(T34&lt;&gt;"", if(U34="",NOW(),U34),"")</f>
        <v>46311.45743</v>
      </c>
      <c r="V34" s="25" t="s">
        <v>69</v>
      </c>
      <c r="W34" s="44">
        <f t="shared" ref="W34:W128" si="50">if(V34="Done", if(W34="",NOW(),W34),"")</f>
        <v>46311.47858</v>
      </c>
      <c r="X34" s="35">
        <v>0.5</v>
      </c>
      <c r="Y34" s="22" t="str">
        <f t="shared" si="12"/>
        <v/>
      </c>
      <c r="Z34" s="23"/>
      <c r="AA34" s="44" t="str">
        <f t="shared" si="40"/>
        <v/>
      </c>
      <c r="AB34" s="25"/>
      <c r="AC34" s="44" t="str">
        <f t="shared" si="41"/>
        <v/>
      </c>
      <c r="AD34" s="54"/>
      <c r="AE34" s="22" t="str">
        <f t="shared" si="13"/>
        <v>Revision</v>
      </c>
      <c r="AF34" s="23" t="s">
        <v>77</v>
      </c>
      <c r="AG34" s="34">
        <v>46308.40200638889</v>
      </c>
      <c r="AH34" s="25" t="s">
        <v>93</v>
      </c>
      <c r="AI34" s="34">
        <v>46308.409021458334</v>
      </c>
      <c r="AJ34" s="46">
        <v>1.0</v>
      </c>
      <c r="AK34" s="33"/>
      <c r="AL34" s="22">
        <v>2.0</v>
      </c>
      <c r="AM34" s="23"/>
      <c r="AN34" s="44" t="str">
        <f>if(AM34&lt;&gt;"", if(AN34="",NOW(),AN34),"")</f>
        <v/>
      </c>
      <c r="AO34" s="25"/>
      <c r="AP34" s="44" t="str">
        <f>if(AO34="Done", if(AP34="",NOW(),AP34),"")</f>
        <v/>
      </c>
      <c r="AQ34" s="29" t="str">
        <f t="shared" si="14"/>
        <v/>
      </c>
      <c r="AR34" s="29">
        <f t="shared" si="15"/>
        <v>0</v>
      </c>
      <c r="AS34" s="29">
        <f t="shared" si="16"/>
        <v>0</v>
      </c>
      <c r="AT34" s="22" t="str">
        <f t="shared" si="17"/>
        <v/>
      </c>
      <c r="AU34" s="23"/>
      <c r="AV34" s="44" t="str">
        <f t="shared" si="18"/>
        <v/>
      </c>
      <c r="AW34" s="25"/>
      <c r="AX34" s="44" t="str">
        <f t="shared" si="19"/>
        <v/>
      </c>
      <c r="AY34" s="54"/>
      <c r="AZ34" s="22" t="str">
        <f t="shared" si="20"/>
        <v/>
      </c>
      <c r="BA34" s="23"/>
      <c r="BB34" s="44" t="str">
        <f t="shared" si="21"/>
        <v/>
      </c>
      <c r="BC34" s="25"/>
      <c r="BD34" s="44" t="str">
        <f t="shared" si="22"/>
        <v/>
      </c>
      <c r="BE34" s="54"/>
      <c r="BF34" s="22" t="str">
        <f t="shared" si="23"/>
        <v/>
      </c>
      <c r="BG34" s="23"/>
      <c r="BH34" s="44" t="str">
        <f t="shared" si="36"/>
        <v/>
      </c>
      <c r="BI34" s="25"/>
      <c r="BJ34" s="44" t="str">
        <f t="shared" si="37"/>
        <v/>
      </c>
      <c r="BK34" s="46">
        <v>0.0</v>
      </c>
      <c r="BL34" s="33"/>
      <c r="BM34" s="22" t="str">
        <f t="shared" si="24"/>
        <v/>
      </c>
      <c r="BN34" s="23"/>
      <c r="BO34" s="44" t="str">
        <f t="shared" si="25"/>
        <v/>
      </c>
      <c r="BP34" s="25"/>
      <c r="BQ34" s="44" t="str">
        <f t="shared" si="26"/>
        <v/>
      </c>
      <c r="BR34" s="29" t="str">
        <f t="shared" si="27"/>
        <v/>
      </c>
      <c r="BS34" s="29">
        <f t="shared" si="28"/>
        <v>0</v>
      </c>
      <c r="BT34" s="29">
        <f t="shared" si="29"/>
        <v>0</v>
      </c>
      <c r="BU34" s="22" t="str">
        <f t="shared" si="30"/>
        <v/>
      </c>
      <c r="BV34" s="23"/>
      <c r="BW34" s="44" t="str">
        <f t="shared" si="31"/>
        <v/>
      </c>
      <c r="BX34" s="25"/>
      <c r="BY34" s="44" t="str">
        <f t="shared" si="32"/>
        <v/>
      </c>
      <c r="BZ34" s="54"/>
      <c r="CA34" s="22" t="str">
        <f t="shared" si="33"/>
        <v/>
      </c>
      <c r="CB34" s="23"/>
      <c r="CC34" s="44" t="str">
        <f t="shared" si="34"/>
        <v/>
      </c>
      <c r="CD34" s="25"/>
      <c r="CE34" s="44" t="str">
        <f t="shared" si="35"/>
        <v/>
      </c>
      <c r="CF34" s="54"/>
      <c r="CG34" s="22" t="str">
        <f t="shared" si="5"/>
        <v/>
      </c>
      <c r="CH34" s="23"/>
      <c r="CI34" s="44" t="str">
        <f t="shared" si="6"/>
        <v/>
      </c>
      <c r="CJ34" s="25"/>
      <c r="CK34" s="44" t="str">
        <f t="shared" si="7"/>
        <v/>
      </c>
      <c r="CL34" s="46">
        <v>0.0</v>
      </c>
    </row>
    <row r="35" ht="110.25" customHeight="1">
      <c r="A35" s="26">
        <f t="shared" si="1"/>
        <v>33</v>
      </c>
      <c r="B35" s="46" t="s">
        <v>205</v>
      </c>
      <c r="C35" s="27" t="s">
        <v>211</v>
      </c>
      <c r="D35" s="27"/>
      <c r="E35" s="26"/>
      <c r="F35" s="26"/>
      <c r="G35" s="20">
        <v>1.0</v>
      </c>
      <c r="H35" s="20">
        <v>1.0</v>
      </c>
      <c r="I35" s="23" t="s">
        <v>72</v>
      </c>
      <c r="J35" s="33"/>
      <c r="K35" s="22">
        <f t="shared" si="2"/>
        <v>1</v>
      </c>
      <c r="L35" s="23" t="s">
        <v>212</v>
      </c>
      <c r="M35" s="34">
        <v>46309.461589432874</v>
      </c>
      <c r="N35" s="25" t="s">
        <v>69</v>
      </c>
      <c r="O35" s="34">
        <v>46309.55647174768</v>
      </c>
      <c r="P35" s="29">
        <f t="shared" si="8"/>
        <v>136.6305333</v>
      </c>
      <c r="Q35" s="29">
        <f t="shared" si="9"/>
        <v>60</v>
      </c>
      <c r="R35" s="29">
        <f t="shared" si="10"/>
        <v>1.277175555</v>
      </c>
      <c r="S35" s="22" t="str">
        <f t="shared" si="11"/>
        <v/>
      </c>
      <c r="T35" s="23"/>
      <c r="U35" s="44" t="str">
        <f t="shared" si="49"/>
        <v/>
      </c>
      <c r="V35" s="25"/>
      <c r="W35" s="44" t="str">
        <f t="shared" si="50"/>
        <v/>
      </c>
      <c r="X35" s="54"/>
      <c r="Y35" s="22" t="str">
        <f t="shared" si="12"/>
        <v/>
      </c>
      <c r="Z35" s="23"/>
      <c r="AA35" s="44" t="str">
        <f t="shared" si="40"/>
        <v/>
      </c>
      <c r="AB35" s="25"/>
      <c r="AC35" s="44" t="str">
        <f t="shared" si="41"/>
        <v/>
      </c>
      <c r="AD35" s="54"/>
      <c r="AE35" s="22" t="str">
        <f t="shared" si="13"/>
        <v/>
      </c>
      <c r="AF35" s="23"/>
      <c r="AG35" s="44" t="str">
        <f t="shared" ref="AG35:AG104" si="51">if(AF35&lt;&gt;"", if(AG35="",NOW(),AG35),"")</f>
        <v/>
      </c>
      <c r="AH35" s="25"/>
      <c r="AI35" s="44" t="str">
        <f t="shared" ref="AI35:AI104" si="52">if(AH35="Done", if(AI35="",NOW(),AI35),"")</f>
        <v/>
      </c>
      <c r="AJ35" s="46">
        <v>0.0</v>
      </c>
      <c r="AK35" s="33"/>
      <c r="AL35" s="22">
        <v>1.0</v>
      </c>
      <c r="AM35" s="23" t="s">
        <v>212</v>
      </c>
      <c r="AN35" s="34">
        <v>46309.55850038194</v>
      </c>
      <c r="AO35" s="25" t="s">
        <v>69</v>
      </c>
      <c r="AP35" s="34">
        <v>46309.63896359954</v>
      </c>
      <c r="AQ35" s="29">
        <f t="shared" si="14"/>
        <v>115.8670333</v>
      </c>
      <c r="AR35" s="29">
        <f t="shared" si="15"/>
        <v>0</v>
      </c>
      <c r="AS35" s="29">
        <f t="shared" si="16"/>
        <v>1.931117222</v>
      </c>
      <c r="AT35" s="22" t="str">
        <f t="shared" si="17"/>
        <v/>
      </c>
      <c r="AU35" s="23"/>
      <c r="AV35" s="44" t="str">
        <f t="shared" si="18"/>
        <v/>
      </c>
      <c r="AW35" s="25"/>
      <c r="AX35" s="44" t="str">
        <f t="shared" si="19"/>
        <v/>
      </c>
      <c r="AY35" s="54"/>
      <c r="AZ35" s="22" t="str">
        <f t="shared" si="20"/>
        <v/>
      </c>
      <c r="BA35" s="23"/>
      <c r="BB35" s="44" t="str">
        <f t="shared" si="21"/>
        <v/>
      </c>
      <c r="BC35" s="25"/>
      <c r="BD35" s="44" t="str">
        <f t="shared" si="22"/>
        <v/>
      </c>
      <c r="BE35" s="54"/>
      <c r="BF35" s="22" t="str">
        <f t="shared" si="23"/>
        <v/>
      </c>
      <c r="BG35" s="23"/>
      <c r="BH35" s="44" t="str">
        <f t="shared" si="36"/>
        <v/>
      </c>
      <c r="BI35" s="25"/>
      <c r="BJ35" s="44" t="str">
        <f t="shared" si="37"/>
        <v/>
      </c>
      <c r="BK35" s="46">
        <v>0.0</v>
      </c>
      <c r="BL35" s="33"/>
      <c r="BM35" s="22" t="str">
        <f t="shared" si="24"/>
        <v/>
      </c>
      <c r="BN35" s="23"/>
      <c r="BO35" s="44" t="str">
        <f t="shared" si="25"/>
        <v/>
      </c>
      <c r="BP35" s="25"/>
      <c r="BQ35" s="44" t="str">
        <f t="shared" si="26"/>
        <v/>
      </c>
      <c r="BR35" s="29" t="str">
        <f t="shared" si="27"/>
        <v/>
      </c>
      <c r="BS35" s="29">
        <f t="shared" si="28"/>
        <v>0</v>
      </c>
      <c r="BT35" s="29">
        <f t="shared" si="29"/>
        <v>0</v>
      </c>
      <c r="BU35" s="22" t="str">
        <f t="shared" si="30"/>
        <v/>
      </c>
      <c r="BV35" s="23"/>
      <c r="BW35" s="44" t="str">
        <f t="shared" si="31"/>
        <v/>
      </c>
      <c r="BX35" s="25"/>
      <c r="BY35" s="44" t="str">
        <f t="shared" si="32"/>
        <v/>
      </c>
      <c r="BZ35" s="54"/>
      <c r="CA35" s="22" t="str">
        <f t="shared" si="33"/>
        <v/>
      </c>
      <c r="CB35" s="23"/>
      <c r="CC35" s="44" t="str">
        <f t="shared" si="34"/>
        <v/>
      </c>
      <c r="CD35" s="25"/>
      <c r="CE35" s="44" t="str">
        <f t="shared" si="35"/>
        <v/>
      </c>
      <c r="CF35" s="54"/>
      <c r="CG35" s="22" t="str">
        <f t="shared" si="5"/>
        <v/>
      </c>
      <c r="CH35" s="23"/>
      <c r="CI35" s="44" t="str">
        <f t="shared" si="6"/>
        <v/>
      </c>
      <c r="CJ35" s="25"/>
      <c r="CK35" s="44" t="str">
        <f t="shared" si="7"/>
        <v/>
      </c>
      <c r="CL35" s="46">
        <v>0.0</v>
      </c>
    </row>
    <row r="36" ht="106.5" customHeight="1">
      <c r="A36" s="26">
        <f t="shared" si="1"/>
        <v>34</v>
      </c>
      <c r="B36" s="46" t="s">
        <v>205</v>
      </c>
      <c r="C36" s="27" t="s">
        <v>214</v>
      </c>
      <c r="D36" s="27"/>
      <c r="E36" s="26"/>
      <c r="F36" s="26"/>
      <c r="G36" s="20">
        <v>1.0</v>
      </c>
      <c r="H36" s="20">
        <v>1.0</v>
      </c>
      <c r="I36" s="23" t="s">
        <v>72</v>
      </c>
      <c r="J36" s="33"/>
      <c r="K36" s="22">
        <f t="shared" si="2"/>
        <v>1</v>
      </c>
      <c r="L36" s="23" t="s">
        <v>180</v>
      </c>
      <c r="M36" s="34">
        <v>46309.48026471065</v>
      </c>
      <c r="N36" s="25" t="s">
        <v>69</v>
      </c>
      <c r="O36" s="34">
        <v>46309.571772766205</v>
      </c>
      <c r="P36" s="29">
        <f t="shared" si="8"/>
        <v>131.7716</v>
      </c>
      <c r="Q36" s="29">
        <f t="shared" si="9"/>
        <v>60</v>
      </c>
      <c r="R36" s="29">
        <f t="shared" si="10"/>
        <v>1.196193333</v>
      </c>
      <c r="S36" s="22" t="str">
        <f t="shared" si="11"/>
        <v/>
      </c>
      <c r="T36" s="23"/>
      <c r="U36" s="44" t="str">
        <f t="shared" si="49"/>
        <v/>
      </c>
      <c r="V36" s="25"/>
      <c r="W36" s="44" t="str">
        <f t="shared" si="50"/>
        <v/>
      </c>
      <c r="X36" s="54"/>
      <c r="Y36" s="22" t="str">
        <f t="shared" si="12"/>
        <v/>
      </c>
      <c r="Z36" s="23"/>
      <c r="AA36" s="44" t="str">
        <f t="shared" si="40"/>
        <v/>
      </c>
      <c r="AB36" s="25"/>
      <c r="AC36" s="44" t="str">
        <f t="shared" si="41"/>
        <v/>
      </c>
      <c r="AD36" s="54"/>
      <c r="AE36" s="22" t="str">
        <f t="shared" si="13"/>
        <v/>
      </c>
      <c r="AF36" s="23"/>
      <c r="AG36" s="44" t="str">
        <f t="shared" si="51"/>
        <v/>
      </c>
      <c r="AH36" s="25"/>
      <c r="AI36" s="44" t="str">
        <f t="shared" si="52"/>
        <v/>
      </c>
      <c r="AJ36" s="46">
        <v>0.0</v>
      </c>
      <c r="AK36" s="33"/>
      <c r="AL36" s="22">
        <v>1.0</v>
      </c>
      <c r="AM36" s="23" t="s">
        <v>180</v>
      </c>
      <c r="AN36" s="34">
        <v>46309.588051875</v>
      </c>
      <c r="AO36" s="25" t="s">
        <v>69</v>
      </c>
      <c r="AP36" s="34">
        <v>46309.62517349537</v>
      </c>
      <c r="AQ36" s="29">
        <f t="shared" si="14"/>
        <v>53.45513333</v>
      </c>
      <c r="AR36" s="29">
        <f t="shared" si="15"/>
        <v>0</v>
      </c>
      <c r="AS36" s="29">
        <f t="shared" si="16"/>
        <v>0.8909188889</v>
      </c>
      <c r="AT36" s="22" t="str">
        <f t="shared" si="17"/>
        <v/>
      </c>
      <c r="AU36" s="23"/>
      <c r="AV36" s="44" t="str">
        <f t="shared" si="18"/>
        <v/>
      </c>
      <c r="AW36" s="25"/>
      <c r="AX36" s="44" t="str">
        <f t="shared" si="19"/>
        <v/>
      </c>
      <c r="AY36" s="54"/>
      <c r="AZ36" s="22" t="str">
        <f t="shared" si="20"/>
        <v/>
      </c>
      <c r="BA36" s="23"/>
      <c r="BB36" s="44" t="str">
        <f t="shared" si="21"/>
        <v/>
      </c>
      <c r="BC36" s="25"/>
      <c r="BD36" s="44" t="str">
        <f t="shared" si="22"/>
        <v/>
      </c>
      <c r="BE36" s="54"/>
      <c r="BF36" s="22" t="str">
        <f t="shared" si="23"/>
        <v/>
      </c>
      <c r="BG36" s="23"/>
      <c r="BH36" s="44" t="str">
        <f t="shared" si="36"/>
        <v/>
      </c>
      <c r="BI36" s="25"/>
      <c r="BJ36" s="44" t="str">
        <f t="shared" si="37"/>
        <v/>
      </c>
      <c r="BK36" s="46">
        <v>0.0</v>
      </c>
      <c r="BL36" s="33"/>
      <c r="BM36" s="22" t="str">
        <f t="shared" si="24"/>
        <v/>
      </c>
      <c r="BN36" s="23"/>
      <c r="BO36" s="44" t="str">
        <f t="shared" si="25"/>
        <v/>
      </c>
      <c r="BP36" s="25"/>
      <c r="BQ36" s="44" t="str">
        <f t="shared" si="26"/>
        <v/>
      </c>
      <c r="BR36" s="29" t="str">
        <f t="shared" si="27"/>
        <v/>
      </c>
      <c r="BS36" s="29">
        <f t="shared" si="28"/>
        <v>0</v>
      </c>
      <c r="BT36" s="29">
        <f t="shared" si="29"/>
        <v>0</v>
      </c>
      <c r="BU36" s="22" t="str">
        <f t="shared" si="30"/>
        <v/>
      </c>
      <c r="BV36" s="23"/>
      <c r="BW36" s="44" t="str">
        <f t="shared" si="31"/>
        <v/>
      </c>
      <c r="BX36" s="25"/>
      <c r="BY36" s="44" t="str">
        <f t="shared" si="32"/>
        <v/>
      </c>
      <c r="BZ36" s="54"/>
      <c r="CA36" s="22" t="str">
        <f t="shared" si="33"/>
        <v/>
      </c>
      <c r="CB36" s="23"/>
      <c r="CC36" s="44" t="str">
        <f t="shared" si="34"/>
        <v/>
      </c>
      <c r="CD36" s="25"/>
      <c r="CE36" s="44" t="str">
        <f t="shared" si="35"/>
        <v/>
      </c>
      <c r="CF36" s="54"/>
      <c r="CG36" s="22" t="str">
        <f t="shared" si="5"/>
        <v/>
      </c>
      <c r="CH36" s="23"/>
      <c r="CI36" s="44" t="str">
        <f t="shared" si="6"/>
        <v/>
      </c>
      <c r="CJ36" s="25"/>
      <c r="CK36" s="44" t="str">
        <f t="shared" si="7"/>
        <v/>
      </c>
      <c r="CL36" s="46">
        <v>0.0</v>
      </c>
    </row>
    <row r="37" ht="111.0" customHeight="1">
      <c r="A37" s="26">
        <f t="shared" si="1"/>
        <v>35</v>
      </c>
      <c r="B37" s="46" t="s">
        <v>205</v>
      </c>
      <c r="C37" s="57" t="s">
        <v>216</v>
      </c>
      <c r="D37" s="27"/>
      <c r="E37" s="26"/>
      <c r="F37" s="26"/>
      <c r="G37" s="20">
        <v>3.0</v>
      </c>
      <c r="H37" s="20">
        <v>2.0</v>
      </c>
      <c r="I37" s="23" t="s">
        <v>72</v>
      </c>
      <c r="J37" s="33"/>
      <c r="K37" s="22">
        <f t="shared" si="2"/>
        <v>3</v>
      </c>
      <c r="L37" s="23"/>
      <c r="M37" s="44" t="str">
        <f>if(L37&lt;&gt;"", if(M37="",NOW(),M37),"")</f>
        <v/>
      </c>
      <c r="N37" s="25"/>
      <c r="O37" s="44" t="str">
        <f>if(N37="Done", if(O37="",NOW(),O37),"")</f>
        <v/>
      </c>
      <c r="P37" s="29" t="str">
        <f t="shared" si="8"/>
        <v/>
      </c>
      <c r="Q37" s="29">
        <f t="shared" si="9"/>
        <v>0</v>
      </c>
      <c r="R37" s="29">
        <f t="shared" si="10"/>
        <v>0</v>
      </c>
      <c r="S37" s="22" t="str">
        <f t="shared" si="11"/>
        <v/>
      </c>
      <c r="T37" s="23"/>
      <c r="U37" s="44" t="str">
        <f t="shared" si="49"/>
        <v/>
      </c>
      <c r="V37" s="25"/>
      <c r="W37" s="44" t="str">
        <f t="shared" si="50"/>
        <v/>
      </c>
      <c r="X37" s="54"/>
      <c r="Y37" s="22" t="str">
        <f t="shared" si="12"/>
        <v/>
      </c>
      <c r="Z37" s="23"/>
      <c r="AA37" s="44" t="str">
        <f t="shared" si="40"/>
        <v/>
      </c>
      <c r="AB37" s="25"/>
      <c r="AC37" s="44" t="str">
        <f t="shared" si="41"/>
        <v/>
      </c>
      <c r="AD37" s="54"/>
      <c r="AE37" s="22" t="str">
        <f t="shared" si="13"/>
        <v/>
      </c>
      <c r="AF37" s="23"/>
      <c r="AG37" s="44" t="str">
        <f t="shared" si="51"/>
        <v/>
      </c>
      <c r="AH37" s="25"/>
      <c r="AI37" s="44" t="str">
        <f t="shared" si="52"/>
        <v/>
      </c>
      <c r="AJ37" s="46">
        <v>0.0</v>
      </c>
      <c r="AK37" s="33"/>
      <c r="AL37" s="22">
        <v>2.0</v>
      </c>
      <c r="AM37" s="23"/>
      <c r="AN37" s="44" t="str">
        <f>if(AM37&lt;&gt;"", if(AN37="",NOW(),AN37),"")</f>
        <v/>
      </c>
      <c r="AO37" s="25"/>
      <c r="AP37" s="44" t="str">
        <f>if(AO37="Done", if(AP37="",NOW(),AP37),"")</f>
        <v/>
      </c>
      <c r="AQ37" s="29" t="str">
        <f t="shared" si="14"/>
        <v/>
      </c>
      <c r="AR37" s="29">
        <f t="shared" si="15"/>
        <v>0</v>
      </c>
      <c r="AS37" s="29">
        <f t="shared" si="16"/>
        <v>0</v>
      </c>
      <c r="AT37" s="22" t="str">
        <f t="shared" si="17"/>
        <v/>
      </c>
      <c r="AU37" s="23"/>
      <c r="AV37" s="44" t="str">
        <f t="shared" si="18"/>
        <v/>
      </c>
      <c r="AW37" s="25"/>
      <c r="AX37" s="44" t="str">
        <f t="shared" si="19"/>
        <v/>
      </c>
      <c r="AY37" s="54"/>
      <c r="AZ37" s="22" t="str">
        <f t="shared" si="20"/>
        <v/>
      </c>
      <c r="BA37" s="23"/>
      <c r="BB37" s="44" t="str">
        <f t="shared" si="21"/>
        <v/>
      </c>
      <c r="BC37" s="25"/>
      <c r="BD37" s="44" t="str">
        <f t="shared" si="22"/>
        <v/>
      </c>
      <c r="BE37" s="54"/>
      <c r="BF37" s="22" t="str">
        <f t="shared" si="23"/>
        <v/>
      </c>
      <c r="BG37" s="23"/>
      <c r="BH37" s="44" t="str">
        <f t="shared" si="36"/>
        <v/>
      </c>
      <c r="BI37" s="25"/>
      <c r="BJ37" s="44" t="str">
        <f t="shared" si="37"/>
        <v/>
      </c>
      <c r="BK37" s="46">
        <v>0.0</v>
      </c>
      <c r="BL37" s="33"/>
      <c r="BM37" s="22" t="str">
        <f t="shared" si="24"/>
        <v/>
      </c>
      <c r="BN37" s="23"/>
      <c r="BO37" s="44" t="str">
        <f t="shared" si="25"/>
        <v/>
      </c>
      <c r="BP37" s="25"/>
      <c r="BQ37" s="44" t="str">
        <f t="shared" si="26"/>
        <v/>
      </c>
      <c r="BR37" s="29" t="str">
        <f t="shared" si="27"/>
        <v/>
      </c>
      <c r="BS37" s="29">
        <f t="shared" si="28"/>
        <v>0</v>
      </c>
      <c r="BT37" s="29">
        <f t="shared" si="29"/>
        <v>0</v>
      </c>
      <c r="BU37" s="22" t="str">
        <f t="shared" si="30"/>
        <v/>
      </c>
      <c r="BV37" s="23"/>
      <c r="BW37" s="44" t="str">
        <f t="shared" si="31"/>
        <v/>
      </c>
      <c r="BX37" s="25"/>
      <c r="BY37" s="44" t="str">
        <f t="shared" si="32"/>
        <v/>
      </c>
      <c r="BZ37" s="54"/>
      <c r="CA37" s="22" t="str">
        <f t="shared" si="33"/>
        <v/>
      </c>
      <c r="CB37" s="23"/>
      <c r="CC37" s="44" t="str">
        <f t="shared" si="34"/>
        <v/>
      </c>
      <c r="CD37" s="25"/>
      <c r="CE37" s="44" t="str">
        <f t="shared" si="35"/>
        <v/>
      </c>
      <c r="CF37" s="54"/>
      <c r="CG37" s="22" t="str">
        <f t="shared" si="5"/>
        <v/>
      </c>
      <c r="CH37" s="23"/>
      <c r="CI37" s="44" t="str">
        <f t="shared" si="6"/>
        <v/>
      </c>
      <c r="CJ37" s="25"/>
      <c r="CK37" s="44" t="str">
        <f t="shared" si="7"/>
        <v/>
      </c>
      <c r="CL37" s="46">
        <v>0.0</v>
      </c>
    </row>
    <row r="38" ht="132.75" customHeight="1">
      <c r="A38" s="26">
        <f t="shared" si="1"/>
        <v>36</v>
      </c>
      <c r="B38" s="46" t="s">
        <v>205</v>
      </c>
      <c r="C38" s="57" t="s">
        <v>218</v>
      </c>
      <c r="D38" s="27"/>
      <c r="E38" s="26"/>
      <c r="F38" s="26"/>
      <c r="G38" s="20">
        <v>1.0</v>
      </c>
      <c r="H38" s="20">
        <v>1.0</v>
      </c>
      <c r="I38" s="23" t="s">
        <v>72</v>
      </c>
      <c r="J38" s="33"/>
      <c r="K38" s="22">
        <f t="shared" si="2"/>
        <v>1</v>
      </c>
      <c r="L38" s="23" t="s">
        <v>212</v>
      </c>
      <c r="M38" s="34">
        <v>46303.64470635417</v>
      </c>
      <c r="N38" s="25" t="s">
        <v>69</v>
      </c>
      <c r="O38" s="34">
        <v>46303.679470682866</v>
      </c>
      <c r="P38" s="29">
        <f t="shared" si="8"/>
        <v>50.06063332</v>
      </c>
      <c r="Q38" s="29">
        <f t="shared" si="9"/>
        <v>0</v>
      </c>
      <c r="R38" s="29">
        <f t="shared" si="10"/>
        <v>0.8343438887</v>
      </c>
      <c r="S38" s="22" t="str">
        <f t="shared" si="11"/>
        <v/>
      </c>
      <c r="T38" s="23"/>
      <c r="U38" s="44" t="str">
        <f t="shared" si="49"/>
        <v/>
      </c>
      <c r="V38" s="25"/>
      <c r="W38" s="44" t="str">
        <f t="shared" si="50"/>
        <v/>
      </c>
      <c r="X38" s="54"/>
      <c r="Y38" s="22" t="str">
        <f t="shared" si="12"/>
        <v/>
      </c>
      <c r="Z38" s="23"/>
      <c r="AA38" s="44" t="str">
        <f t="shared" si="40"/>
        <v/>
      </c>
      <c r="AB38" s="25"/>
      <c r="AC38" s="44" t="str">
        <f t="shared" si="41"/>
        <v/>
      </c>
      <c r="AD38" s="54"/>
      <c r="AE38" s="22" t="str">
        <f t="shared" si="13"/>
        <v/>
      </c>
      <c r="AF38" s="23"/>
      <c r="AG38" s="44" t="str">
        <f t="shared" si="51"/>
        <v/>
      </c>
      <c r="AH38" s="25"/>
      <c r="AI38" s="44" t="str">
        <f t="shared" si="52"/>
        <v/>
      </c>
      <c r="AJ38" s="46">
        <v>0.0</v>
      </c>
      <c r="AK38" s="33"/>
      <c r="AL38" s="22">
        <v>1.0</v>
      </c>
      <c r="AM38" s="23" t="s">
        <v>212</v>
      </c>
      <c r="AN38" s="34">
        <v>46303.68464612268</v>
      </c>
      <c r="AO38" s="25" t="s">
        <v>69</v>
      </c>
      <c r="AP38" s="34">
        <v>46304.42871263889</v>
      </c>
      <c r="AQ38" s="29">
        <f t="shared" si="14"/>
        <v>1071.455783</v>
      </c>
      <c r="AR38" s="29">
        <f t="shared" si="15"/>
        <v>960</v>
      </c>
      <c r="AS38" s="29">
        <f t="shared" si="16"/>
        <v>1.857596389</v>
      </c>
      <c r="AT38" s="22" t="str">
        <f t="shared" si="17"/>
        <v/>
      </c>
      <c r="AU38" s="23"/>
      <c r="AV38" s="44" t="str">
        <f t="shared" si="18"/>
        <v/>
      </c>
      <c r="AW38" s="25"/>
      <c r="AX38" s="44" t="str">
        <f t="shared" si="19"/>
        <v/>
      </c>
      <c r="AY38" s="54"/>
      <c r="AZ38" s="22" t="str">
        <f t="shared" si="20"/>
        <v/>
      </c>
      <c r="BA38" s="23"/>
      <c r="BB38" s="44" t="str">
        <f t="shared" si="21"/>
        <v/>
      </c>
      <c r="BC38" s="25"/>
      <c r="BD38" s="44" t="str">
        <f t="shared" si="22"/>
        <v/>
      </c>
      <c r="BE38" s="54"/>
      <c r="BF38" s="22" t="str">
        <f t="shared" si="23"/>
        <v>Done</v>
      </c>
      <c r="BG38" s="23" t="s">
        <v>77</v>
      </c>
      <c r="BH38" s="34">
        <v>46308.41441197917</v>
      </c>
      <c r="BI38" s="25" t="s">
        <v>69</v>
      </c>
      <c r="BJ38" s="34">
        <v>46308.414464664354</v>
      </c>
      <c r="BK38" s="46">
        <v>1.0</v>
      </c>
      <c r="BL38" s="33"/>
      <c r="BM38" s="22" t="str">
        <f t="shared" si="24"/>
        <v>Done</v>
      </c>
      <c r="BN38" s="23"/>
      <c r="BO38" s="44" t="str">
        <f t="shared" si="25"/>
        <v/>
      </c>
      <c r="BP38" s="25"/>
      <c r="BQ38" s="44" t="str">
        <f t="shared" si="26"/>
        <v/>
      </c>
      <c r="BR38" s="29" t="str">
        <f t="shared" si="27"/>
        <v/>
      </c>
      <c r="BS38" s="29">
        <f t="shared" si="28"/>
        <v>0</v>
      </c>
      <c r="BT38" s="29">
        <f t="shared" si="29"/>
        <v>0</v>
      </c>
      <c r="BU38" s="22" t="str">
        <f t="shared" si="30"/>
        <v/>
      </c>
      <c r="BV38" s="23"/>
      <c r="BW38" s="44" t="str">
        <f t="shared" si="31"/>
        <v/>
      </c>
      <c r="BX38" s="25"/>
      <c r="BY38" s="44" t="str">
        <f t="shared" si="32"/>
        <v/>
      </c>
      <c r="BZ38" s="54"/>
      <c r="CA38" s="22" t="str">
        <f t="shared" si="33"/>
        <v/>
      </c>
      <c r="CB38" s="23"/>
      <c r="CC38" s="44" t="str">
        <f t="shared" si="34"/>
        <v/>
      </c>
      <c r="CD38" s="25"/>
      <c r="CE38" s="44" t="str">
        <f t="shared" si="35"/>
        <v/>
      </c>
      <c r="CF38" s="54"/>
      <c r="CG38" s="22" t="str">
        <f t="shared" si="5"/>
        <v/>
      </c>
      <c r="CH38" s="23"/>
      <c r="CI38" s="44" t="str">
        <f t="shared" si="6"/>
        <v/>
      </c>
      <c r="CJ38" s="25"/>
      <c r="CK38" s="44" t="str">
        <f t="shared" si="7"/>
        <v/>
      </c>
      <c r="CL38" s="46">
        <v>0.0</v>
      </c>
    </row>
    <row r="39" ht="171.0" customHeight="1">
      <c r="A39" s="26">
        <f t="shared" si="1"/>
        <v>37</v>
      </c>
      <c r="B39" s="46" t="s">
        <v>222</v>
      </c>
      <c r="C39" s="57" t="s">
        <v>223</v>
      </c>
      <c r="D39" s="27"/>
      <c r="E39" s="26"/>
      <c r="F39" s="26"/>
      <c r="G39" s="20">
        <v>1.0</v>
      </c>
      <c r="H39" s="20">
        <v>2.0</v>
      </c>
      <c r="I39" s="23" t="s">
        <v>72</v>
      </c>
      <c r="J39" s="33"/>
      <c r="K39" s="22">
        <f t="shared" si="2"/>
        <v>1</v>
      </c>
      <c r="L39" s="23" t="s">
        <v>224</v>
      </c>
      <c r="M39" s="34">
        <v>46309.56516327546</v>
      </c>
      <c r="N39" s="25" t="s">
        <v>69</v>
      </c>
      <c r="O39" s="34">
        <v>46309.59207762731</v>
      </c>
      <c r="P39" s="29">
        <f t="shared" si="8"/>
        <v>38.75666667</v>
      </c>
      <c r="Q39" s="29">
        <f t="shared" si="9"/>
        <v>0</v>
      </c>
      <c r="R39" s="29">
        <f t="shared" si="10"/>
        <v>0.6459444445</v>
      </c>
      <c r="S39" s="22" t="str">
        <f t="shared" si="11"/>
        <v/>
      </c>
      <c r="T39" s="23"/>
      <c r="U39" s="44" t="str">
        <f t="shared" si="49"/>
        <v/>
      </c>
      <c r="V39" s="25"/>
      <c r="W39" s="44" t="str">
        <f t="shared" si="50"/>
        <v/>
      </c>
      <c r="X39" s="54"/>
      <c r="Y39" s="22" t="str">
        <f t="shared" si="12"/>
        <v/>
      </c>
      <c r="Z39" s="23"/>
      <c r="AA39" s="44" t="str">
        <f t="shared" si="40"/>
        <v/>
      </c>
      <c r="AB39" s="25"/>
      <c r="AC39" s="44" t="str">
        <f t="shared" si="41"/>
        <v/>
      </c>
      <c r="AD39" s="54"/>
      <c r="AE39" s="22" t="str">
        <f t="shared" si="13"/>
        <v/>
      </c>
      <c r="AF39" s="23"/>
      <c r="AG39" s="44" t="str">
        <f t="shared" si="51"/>
        <v/>
      </c>
      <c r="AH39" s="25"/>
      <c r="AI39" s="44" t="str">
        <f t="shared" si="52"/>
        <v/>
      </c>
      <c r="AJ39" s="46">
        <v>0.0</v>
      </c>
      <c r="AK39" s="33"/>
      <c r="AL39" s="22">
        <v>2.0</v>
      </c>
      <c r="AM39" s="23" t="s">
        <v>224</v>
      </c>
      <c r="AN39" s="34">
        <v>46309.59495584491</v>
      </c>
      <c r="AO39" s="25" t="s">
        <v>69</v>
      </c>
      <c r="AP39" s="34">
        <v>46309.66372848379</v>
      </c>
      <c r="AQ39" s="29">
        <f t="shared" si="14"/>
        <v>99.0326</v>
      </c>
      <c r="AR39" s="29">
        <f t="shared" si="15"/>
        <v>0</v>
      </c>
      <c r="AS39" s="29">
        <f t="shared" si="16"/>
        <v>1.650543333</v>
      </c>
      <c r="AT39" s="22" t="str">
        <f t="shared" si="17"/>
        <v/>
      </c>
      <c r="AU39" s="23"/>
      <c r="AV39" s="44" t="str">
        <f t="shared" si="18"/>
        <v/>
      </c>
      <c r="AW39" s="25"/>
      <c r="AX39" s="44" t="str">
        <f t="shared" si="19"/>
        <v/>
      </c>
      <c r="AY39" s="54"/>
      <c r="AZ39" s="22" t="str">
        <f t="shared" si="20"/>
        <v/>
      </c>
      <c r="BA39" s="23"/>
      <c r="BB39" s="44" t="str">
        <f t="shared" si="21"/>
        <v/>
      </c>
      <c r="BC39" s="25"/>
      <c r="BD39" s="44" t="str">
        <f t="shared" si="22"/>
        <v/>
      </c>
      <c r="BE39" s="54"/>
      <c r="BF39" s="22" t="str">
        <f t="shared" si="23"/>
        <v/>
      </c>
      <c r="BG39" s="23"/>
      <c r="BH39" s="44" t="str">
        <f>if(BG39&lt;&gt;"", if(BH39="",NOW(),BH39),"")</f>
        <v/>
      </c>
      <c r="BI39" s="25"/>
      <c r="BJ39" s="44" t="str">
        <f>if(BI39="Done", if(BJ39="",NOW(),BJ39),"")</f>
        <v/>
      </c>
      <c r="BK39" s="46">
        <v>0.0</v>
      </c>
      <c r="BL39" s="33"/>
      <c r="BM39" s="22" t="str">
        <f t="shared" si="24"/>
        <v/>
      </c>
      <c r="BN39" s="23"/>
      <c r="BO39" s="44" t="str">
        <f t="shared" si="25"/>
        <v/>
      </c>
      <c r="BP39" s="25"/>
      <c r="BQ39" s="44" t="str">
        <f t="shared" si="26"/>
        <v/>
      </c>
      <c r="BR39" s="29" t="str">
        <f t="shared" si="27"/>
        <v/>
      </c>
      <c r="BS39" s="29">
        <f t="shared" si="28"/>
        <v>0</v>
      </c>
      <c r="BT39" s="29">
        <f t="shared" si="29"/>
        <v>0</v>
      </c>
      <c r="BU39" s="22" t="str">
        <f t="shared" si="30"/>
        <v/>
      </c>
      <c r="BV39" s="23"/>
      <c r="BW39" s="44" t="str">
        <f t="shared" si="31"/>
        <v/>
      </c>
      <c r="BX39" s="25"/>
      <c r="BY39" s="44" t="str">
        <f t="shared" si="32"/>
        <v/>
      </c>
      <c r="BZ39" s="54"/>
      <c r="CA39" s="22" t="str">
        <f t="shared" si="33"/>
        <v/>
      </c>
      <c r="CB39" s="23"/>
      <c r="CC39" s="44" t="str">
        <f t="shared" si="34"/>
        <v/>
      </c>
      <c r="CD39" s="25"/>
      <c r="CE39" s="44" t="str">
        <f t="shared" si="35"/>
        <v/>
      </c>
      <c r="CF39" s="54"/>
      <c r="CG39" s="22" t="str">
        <f t="shared" si="5"/>
        <v/>
      </c>
      <c r="CH39" s="23"/>
      <c r="CI39" s="44" t="str">
        <f t="shared" si="6"/>
        <v/>
      </c>
      <c r="CJ39" s="25"/>
      <c r="CK39" s="44" t="str">
        <f t="shared" si="7"/>
        <v/>
      </c>
      <c r="CL39" s="46">
        <v>0.0</v>
      </c>
    </row>
    <row r="40" ht="168.0" customHeight="1">
      <c r="A40" s="26">
        <f t="shared" si="1"/>
        <v>38</v>
      </c>
      <c r="B40" s="46" t="s">
        <v>222</v>
      </c>
      <c r="C40" s="57" t="s">
        <v>226</v>
      </c>
      <c r="D40" s="27"/>
      <c r="E40" s="26"/>
      <c r="F40" s="26"/>
      <c r="G40" s="20">
        <v>1.0</v>
      </c>
      <c r="H40" s="20">
        <v>2.0</v>
      </c>
      <c r="I40" s="23" t="s">
        <v>72</v>
      </c>
      <c r="J40" s="33"/>
      <c r="K40" s="22">
        <f t="shared" si="2"/>
        <v>1</v>
      </c>
      <c r="L40" s="23" t="s">
        <v>180</v>
      </c>
      <c r="M40" s="34">
        <v>46303.68677288195</v>
      </c>
      <c r="N40" s="25" t="s">
        <v>69</v>
      </c>
      <c r="O40" s="34">
        <v>46307.45123702547</v>
      </c>
      <c r="P40" s="29">
        <f t="shared" si="8"/>
        <v>5420.828367</v>
      </c>
      <c r="Q40" s="29">
        <f t="shared" si="9"/>
        <v>3840</v>
      </c>
      <c r="R40" s="29">
        <f t="shared" si="10"/>
        <v>26.34713944</v>
      </c>
      <c r="S40" s="22" t="str">
        <f t="shared" si="11"/>
        <v/>
      </c>
      <c r="T40" s="23"/>
      <c r="U40" s="44" t="str">
        <f t="shared" si="49"/>
        <v/>
      </c>
      <c r="V40" s="25"/>
      <c r="W40" s="44" t="str">
        <f t="shared" si="50"/>
        <v/>
      </c>
      <c r="X40" s="54"/>
      <c r="Y40" s="22" t="str">
        <f t="shared" si="12"/>
        <v/>
      </c>
      <c r="Z40" s="23"/>
      <c r="AA40" s="44" t="str">
        <f t="shared" si="40"/>
        <v/>
      </c>
      <c r="AB40" s="25"/>
      <c r="AC40" s="44" t="str">
        <f t="shared" si="41"/>
        <v/>
      </c>
      <c r="AD40" s="54"/>
      <c r="AE40" s="22" t="str">
        <f t="shared" si="13"/>
        <v/>
      </c>
      <c r="AF40" s="23"/>
      <c r="AG40" s="44" t="str">
        <f t="shared" si="51"/>
        <v/>
      </c>
      <c r="AH40" s="25"/>
      <c r="AI40" s="44" t="str">
        <f t="shared" si="52"/>
        <v/>
      </c>
      <c r="AJ40" s="46">
        <v>0.0</v>
      </c>
      <c r="AK40" s="33"/>
      <c r="AL40" s="22">
        <v>2.0</v>
      </c>
      <c r="AM40" s="23" t="s">
        <v>180</v>
      </c>
      <c r="AN40" s="34">
        <v>46307.453807858794</v>
      </c>
      <c r="AO40" s="25" t="s">
        <v>69</v>
      </c>
      <c r="AP40" s="34">
        <v>46307.6174383912</v>
      </c>
      <c r="AQ40" s="29">
        <f t="shared" si="14"/>
        <v>235.6279667</v>
      </c>
      <c r="AR40" s="29">
        <f t="shared" si="15"/>
        <v>60</v>
      </c>
      <c r="AS40" s="29">
        <f t="shared" si="16"/>
        <v>2.927132778</v>
      </c>
      <c r="AT40" s="22" t="str">
        <f t="shared" si="17"/>
        <v/>
      </c>
      <c r="AU40" s="23"/>
      <c r="AV40" s="44" t="str">
        <f t="shared" si="18"/>
        <v/>
      </c>
      <c r="AW40" s="25"/>
      <c r="AX40" s="44" t="str">
        <f t="shared" si="19"/>
        <v/>
      </c>
      <c r="AY40" s="54"/>
      <c r="AZ40" s="22" t="str">
        <f t="shared" si="20"/>
        <v/>
      </c>
      <c r="BA40" s="23"/>
      <c r="BB40" s="44" t="str">
        <f t="shared" si="21"/>
        <v/>
      </c>
      <c r="BC40" s="25"/>
      <c r="BD40" s="44" t="str">
        <f t="shared" si="22"/>
        <v/>
      </c>
      <c r="BE40" s="54"/>
      <c r="BF40" s="22" t="str">
        <f t="shared" si="23"/>
        <v>Done</v>
      </c>
      <c r="BG40" s="23" t="s">
        <v>77</v>
      </c>
      <c r="BH40" s="34">
        <v>46308.42079335648</v>
      </c>
      <c r="BI40" s="25" t="s">
        <v>69</v>
      </c>
      <c r="BJ40" s="34">
        <v>46308.422073368056</v>
      </c>
      <c r="BK40" s="46">
        <v>1.0</v>
      </c>
      <c r="BL40" s="33"/>
      <c r="BM40" s="22" t="str">
        <f t="shared" si="24"/>
        <v>Done</v>
      </c>
      <c r="BN40" s="23"/>
      <c r="BO40" s="44" t="str">
        <f t="shared" si="25"/>
        <v/>
      </c>
      <c r="BP40" s="25"/>
      <c r="BQ40" s="44" t="str">
        <f t="shared" si="26"/>
        <v/>
      </c>
      <c r="BR40" s="29" t="str">
        <f t="shared" si="27"/>
        <v/>
      </c>
      <c r="BS40" s="29">
        <f t="shared" si="28"/>
        <v>0</v>
      </c>
      <c r="BT40" s="29">
        <f t="shared" si="29"/>
        <v>0</v>
      </c>
      <c r="BU40" s="22" t="str">
        <f t="shared" si="30"/>
        <v/>
      </c>
      <c r="BV40" s="23"/>
      <c r="BW40" s="44" t="str">
        <f t="shared" si="31"/>
        <v/>
      </c>
      <c r="BX40" s="25"/>
      <c r="BY40" s="44" t="str">
        <f t="shared" si="32"/>
        <v/>
      </c>
      <c r="BZ40" s="54"/>
      <c r="CA40" s="22" t="str">
        <f t="shared" si="33"/>
        <v/>
      </c>
      <c r="CB40" s="23"/>
      <c r="CC40" s="44" t="str">
        <f t="shared" si="34"/>
        <v/>
      </c>
      <c r="CD40" s="25"/>
      <c r="CE40" s="44" t="str">
        <f t="shared" si="35"/>
        <v/>
      </c>
      <c r="CF40" s="54"/>
      <c r="CG40" s="22" t="str">
        <f t="shared" si="5"/>
        <v/>
      </c>
      <c r="CH40" s="23"/>
      <c r="CI40" s="44" t="str">
        <f t="shared" si="6"/>
        <v/>
      </c>
      <c r="CJ40" s="25"/>
      <c r="CK40" s="44" t="str">
        <f t="shared" si="7"/>
        <v/>
      </c>
      <c r="CL40" s="46">
        <v>0.0</v>
      </c>
    </row>
    <row r="41" ht="124.5" customHeight="1">
      <c r="A41" s="26">
        <f t="shared" si="1"/>
        <v>39</v>
      </c>
      <c r="B41" s="46" t="s">
        <v>222</v>
      </c>
      <c r="C41" s="57" t="s">
        <v>230</v>
      </c>
      <c r="D41" s="27"/>
      <c r="E41" s="26"/>
      <c r="F41" s="26"/>
      <c r="G41" s="20">
        <v>1.0</v>
      </c>
      <c r="H41" s="20">
        <v>2.0</v>
      </c>
      <c r="I41" s="23" t="s">
        <v>72</v>
      </c>
      <c r="J41" s="33"/>
      <c r="K41" s="22">
        <f t="shared" si="2"/>
        <v>1</v>
      </c>
      <c r="L41" s="23" t="s">
        <v>186</v>
      </c>
      <c r="M41" s="34">
        <v>46304.405210173616</v>
      </c>
      <c r="N41" s="25" t="s">
        <v>69</v>
      </c>
      <c r="O41" s="34">
        <v>46304.424783124996</v>
      </c>
      <c r="P41" s="29">
        <f t="shared" si="8"/>
        <v>28.18504999</v>
      </c>
      <c r="Q41" s="29">
        <f t="shared" si="9"/>
        <v>0</v>
      </c>
      <c r="R41" s="29">
        <f t="shared" si="10"/>
        <v>0.4697508331</v>
      </c>
      <c r="S41" s="22" t="str">
        <f t="shared" si="11"/>
        <v/>
      </c>
      <c r="T41" s="23"/>
      <c r="U41" s="44" t="str">
        <f t="shared" si="49"/>
        <v/>
      </c>
      <c r="V41" s="25"/>
      <c r="W41" s="44" t="str">
        <f t="shared" si="50"/>
        <v/>
      </c>
      <c r="X41" s="54"/>
      <c r="Y41" s="22" t="str">
        <f t="shared" si="12"/>
        <v/>
      </c>
      <c r="Z41" s="23"/>
      <c r="AA41" s="44" t="str">
        <f t="shared" si="40"/>
        <v/>
      </c>
      <c r="AB41" s="25"/>
      <c r="AC41" s="44" t="str">
        <f t="shared" si="41"/>
        <v/>
      </c>
      <c r="AD41" s="54"/>
      <c r="AE41" s="22" t="str">
        <f t="shared" si="13"/>
        <v/>
      </c>
      <c r="AF41" s="23"/>
      <c r="AG41" s="44" t="str">
        <f t="shared" si="51"/>
        <v/>
      </c>
      <c r="AH41" s="25"/>
      <c r="AI41" s="44" t="str">
        <f t="shared" si="52"/>
        <v/>
      </c>
      <c r="AJ41" s="46">
        <v>0.0</v>
      </c>
      <c r="AK41" s="33"/>
      <c r="AL41" s="22">
        <v>2.0</v>
      </c>
      <c r="AM41" s="23" t="s">
        <v>186</v>
      </c>
      <c r="AN41" s="34">
        <v>46308.64449688657</v>
      </c>
      <c r="AO41" s="25" t="s">
        <v>69</v>
      </c>
      <c r="AP41" s="34">
        <v>46308.68589613426</v>
      </c>
      <c r="AQ41" s="29">
        <f t="shared" si="14"/>
        <v>59.61491667</v>
      </c>
      <c r="AR41" s="29">
        <f t="shared" si="15"/>
        <v>0</v>
      </c>
      <c r="AS41" s="29">
        <f t="shared" si="16"/>
        <v>0.9935819446</v>
      </c>
      <c r="AT41" s="22" t="str">
        <f t="shared" si="17"/>
        <v/>
      </c>
      <c r="AU41" s="23"/>
      <c r="AV41" s="44" t="str">
        <f t="shared" si="18"/>
        <v/>
      </c>
      <c r="AW41" s="25"/>
      <c r="AX41" s="44" t="str">
        <f t="shared" si="19"/>
        <v/>
      </c>
      <c r="AY41" s="54"/>
      <c r="AZ41" s="22" t="str">
        <f t="shared" si="20"/>
        <v/>
      </c>
      <c r="BA41" s="23"/>
      <c r="BB41" s="44" t="str">
        <f t="shared" si="21"/>
        <v/>
      </c>
      <c r="BC41" s="25"/>
      <c r="BD41" s="44" t="str">
        <f t="shared" si="22"/>
        <v/>
      </c>
      <c r="BE41" s="54"/>
      <c r="BF41" s="22" t="str">
        <f t="shared" si="23"/>
        <v>Done</v>
      </c>
      <c r="BG41" s="23" t="s">
        <v>77</v>
      </c>
      <c r="BH41" s="34">
        <v>46309.45656681713</v>
      </c>
      <c r="BI41" s="25" t="s">
        <v>69</v>
      </c>
      <c r="BJ41" s="34">
        <v>46309.45701773148</v>
      </c>
      <c r="BK41" s="46">
        <v>1.0</v>
      </c>
      <c r="BL41" s="33"/>
      <c r="BM41" s="22" t="str">
        <f t="shared" si="24"/>
        <v>Done</v>
      </c>
      <c r="BN41" s="23"/>
      <c r="BO41" s="44" t="str">
        <f t="shared" si="25"/>
        <v/>
      </c>
      <c r="BP41" s="25"/>
      <c r="BQ41" s="44" t="str">
        <f t="shared" si="26"/>
        <v/>
      </c>
      <c r="BR41" s="29" t="str">
        <f t="shared" si="27"/>
        <v/>
      </c>
      <c r="BS41" s="29">
        <f t="shared" si="28"/>
        <v>0</v>
      </c>
      <c r="BT41" s="29">
        <f t="shared" si="29"/>
        <v>0</v>
      </c>
      <c r="BU41" s="22" t="str">
        <f t="shared" si="30"/>
        <v/>
      </c>
      <c r="BV41" s="23"/>
      <c r="BW41" s="44" t="str">
        <f t="shared" si="31"/>
        <v/>
      </c>
      <c r="BX41" s="25"/>
      <c r="BY41" s="44" t="str">
        <f t="shared" si="32"/>
        <v/>
      </c>
      <c r="BZ41" s="54"/>
      <c r="CA41" s="22" t="str">
        <f t="shared" si="33"/>
        <v/>
      </c>
      <c r="CB41" s="23"/>
      <c r="CC41" s="44" t="str">
        <f t="shared" si="34"/>
        <v/>
      </c>
      <c r="CD41" s="25"/>
      <c r="CE41" s="44" t="str">
        <f t="shared" si="35"/>
        <v/>
      </c>
      <c r="CF41" s="54"/>
      <c r="CG41" s="22" t="str">
        <f t="shared" si="5"/>
        <v/>
      </c>
      <c r="CH41" s="23"/>
      <c r="CI41" s="44" t="str">
        <f t="shared" si="6"/>
        <v/>
      </c>
      <c r="CJ41" s="25"/>
      <c r="CK41" s="44" t="str">
        <f t="shared" si="7"/>
        <v/>
      </c>
      <c r="CL41" s="46">
        <v>0.0</v>
      </c>
    </row>
    <row r="42" ht="129.0" customHeight="1">
      <c r="A42" s="26">
        <f t="shared" si="1"/>
        <v>40</v>
      </c>
      <c r="B42" s="46" t="s">
        <v>222</v>
      </c>
      <c r="C42" s="57" t="s">
        <v>232</v>
      </c>
      <c r="D42" s="27"/>
      <c r="E42" s="26"/>
      <c r="F42" s="26"/>
      <c r="G42" s="20">
        <v>1.0</v>
      </c>
      <c r="H42" s="20">
        <v>2.0</v>
      </c>
      <c r="I42" s="23" t="s">
        <v>72</v>
      </c>
      <c r="J42" s="33"/>
      <c r="K42" s="22">
        <f t="shared" si="2"/>
        <v>1</v>
      </c>
      <c r="L42" s="23" t="s">
        <v>210</v>
      </c>
      <c r="M42" s="34">
        <v>46303.68893570601</v>
      </c>
      <c r="N42" s="25" t="s">
        <v>69</v>
      </c>
      <c r="O42" s="34">
        <v>46303.69707134259</v>
      </c>
      <c r="P42" s="29">
        <f t="shared" si="8"/>
        <v>11.71531667</v>
      </c>
      <c r="Q42" s="29">
        <f t="shared" si="9"/>
        <v>0</v>
      </c>
      <c r="R42" s="29">
        <f t="shared" si="10"/>
        <v>0.1952552779</v>
      </c>
      <c r="S42" s="22" t="str">
        <f t="shared" si="11"/>
        <v/>
      </c>
      <c r="T42" s="23"/>
      <c r="U42" s="44" t="str">
        <f t="shared" si="49"/>
        <v/>
      </c>
      <c r="V42" s="25"/>
      <c r="W42" s="44" t="str">
        <f t="shared" si="50"/>
        <v/>
      </c>
      <c r="X42" s="54"/>
      <c r="Y42" s="22" t="str">
        <f t="shared" si="12"/>
        <v/>
      </c>
      <c r="Z42" s="23"/>
      <c r="AA42" s="44" t="str">
        <f t="shared" si="40"/>
        <v/>
      </c>
      <c r="AB42" s="25"/>
      <c r="AC42" s="44" t="str">
        <f t="shared" si="41"/>
        <v/>
      </c>
      <c r="AD42" s="54"/>
      <c r="AE42" s="22" t="str">
        <f t="shared" si="13"/>
        <v/>
      </c>
      <c r="AF42" s="23"/>
      <c r="AG42" s="44" t="str">
        <f t="shared" si="51"/>
        <v/>
      </c>
      <c r="AH42" s="25"/>
      <c r="AI42" s="44" t="str">
        <f t="shared" si="52"/>
        <v/>
      </c>
      <c r="AJ42" s="46">
        <v>0.0</v>
      </c>
      <c r="AK42" s="33"/>
      <c r="AL42" s="22">
        <v>2.0</v>
      </c>
      <c r="AM42" s="23" t="s">
        <v>186</v>
      </c>
      <c r="AN42" s="34">
        <v>46304.67648355324</v>
      </c>
      <c r="AO42" s="25" t="s">
        <v>69</v>
      </c>
      <c r="AP42" s="34">
        <v>46304.70533369213</v>
      </c>
      <c r="AQ42" s="29">
        <f t="shared" si="14"/>
        <v>41.54420001</v>
      </c>
      <c r="AR42" s="29">
        <f t="shared" si="15"/>
        <v>0</v>
      </c>
      <c r="AS42" s="29">
        <f t="shared" si="16"/>
        <v>0.6924033334</v>
      </c>
      <c r="AT42" s="22" t="str">
        <f t="shared" si="17"/>
        <v/>
      </c>
      <c r="AU42" s="23"/>
      <c r="AV42" s="44" t="str">
        <f t="shared" si="18"/>
        <v/>
      </c>
      <c r="AW42" s="25"/>
      <c r="AX42" s="44" t="str">
        <f t="shared" si="19"/>
        <v/>
      </c>
      <c r="AY42" s="54"/>
      <c r="AZ42" s="22" t="str">
        <f t="shared" si="20"/>
        <v/>
      </c>
      <c r="BA42" s="23"/>
      <c r="BB42" s="44" t="str">
        <f t="shared" si="21"/>
        <v/>
      </c>
      <c r="BC42" s="25"/>
      <c r="BD42" s="44" t="str">
        <f t="shared" si="22"/>
        <v/>
      </c>
      <c r="BE42" s="54"/>
      <c r="BF42" s="22" t="str">
        <f t="shared" si="23"/>
        <v>Done</v>
      </c>
      <c r="BG42" s="23" t="s">
        <v>77</v>
      </c>
      <c r="BH42" s="34">
        <v>46308.42500688657</v>
      </c>
      <c r="BI42" s="25" t="s">
        <v>69</v>
      </c>
      <c r="BJ42" s="34">
        <v>46308.426576377315</v>
      </c>
      <c r="BK42" s="46">
        <v>1.0</v>
      </c>
      <c r="BL42" s="33"/>
      <c r="BM42" s="22" t="str">
        <f t="shared" si="24"/>
        <v>Done</v>
      </c>
      <c r="BN42" s="23"/>
      <c r="BO42" s="44" t="str">
        <f t="shared" si="25"/>
        <v/>
      </c>
      <c r="BP42" s="25"/>
      <c r="BQ42" s="44" t="str">
        <f t="shared" si="26"/>
        <v/>
      </c>
      <c r="BR42" s="29" t="str">
        <f t="shared" si="27"/>
        <v/>
      </c>
      <c r="BS42" s="29">
        <f t="shared" si="28"/>
        <v>0</v>
      </c>
      <c r="BT42" s="29">
        <f t="shared" si="29"/>
        <v>0</v>
      </c>
      <c r="BU42" s="22" t="str">
        <f t="shared" si="30"/>
        <v/>
      </c>
      <c r="BV42" s="23"/>
      <c r="BW42" s="44" t="str">
        <f t="shared" si="31"/>
        <v/>
      </c>
      <c r="BX42" s="25"/>
      <c r="BY42" s="44" t="str">
        <f t="shared" si="32"/>
        <v/>
      </c>
      <c r="BZ42" s="54"/>
      <c r="CA42" s="22" t="str">
        <f t="shared" si="33"/>
        <v/>
      </c>
      <c r="CB42" s="23"/>
      <c r="CC42" s="44" t="str">
        <f t="shared" si="34"/>
        <v/>
      </c>
      <c r="CD42" s="25"/>
      <c r="CE42" s="44" t="str">
        <f t="shared" si="35"/>
        <v/>
      </c>
      <c r="CF42" s="54"/>
      <c r="CG42" s="22" t="str">
        <f t="shared" si="5"/>
        <v/>
      </c>
      <c r="CH42" s="23"/>
      <c r="CI42" s="44" t="str">
        <f t="shared" si="6"/>
        <v/>
      </c>
      <c r="CJ42" s="25"/>
      <c r="CK42" s="44" t="str">
        <f t="shared" si="7"/>
        <v/>
      </c>
      <c r="CL42" s="46">
        <v>0.0</v>
      </c>
    </row>
    <row r="43" ht="111.0" customHeight="1">
      <c r="A43" s="26">
        <f t="shared" si="1"/>
        <v>41</v>
      </c>
      <c r="B43" s="46" t="s">
        <v>222</v>
      </c>
      <c r="C43" s="57" t="s">
        <v>235</v>
      </c>
      <c r="D43" s="27"/>
      <c r="E43" s="26"/>
      <c r="F43" s="26"/>
      <c r="G43" s="20">
        <v>1.0</v>
      </c>
      <c r="H43" s="20">
        <v>1.0</v>
      </c>
      <c r="I43" s="23" t="s">
        <v>72</v>
      </c>
      <c r="J43" s="33"/>
      <c r="K43" s="22">
        <f t="shared" si="2"/>
        <v>1</v>
      </c>
      <c r="L43" s="23" t="s">
        <v>104</v>
      </c>
      <c r="M43" s="34">
        <v>46307.43215304398</v>
      </c>
      <c r="N43" s="25" t="s">
        <v>69</v>
      </c>
      <c r="O43" s="34">
        <v>46307.46894584491</v>
      </c>
      <c r="P43" s="29">
        <f t="shared" si="8"/>
        <v>52.98163334</v>
      </c>
      <c r="Q43" s="29">
        <f t="shared" si="9"/>
        <v>0</v>
      </c>
      <c r="R43" s="29">
        <f t="shared" si="10"/>
        <v>0.8830272223</v>
      </c>
      <c r="S43" s="22" t="str">
        <f t="shared" si="11"/>
        <v/>
      </c>
      <c r="T43" s="23"/>
      <c r="U43" s="44" t="str">
        <f t="shared" si="49"/>
        <v/>
      </c>
      <c r="V43" s="25"/>
      <c r="W43" s="44" t="str">
        <f t="shared" si="50"/>
        <v/>
      </c>
      <c r="X43" s="54"/>
      <c r="Y43" s="22" t="str">
        <f t="shared" si="12"/>
        <v/>
      </c>
      <c r="Z43" s="23"/>
      <c r="AA43" s="44" t="str">
        <f t="shared" si="40"/>
        <v/>
      </c>
      <c r="AB43" s="25"/>
      <c r="AC43" s="44" t="str">
        <f t="shared" si="41"/>
        <v/>
      </c>
      <c r="AD43" s="54"/>
      <c r="AE43" s="22" t="str">
        <f t="shared" si="13"/>
        <v/>
      </c>
      <c r="AF43" s="23"/>
      <c r="AG43" s="44" t="str">
        <f t="shared" si="51"/>
        <v/>
      </c>
      <c r="AH43" s="25"/>
      <c r="AI43" s="44" t="str">
        <f t="shared" si="52"/>
        <v/>
      </c>
      <c r="AJ43" s="46">
        <v>0.0</v>
      </c>
      <c r="AK43" s="33"/>
      <c r="AL43" s="22">
        <v>1.0</v>
      </c>
      <c r="AM43" s="23" t="s">
        <v>104</v>
      </c>
      <c r="AN43" s="34">
        <v>46307.480049942125</v>
      </c>
      <c r="AO43" s="25" t="s">
        <v>69</v>
      </c>
      <c r="AP43" s="34">
        <v>46307.56322814815</v>
      </c>
      <c r="AQ43" s="29">
        <f t="shared" si="14"/>
        <v>119.7766167</v>
      </c>
      <c r="AR43" s="29">
        <f t="shared" si="15"/>
        <v>60</v>
      </c>
      <c r="AS43" s="29">
        <f t="shared" si="16"/>
        <v>0.9962769446</v>
      </c>
      <c r="AT43" s="22" t="str">
        <f t="shared" si="17"/>
        <v>Done</v>
      </c>
      <c r="AU43" s="23" t="s">
        <v>104</v>
      </c>
      <c r="AV43" s="44">
        <f t="shared" si="18"/>
        <v>46311.40608</v>
      </c>
      <c r="AW43" s="25" t="s">
        <v>69</v>
      </c>
      <c r="AX43" s="44">
        <f t="shared" si="19"/>
        <v>46311.43317</v>
      </c>
      <c r="AY43" s="35">
        <v>0.6</v>
      </c>
      <c r="AZ43" s="22" t="str">
        <f t="shared" si="20"/>
        <v/>
      </c>
      <c r="BA43" s="23"/>
      <c r="BB43" s="44" t="str">
        <f t="shared" si="21"/>
        <v/>
      </c>
      <c r="BC43" s="25"/>
      <c r="BD43" s="44" t="str">
        <f t="shared" si="22"/>
        <v/>
      </c>
      <c r="BE43" s="54"/>
      <c r="BF43" s="22" t="str">
        <f t="shared" si="23"/>
        <v>Revision</v>
      </c>
      <c r="BG43" s="23" t="s">
        <v>77</v>
      </c>
      <c r="BH43" s="34">
        <v>46308.4367275</v>
      </c>
      <c r="BI43" s="25" t="s">
        <v>93</v>
      </c>
      <c r="BJ43" s="34">
        <v>46308.43813112269</v>
      </c>
      <c r="BK43" s="46">
        <v>1.0</v>
      </c>
      <c r="BL43" s="33"/>
      <c r="BM43" s="22" t="str">
        <f t="shared" si="24"/>
        <v>Revision</v>
      </c>
      <c r="BN43" s="23"/>
      <c r="BO43" s="44" t="str">
        <f t="shared" si="25"/>
        <v/>
      </c>
      <c r="BP43" s="25"/>
      <c r="BQ43" s="44" t="str">
        <f t="shared" si="26"/>
        <v/>
      </c>
      <c r="BR43" s="29" t="str">
        <f t="shared" si="27"/>
        <v/>
      </c>
      <c r="BS43" s="29">
        <f t="shared" si="28"/>
        <v>0</v>
      </c>
      <c r="BT43" s="29">
        <f t="shared" si="29"/>
        <v>0</v>
      </c>
      <c r="BU43" s="22" t="str">
        <f t="shared" si="30"/>
        <v/>
      </c>
      <c r="BV43" s="23"/>
      <c r="BW43" s="44" t="str">
        <f t="shared" si="31"/>
        <v/>
      </c>
      <c r="BX43" s="25"/>
      <c r="BY43" s="44" t="str">
        <f t="shared" si="32"/>
        <v/>
      </c>
      <c r="BZ43" s="54"/>
      <c r="CA43" s="22" t="str">
        <f t="shared" si="33"/>
        <v/>
      </c>
      <c r="CB43" s="23"/>
      <c r="CC43" s="44" t="str">
        <f t="shared" si="34"/>
        <v/>
      </c>
      <c r="CD43" s="25"/>
      <c r="CE43" s="44" t="str">
        <f t="shared" si="35"/>
        <v/>
      </c>
      <c r="CF43" s="54"/>
      <c r="CG43" s="22" t="str">
        <f t="shared" si="5"/>
        <v/>
      </c>
      <c r="CH43" s="23"/>
      <c r="CI43" s="44" t="str">
        <f t="shared" si="6"/>
        <v/>
      </c>
      <c r="CJ43" s="25"/>
      <c r="CK43" s="44" t="str">
        <f t="shared" si="7"/>
        <v/>
      </c>
      <c r="CL43" s="46">
        <v>0.0</v>
      </c>
    </row>
    <row r="44" ht="162.0" customHeight="1">
      <c r="A44" s="26">
        <f t="shared" si="1"/>
        <v>42</v>
      </c>
      <c r="B44" s="46" t="s">
        <v>238</v>
      </c>
      <c r="C44" s="73" t="s">
        <v>239</v>
      </c>
      <c r="D44" s="27"/>
      <c r="F44" s="26"/>
      <c r="G44" s="20">
        <v>2.0</v>
      </c>
      <c r="H44" s="20">
        <v>3.0</v>
      </c>
      <c r="I44" s="23" t="s">
        <v>72</v>
      </c>
      <c r="J44" s="33"/>
      <c r="K44" s="20">
        <v>1.0</v>
      </c>
      <c r="L44" s="23" t="s">
        <v>212</v>
      </c>
      <c r="M44" s="34">
        <v>46304.44468479167</v>
      </c>
      <c r="N44" s="25" t="s">
        <v>69</v>
      </c>
      <c r="O44" s="34">
        <v>46304.60962188657</v>
      </c>
      <c r="P44" s="29">
        <f t="shared" si="8"/>
        <v>237.5094167</v>
      </c>
      <c r="Q44" s="29">
        <f t="shared" si="9"/>
        <v>60</v>
      </c>
      <c r="R44" s="29">
        <f t="shared" si="10"/>
        <v>2.958490278</v>
      </c>
      <c r="S44" s="22" t="str">
        <f t="shared" si="11"/>
        <v/>
      </c>
      <c r="T44" s="23"/>
      <c r="U44" s="44" t="str">
        <f t="shared" si="49"/>
        <v/>
      </c>
      <c r="V44" s="25"/>
      <c r="W44" s="44" t="str">
        <f t="shared" si="50"/>
        <v/>
      </c>
      <c r="X44" s="54"/>
      <c r="Y44" s="22" t="str">
        <f t="shared" si="12"/>
        <v/>
      </c>
      <c r="Z44" s="23"/>
      <c r="AA44" s="44" t="str">
        <f t="shared" si="40"/>
        <v/>
      </c>
      <c r="AB44" s="25"/>
      <c r="AC44" s="44" t="str">
        <f t="shared" si="41"/>
        <v/>
      </c>
      <c r="AD44" s="54"/>
      <c r="AE44" s="22" t="str">
        <f t="shared" si="13"/>
        <v/>
      </c>
      <c r="AF44" s="23"/>
      <c r="AG44" s="44" t="str">
        <f t="shared" si="51"/>
        <v/>
      </c>
      <c r="AH44" s="25"/>
      <c r="AI44" s="44" t="str">
        <f t="shared" si="52"/>
        <v/>
      </c>
      <c r="AJ44" s="46">
        <v>0.0</v>
      </c>
      <c r="AK44" s="33"/>
      <c r="AL44" s="20">
        <v>3.0</v>
      </c>
      <c r="AM44" s="23" t="s">
        <v>212</v>
      </c>
      <c r="AN44" s="34">
        <v>46304.61342112269</v>
      </c>
      <c r="AO44" s="25" t="s">
        <v>69</v>
      </c>
      <c r="AP44" s="34">
        <v>46308.42402736111</v>
      </c>
      <c r="AQ44" s="29">
        <f t="shared" si="14"/>
        <v>5487.272983</v>
      </c>
      <c r="AR44" s="29">
        <f t="shared" si="15"/>
        <v>3840</v>
      </c>
      <c r="AS44" s="29">
        <f t="shared" si="16"/>
        <v>27.45454972</v>
      </c>
      <c r="AT44" s="22" t="str">
        <f t="shared" si="17"/>
        <v>Done</v>
      </c>
      <c r="AU44" s="23" t="s">
        <v>212</v>
      </c>
      <c r="AV44" s="44">
        <f t="shared" si="18"/>
        <v>46311.43531</v>
      </c>
      <c r="AW44" s="25" t="s">
        <v>69</v>
      </c>
      <c r="AX44" s="44">
        <f t="shared" si="19"/>
        <v>46311.44506</v>
      </c>
      <c r="AY44" s="35">
        <v>0.2</v>
      </c>
      <c r="AZ44" s="22" t="str">
        <f t="shared" si="20"/>
        <v/>
      </c>
      <c r="BA44" s="23"/>
      <c r="BB44" s="44" t="str">
        <f t="shared" si="21"/>
        <v/>
      </c>
      <c r="BC44" s="25"/>
      <c r="BD44" s="44" t="str">
        <f t="shared" si="22"/>
        <v/>
      </c>
      <c r="BE44" s="54"/>
      <c r="BF44" s="22" t="str">
        <f t="shared" si="23"/>
        <v>Revision</v>
      </c>
      <c r="BG44" s="23" t="s">
        <v>77</v>
      </c>
      <c r="BH44" s="34">
        <v>46308.43988634259</v>
      </c>
      <c r="BI44" s="25" t="s">
        <v>93</v>
      </c>
      <c r="BJ44" s="34">
        <v>46308.443087708336</v>
      </c>
      <c r="BK44" s="46">
        <v>1.0</v>
      </c>
      <c r="BL44" s="33"/>
      <c r="BM44" s="22" t="str">
        <f t="shared" si="24"/>
        <v>Revision</v>
      </c>
      <c r="BN44" s="23"/>
      <c r="BO44" s="44" t="str">
        <f t="shared" si="25"/>
        <v/>
      </c>
      <c r="BP44" s="25"/>
      <c r="BQ44" s="44" t="str">
        <f t="shared" si="26"/>
        <v/>
      </c>
      <c r="BR44" s="29" t="str">
        <f t="shared" si="27"/>
        <v/>
      </c>
      <c r="BS44" s="29">
        <f t="shared" si="28"/>
        <v>0</v>
      </c>
      <c r="BT44" s="29">
        <f t="shared" si="29"/>
        <v>0</v>
      </c>
      <c r="BU44" s="22" t="str">
        <f t="shared" si="30"/>
        <v/>
      </c>
      <c r="BV44" s="23"/>
      <c r="BW44" s="44" t="str">
        <f t="shared" si="31"/>
        <v/>
      </c>
      <c r="BX44" s="25"/>
      <c r="BY44" s="44" t="str">
        <f t="shared" si="32"/>
        <v/>
      </c>
      <c r="BZ44" s="54"/>
      <c r="CA44" s="22" t="str">
        <f t="shared" si="33"/>
        <v/>
      </c>
      <c r="CB44" s="23"/>
      <c r="CC44" s="44" t="str">
        <f t="shared" si="34"/>
        <v/>
      </c>
      <c r="CD44" s="25"/>
      <c r="CE44" s="44" t="str">
        <f t="shared" si="35"/>
        <v/>
      </c>
      <c r="CF44" s="54"/>
      <c r="CG44" s="22" t="str">
        <f t="shared" si="5"/>
        <v/>
      </c>
      <c r="CH44" s="23"/>
      <c r="CI44" s="44" t="str">
        <f t="shared" si="6"/>
        <v/>
      </c>
      <c r="CJ44" s="25"/>
      <c r="CK44" s="44" t="str">
        <f t="shared" si="7"/>
        <v/>
      </c>
      <c r="CL44" s="46">
        <v>0.0</v>
      </c>
    </row>
    <row r="45" ht="139.5" customHeight="1">
      <c r="A45" s="26">
        <f t="shared" si="1"/>
        <v>43</v>
      </c>
      <c r="B45" s="46" t="s">
        <v>238</v>
      </c>
      <c r="C45" s="57" t="s">
        <v>241</v>
      </c>
      <c r="D45" s="27"/>
      <c r="E45" s="26"/>
      <c r="F45" s="26"/>
      <c r="G45" s="20">
        <v>1.0</v>
      </c>
      <c r="H45" s="20">
        <v>1.0</v>
      </c>
      <c r="I45" s="23" t="s">
        <v>72</v>
      </c>
      <c r="J45" s="33"/>
      <c r="K45" s="22">
        <f t="shared" ref="K45:K179" si="53">G45</f>
        <v>1</v>
      </c>
      <c r="L45" s="23" t="s">
        <v>210</v>
      </c>
      <c r="M45" s="34">
        <v>46304.4197237037</v>
      </c>
      <c r="N45" s="25" t="s">
        <v>69</v>
      </c>
      <c r="O45" s="34">
        <v>46304.426570578704</v>
      </c>
      <c r="P45" s="29">
        <f t="shared" si="8"/>
        <v>9.859500005</v>
      </c>
      <c r="Q45" s="29">
        <f t="shared" si="9"/>
        <v>0</v>
      </c>
      <c r="R45" s="29">
        <f t="shared" si="10"/>
        <v>0.1643250001</v>
      </c>
      <c r="S45" s="22" t="str">
        <f t="shared" si="11"/>
        <v/>
      </c>
      <c r="T45" s="23"/>
      <c r="U45" s="44" t="str">
        <f t="shared" si="49"/>
        <v/>
      </c>
      <c r="V45" s="25"/>
      <c r="W45" s="44" t="str">
        <f t="shared" si="50"/>
        <v/>
      </c>
      <c r="X45" s="54"/>
      <c r="Y45" s="22" t="str">
        <f t="shared" si="12"/>
        <v/>
      </c>
      <c r="Z45" s="23"/>
      <c r="AA45" s="44" t="str">
        <f t="shared" si="40"/>
        <v/>
      </c>
      <c r="AB45" s="25"/>
      <c r="AC45" s="44" t="str">
        <f t="shared" si="41"/>
        <v/>
      </c>
      <c r="AD45" s="54"/>
      <c r="AE45" s="22" t="str">
        <f t="shared" si="13"/>
        <v/>
      </c>
      <c r="AF45" s="23"/>
      <c r="AG45" s="44" t="str">
        <f t="shared" si="51"/>
        <v/>
      </c>
      <c r="AH45" s="25"/>
      <c r="AI45" s="44" t="str">
        <f t="shared" si="52"/>
        <v/>
      </c>
      <c r="AJ45" s="46">
        <v>0.0</v>
      </c>
      <c r="AK45" s="33"/>
      <c r="AL45" s="22">
        <v>1.0</v>
      </c>
      <c r="AM45" s="23" t="s">
        <v>186</v>
      </c>
      <c r="AN45" s="34">
        <v>46307.41871733796</v>
      </c>
      <c r="AO45" s="25" t="s">
        <v>69</v>
      </c>
      <c r="AP45" s="34">
        <v>46307.44562116898</v>
      </c>
      <c r="AQ45" s="29">
        <f t="shared" si="14"/>
        <v>38.74151667</v>
      </c>
      <c r="AR45" s="29">
        <f t="shared" si="15"/>
        <v>0</v>
      </c>
      <c r="AS45" s="29">
        <f t="shared" si="16"/>
        <v>0.6456919445</v>
      </c>
      <c r="AT45" s="22" t="str">
        <f t="shared" si="17"/>
        <v/>
      </c>
      <c r="AU45" s="23"/>
      <c r="AV45" s="44" t="str">
        <f t="shared" si="18"/>
        <v/>
      </c>
      <c r="AW45" s="25"/>
      <c r="AX45" s="44" t="str">
        <f t="shared" si="19"/>
        <v/>
      </c>
      <c r="AY45" s="54"/>
      <c r="AZ45" s="22" t="str">
        <f t="shared" si="20"/>
        <v/>
      </c>
      <c r="BA45" s="23"/>
      <c r="BB45" s="44" t="str">
        <f t="shared" si="21"/>
        <v/>
      </c>
      <c r="BC45" s="25"/>
      <c r="BD45" s="44" t="str">
        <f t="shared" si="22"/>
        <v/>
      </c>
      <c r="BE45" s="54"/>
      <c r="BF45" s="22" t="str">
        <f t="shared" si="23"/>
        <v>Done</v>
      </c>
      <c r="BG45" s="23" t="s">
        <v>77</v>
      </c>
      <c r="BH45" s="34">
        <v>46308.44542640046</v>
      </c>
      <c r="BI45" s="25" t="s">
        <v>69</v>
      </c>
      <c r="BJ45" s="34">
        <v>46308.44578814815</v>
      </c>
      <c r="BK45" s="46">
        <v>1.0</v>
      </c>
      <c r="BL45" s="33"/>
      <c r="BM45" s="22" t="str">
        <f t="shared" si="24"/>
        <v>Done</v>
      </c>
      <c r="BN45" s="23"/>
      <c r="BO45" s="44" t="str">
        <f t="shared" si="25"/>
        <v/>
      </c>
      <c r="BP45" s="25"/>
      <c r="BQ45" s="44" t="str">
        <f t="shared" si="26"/>
        <v/>
      </c>
      <c r="BR45" s="29" t="str">
        <f t="shared" si="27"/>
        <v/>
      </c>
      <c r="BS45" s="29">
        <f t="shared" si="28"/>
        <v>0</v>
      </c>
      <c r="BT45" s="29">
        <f t="shared" si="29"/>
        <v>0</v>
      </c>
      <c r="BU45" s="22" t="str">
        <f t="shared" si="30"/>
        <v/>
      </c>
      <c r="BV45" s="23"/>
      <c r="BW45" s="44" t="str">
        <f t="shared" si="31"/>
        <v/>
      </c>
      <c r="BX45" s="25"/>
      <c r="BY45" s="44" t="str">
        <f t="shared" si="32"/>
        <v/>
      </c>
      <c r="BZ45" s="54"/>
      <c r="CA45" s="22" t="str">
        <f t="shared" si="33"/>
        <v/>
      </c>
      <c r="CB45" s="23"/>
      <c r="CC45" s="44" t="str">
        <f t="shared" si="34"/>
        <v/>
      </c>
      <c r="CD45" s="25"/>
      <c r="CE45" s="44" t="str">
        <f t="shared" si="35"/>
        <v/>
      </c>
      <c r="CF45" s="54"/>
      <c r="CG45" s="22" t="str">
        <f t="shared" si="5"/>
        <v/>
      </c>
      <c r="CH45" s="23"/>
      <c r="CI45" s="44" t="str">
        <f t="shared" si="6"/>
        <v/>
      </c>
      <c r="CJ45" s="25"/>
      <c r="CK45" s="44" t="str">
        <f t="shared" si="7"/>
        <v/>
      </c>
      <c r="CL45" s="46">
        <v>0.0</v>
      </c>
    </row>
    <row r="46" ht="171.0" customHeight="1">
      <c r="A46" s="26">
        <f t="shared" si="1"/>
        <v>44</v>
      </c>
      <c r="B46" s="46" t="s">
        <v>243</v>
      </c>
      <c r="C46" s="27" t="s">
        <v>244</v>
      </c>
      <c r="D46" s="27"/>
      <c r="E46" s="65"/>
      <c r="F46" s="26"/>
      <c r="G46" s="20">
        <v>3.0</v>
      </c>
      <c r="H46" s="20">
        <v>3.0</v>
      </c>
      <c r="I46" s="23" t="s">
        <v>72</v>
      </c>
      <c r="J46" s="33"/>
      <c r="K46" s="22">
        <f t="shared" si="53"/>
        <v>3</v>
      </c>
      <c r="L46" s="23" t="s">
        <v>186</v>
      </c>
      <c r="M46" s="34">
        <v>46304.4512046875</v>
      </c>
      <c r="N46" s="25" t="s">
        <v>69</v>
      </c>
      <c r="O46" s="34">
        <v>46304.66673660879</v>
      </c>
      <c r="P46" s="29">
        <f t="shared" si="8"/>
        <v>310.3659667</v>
      </c>
      <c r="Q46" s="29">
        <f t="shared" si="9"/>
        <v>60</v>
      </c>
      <c r="R46" s="29">
        <f t="shared" si="10"/>
        <v>4.172766111</v>
      </c>
      <c r="S46" s="22" t="str">
        <f t="shared" si="11"/>
        <v/>
      </c>
      <c r="T46" s="23"/>
      <c r="U46" s="44" t="str">
        <f t="shared" si="49"/>
        <v/>
      </c>
      <c r="V46" s="25"/>
      <c r="W46" s="44" t="str">
        <f t="shared" si="50"/>
        <v/>
      </c>
      <c r="X46" s="54"/>
      <c r="Y46" s="22" t="str">
        <f t="shared" si="12"/>
        <v/>
      </c>
      <c r="Z46" s="23"/>
      <c r="AA46" s="44" t="str">
        <f t="shared" si="40"/>
        <v/>
      </c>
      <c r="AB46" s="25"/>
      <c r="AC46" s="44" t="str">
        <f t="shared" si="41"/>
        <v/>
      </c>
      <c r="AD46" s="54"/>
      <c r="AE46" s="22" t="str">
        <f t="shared" si="13"/>
        <v/>
      </c>
      <c r="AF46" s="23"/>
      <c r="AG46" s="44" t="str">
        <f t="shared" si="51"/>
        <v/>
      </c>
      <c r="AH46" s="25"/>
      <c r="AI46" s="44" t="str">
        <f t="shared" si="52"/>
        <v/>
      </c>
      <c r="AJ46" s="46">
        <v>0.0</v>
      </c>
      <c r="AK46" s="33"/>
      <c r="AL46" s="22">
        <v>3.0</v>
      </c>
      <c r="AM46" s="23" t="s">
        <v>186</v>
      </c>
      <c r="AN46" s="34">
        <v>46309.40476846065</v>
      </c>
      <c r="AO46" s="25" t="s">
        <v>69</v>
      </c>
      <c r="AP46" s="34">
        <v>46309.609791400464</v>
      </c>
      <c r="AQ46" s="29">
        <f t="shared" si="14"/>
        <v>295.2330333</v>
      </c>
      <c r="AR46" s="29">
        <f t="shared" si="15"/>
        <v>60</v>
      </c>
      <c r="AS46" s="29">
        <f t="shared" si="16"/>
        <v>3.920550556</v>
      </c>
      <c r="AT46" s="22" t="str">
        <f t="shared" si="17"/>
        <v/>
      </c>
      <c r="AU46" s="23"/>
      <c r="AV46" s="44" t="str">
        <f t="shared" si="18"/>
        <v/>
      </c>
      <c r="AW46" s="25"/>
      <c r="AX46" s="44" t="str">
        <f t="shared" si="19"/>
        <v/>
      </c>
      <c r="AY46" s="54"/>
      <c r="AZ46" s="22" t="str">
        <f t="shared" si="20"/>
        <v/>
      </c>
      <c r="BA46" s="23"/>
      <c r="BB46" s="44" t="str">
        <f t="shared" si="21"/>
        <v/>
      </c>
      <c r="BC46" s="25"/>
      <c r="BD46" s="44" t="str">
        <f t="shared" si="22"/>
        <v/>
      </c>
      <c r="BE46" s="54"/>
      <c r="BF46" s="22" t="str">
        <f t="shared" si="23"/>
        <v/>
      </c>
      <c r="BG46" s="23"/>
      <c r="BH46" s="44" t="str">
        <f t="shared" ref="BH46:BH56" si="54">if(BG46&lt;&gt;"", if(BH46="",NOW(),BH46),"")</f>
        <v/>
      </c>
      <c r="BI46" s="25"/>
      <c r="BJ46" s="44" t="str">
        <f t="shared" ref="BJ46:BJ56" si="55">if(BI46="Done", if(BJ46="",NOW(),BJ46),"")</f>
        <v/>
      </c>
      <c r="BK46" s="46">
        <v>0.0</v>
      </c>
      <c r="BL46" s="33"/>
      <c r="BM46" s="22" t="str">
        <f t="shared" si="24"/>
        <v/>
      </c>
      <c r="BN46" s="23"/>
      <c r="BO46" s="44" t="str">
        <f t="shared" si="25"/>
        <v/>
      </c>
      <c r="BP46" s="25"/>
      <c r="BQ46" s="44" t="str">
        <f t="shared" si="26"/>
        <v/>
      </c>
      <c r="BR46" s="29" t="str">
        <f t="shared" si="27"/>
        <v/>
      </c>
      <c r="BS46" s="29">
        <f t="shared" si="28"/>
        <v>0</v>
      </c>
      <c r="BT46" s="29">
        <f t="shared" si="29"/>
        <v>0</v>
      </c>
      <c r="BU46" s="22" t="str">
        <f t="shared" si="30"/>
        <v/>
      </c>
      <c r="BV46" s="23"/>
      <c r="BW46" s="44" t="str">
        <f t="shared" si="31"/>
        <v/>
      </c>
      <c r="BX46" s="25"/>
      <c r="BY46" s="44" t="str">
        <f t="shared" si="32"/>
        <v/>
      </c>
      <c r="BZ46" s="54"/>
      <c r="CA46" s="22" t="str">
        <f t="shared" si="33"/>
        <v/>
      </c>
      <c r="CB46" s="23"/>
      <c r="CC46" s="44" t="str">
        <f t="shared" si="34"/>
        <v/>
      </c>
      <c r="CD46" s="25"/>
      <c r="CE46" s="44" t="str">
        <f t="shared" si="35"/>
        <v/>
      </c>
      <c r="CF46" s="54"/>
      <c r="CG46" s="22" t="str">
        <f t="shared" si="5"/>
        <v/>
      </c>
      <c r="CH46" s="23"/>
      <c r="CI46" s="44" t="str">
        <f t="shared" si="6"/>
        <v/>
      </c>
      <c r="CJ46" s="25"/>
      <c r="CK46" s="44" t="str">
        <f t="shared" si="7"/>
        <v/>
      </c>
      <c r="CL46" s="46">
        <v>0.0</v>
      </c>
    </row>
    <row r="47" ht="168.0" customHeight="1">
      <c r="A47" s="26">
        <f t="shared" si="1"/>
        <v>45</v>
      </c>
      <c r="B47" s="46" t="s">
        <v>243</v>
      </c>
      <c r="C47" s="57" t="s">
        <v>258</v>
      </c>
      <c r="D47" s="27"/>
      <c r="E47" s="26"/>
      <c r="F47" s="26"/>
      <c r="G47" s="20">
        <v>2.0</v>
      </c>
      <c r="H47" s="20">
        <v>1.0</v>
      </c>
      <c r="I47" s="23" t="s">
        <v>72</v>
      </c>
      <c r="J47" s="33"/>
      <c r="K47" s="22">
        <f t="shared" si="53"/>
        <v>2</v>
      </c>
      <c r="L47" s="23" t="s">
        <v>224</v>
      </c>
      <c r="M47" s="34">
        <v>46309.670738125</v>
      </c>
      <c r="N47" s="25" t="s">
        <v>69</v>
      </c>
      <c r="O47" s="34">
        <v>46309.692049652775</v>
      </c>
      <c r="P47" s="29">
        <f t="shared" si="8"/>
        <v>30.68859999</v>
      </c>
      <c r="Q47" s="29">
        <f t="shared" si="9"/>
        <v>0</v>
      </c>
      <c r="R47" s="29">
        <f t="shared" si="10"/>
        <v>0.5114766666</v>
      </c>
      <c r="S47" s="22" t="str">
        <f t="shared" si="11"/>
        <v/>
      </c>
      <c r="T47" s="23"/>
      <c r="U47" s="44" t="str">
        <f t="shared" si="49"/>
        <v/>
      </c>
      <c r="V47" s="25"/>
      <c r="W47" s="44" t="str">
        <f t="shared" si="50"/>
        <v/>
      </c>
      <c r="X47" s="54"/>
      <c r="Y47" s="22" t="str">
        <f t="shared" si="12"/>
        <v/>
      </c>
      <c r="Z47" s="23"/>
      <c r="AA47" s="44" t="str">
        <f t="shared" si="40"/>
        <v/>
      </c>
      <c r="AB47" s="25"/>
      <c r="AC47" s="44" t="str">
        <f t="shared" si="41"/>
        <v/>
      </c>
      <c r="AD47" s="54"/>
      <c r="AE47" s="22" t="str">
        <f t="shared" si="13"/>
        <v/>
      </c>
      <c r="AF47" s="23"/>
      <c r="AG47" s="44" t="str">
        <f t="shared" si="51"/>
        <v/>
      </c>
      <c r="AH47" s="25"/>
      <c r="AI47" s="44" t="str">
        <f t="shared" si="52"/>
        <v/>
      </c>
      <c r="AJ47" s="46">
        <v>0.0</v>
      </c>
      <c r="AK47" s="33"/>
      <c r="AL47" s="22">
        <v>1.0</v>
      </c>
      <c r="AM47" s="23" t="s">
        <v>224</v>
      </c>
      <c r="AN47" s="34">
        <v>46309.694758136575</v>
      </c>
      <c r="AO47" s="25" t="s">
        <v>69</v>
      </c>
      <c r="AP47" s="34">
        <v>46310.41993037037</v>
      </c>
      <c r="AQ47" s="29">
        <f t="shared" si="14"/>
        <v>1044.248017</v>
      </c>
      <c r="AR47" s="29">
        <f t="shared" si="15"/>
        <v>960</v>
      </c>
      <c r="AS47" s="29">
        <f t="shared" si="16"/>
        <v>1.404133611</v>
      </c>
      <c r="AT47" s="22" t="str">
        <f t="shared" si="17"/>
        <v/>
      </c>
      <c r="AU47" s="23"/>
      <c r="AV47" s="44" t="str">
        <f t="shared" si="18"/>
        <v/>
      </c>
      <c r="AW47" s="25"/>
      <c r="AX47" s="44" t="str">
        <f t="shared" si="19"/>
        <v/>
      </c>
      <c r="AY47" s="54"/>
      <c r="AZ47" s="22" t="str">
        <f t="shared" si="20"/>
        <v/>
      </c>
      <c r="BA47" s="23"/>
      <c r="BB47" s="44" t="str">
        <f t="shared" si="21"/>
        <v/>
      </c>
      <c r="BC47" s="25"/>
      <c r="BD47" s="44" t="str">
        <f t="shared" si="22"/>
        <v/>
      </c>
      <c r="BE47" s="54"/>
      <c r="BF47" s="22" t="str">
        <f t="shared" si="23"/>
        <v/>
      </c>
      <c r="BG47" s="23"/>
      <c r="BH47" s="44" t="str">
        <f t="shared" si="54"/>
        <v/>
      </c>
      <c r="BI47" s="25"/>
      <c r="BJ47" s="44" t="str">
        <f t="shared" si="55"/>
        <v/>
      </c>
      <c r="BK47" s="46">
        <v>0.0</v>
      </c>
      <c r="BL47" s="33"/>
      <c r="BM47" s="22" t="str">
        <f t="shared" si="24"/>
        <v/>
      </c>
      <c r="BN47" s="23"/>
      <c r="BO47" s="44" t="str">
        <f t="shared" si="25"/>
        <v/>
      </c>
      <c r="BP47" s="25"/>
      <c r="BQ47" s="44" t="str">
        <f t="shared" si="26"/>
        <v/>
      </c>
      <c r="BR47" s="29" t="str">
        <f t="shared" si="27"/>
        <v/>
      </c>
      <c r="BS47" s="29">
        <f t="shared" si="28"/>
        <v>0</v>
      </c>
      <c r="BT47" s="29">
        <f t="shared" si="29"/>
        <v>0</v>
      </c>
      <c r="BU47" s="22" t="str">
        <f t="shared" si="30"/>
        <v/>
      </c>
      <c r="BV47" s="23"/>
      <c r="BW47" s="44" t="str">
        <f t="shared" si="31"/>
        <v/>
      </c>
      <c r="BX47" s="25"/>
      <c r="BY47" s="44" t="str">
        <f t="shared" si="32"/>
        <v/>
      </c>
      <c r="BZ47" s="54"/>
      <c r="CA47" s="22" t="str">
        <f t="shared" si="33"/>
        <v/>
      </c>
      <c r="CB47" s="23"/>
      <c r="CC47" s="44" t="str">
        <f t="shared" si="34"/>
        <v/>
      </c>
      <c r="CD47" s="25"/>
      <c r="CE47" s="44" t="str">
        <f t="shared" si="35"/>
        <v/>
      </c>
      <c r="CF47" s="54"/>
      <c r="CG47" s="22" t="str">
        <f t="shared" si="5"/>
        <v/>
      </c>
      <c r="CH47" s="23"/>
      <c r="CI47" s="44" t="str">
        <f t="shared" si="6"/>
        <v/>
      </c>
      <c r="CJ47" s="25"/>
      <c r="CK47" s="44" t="str">
        <f t="shared" si="7"/>
        <v/>
      </c>
      <c r="CL47" s="46">
        <v>0.0</v>
      </c>
    </row>
    <row r="48" ht="82.5" customHeight="1">
      <c r="A48" s="26">
        <f t="shared" si="1"/>
        <v>46</v>
      </c>
      <c r="B48" s="46" t="s">
        <v>243</v>
      </c>
      <c r="C48" s="57" t="s">
        <v>268</v>
      </c>
      <c r="D48" s="27"/>
      <c r="E48" s="26"/>
      <c r="F48" s="26"/>
      <c r="G48" s="20">
        <v>4.0</v>
      </c>
      <c r="H48" s="20">
        <v>4.0</v>
      </c>
      <c r="I48" s="23" t="s">
        <v>72</v>
      </c>
      <c r="J48" s="33"/>
      <c r="K48" s="22">
        <f t="shared" si="53"/>
        <v>4</v>
      </c>
      <c r="L48" s="23" t="s">
        <v>269</v>
      </c>
      <c r="M48" s="34">
        <v>46309.59441578704</v>
      </c>
      <c r="N48" s="25" t="s">
        <v>69</v>
      </c>
      <c r="O48" s="44">
        <f t="shared" ref="O48:O49" si="56">if(N48="Done", if(O48="",NOW(),O48),"")</f>
        <v>46310.43218</v>
      </c>
      <c r="P48" s="29">
        <f t="shared" si="8"/>
        <v>1206.381917</v>
      </c>
      <c r="Q48" s="29">
        <f t="shared" si="9"/>
        <v>960</v>
      </c>
      <c r="R48" s="29">
        <f t="shared" si="10"/>
        <v>4.106365278</v>
      </c>
      <c r="S48" s="22" t="str">
        <f t="shared" si="11"/>
        <v/>
      </c>
      <c r="T48" s="23"/>
      <c r="U48" s="44" t="str">
        <f t="shared" si="49"/>
        <v/>
      </c>
      <c r="V48" s="25"/>
      <c r="W48" s="44" t="str">
        <f t="shared" si="50"/>
        <v/>
      </c>
      <c r="X48" s="54"/>
      <c r="Y48" s="22" t="str">
        <f t="shared" si="12"/>
        <v/>
      </c>
      <c r="Z48" s="23"/>
      <c r="AA48" s="44" t="str">
        <f t="shared" si="40"/>
        <v/>
      </c>
      <c r="AB48" s="25"/>
      <c r="AC48" s="44" t="str">
        <f t="shared" si="41"/>
        <v/>
      </c>
      <c r="AD48" s="54"/>
      <c r="AE48" s="22" t="str">
        <f t="shared" si="13"/>
        <v/>
      </c>
      <c r="AF48" s="23"/>
      <c r="AG48" s="44" t="str">
        <f t="shared" si="51"/>
        <v/>
      </c>
      <c r="AH48" s="25"/>
      <c r="AI48" s="44" t="str">
        <f t="shared" si="52"/>
        <v/>
      </c>
      <c r="AJ48" s="46">
        <v>0.0</v>
      </c>
      <c r="AK48" s="33"/>
      <c r="AL48" s="22">
        <v>4.0</v>
      </c>
      <c r="AM48" s="23" t="s">
        <v>269</v>
      </c>
      <c r="AN48" s="44">
        <f t="shared" ref="AN48:AN49" si="57">if(AM48&lt;&gt;"", if(AN48="",NOW(),AN48),"")</f>
        <v>46310.4374</v>
      </c>
      <c r="AO48" s="25" t="s">
        <v>69</v>
      </c>
      <c r="AP48" s="34">
        <v>46311.58712476851</v>
      </c>
      <c r="AQ48" s="29">
        <f t="shared" si="14"/>
        <v>1655.609667</v>
      </c>
      <c r="AR48" s="29">
        <f t="shared" si="15"/>
        <v>1020</v>
      </c>
      <c r="AS48" s="29">
        <f t="shared" si="16"/>
        <v>10.59349444</v>
      </c>
      <c r="AT48" s="22" t="str">
        <f t="shared" si="17"/>
        <v/>
      </c>
      <c r="AU48" s="23"/>
      <c r="AV48" s="44" t="str">
        <f t="shared" si="18"/>
        <v/>
      </c>
      <c r="AW48" s="25"/>
      <c r="AX48" s="44" t="str">
        <f t="shared" si="19"/>
        <v/>
      </c>
      <c r="AY48" s="54"/>
      <c r="AZ48" s="22" t="str">
        <f t="shared" si="20"/>
        <v/>
      </c>
      <c r="BA48" s="23"/>
      <c r="BB48" s="44" t="str">
        <f t="shared" si="21"/>
        <v/>
      </c>
      <c r="BC48" s="25"/>
      <c r="BD48" s="44" t="str">
        <f t="shared" si="22"/>
        <v/>
      </c>
      <c r="BE48" s="54"/>
      <c r="BF48" s="22" t="str">
        <f t="shared" si="23"/>
        <v/>
      </c>
      <c r="BG48" s="23"/>
      <c r="BH48" s="44" t="str">
        <f t="shared" si="54"/>
        <v/>
      </c>
      <c r="BI48" s="25"/>
      <c r="BJ48" s="44" t="str">
        <f t="shared" si="55"/>
        <v/>
      </c>
      <c r="BK48" s="46">
        <v>0.0</v>
      </c>
      <c r="BL48" s="33"/>
      <c r="BM48" s="22" t="str">
        <f t="shared" si="24"/>
        <v/>
      </c>
      <c r="BN48" s="23"/>
      <c r="BO48" s="44" t="str">
        <f t="shared" si="25"/>
        <v/>
      </c>
      <c r="BP48" s="25"/>
      <c r="BQ48" s="44" t="str">
        <f t="shared" si="26"/>
        <v/>
      </c>
      <c r="BR48" s="29" t="str">
        <f t="shared" si="27"/>
        <v/>
      </c>
      <c r="BS48" s="29">
        <f t="shared" si="28"/>
        <v>0</v>
      </c>
      <c r="BT48" s="29">
        <f t="shared" si="29"/>
        <v>0</v>
      </c>
      <c r="BU48" s="22" t="str">
        <f t="shared" si="30"/>
        <v/>
      </c>
      <c r="BV48" s="23"/>
      <c r="BW48" s="44" t="str">
        <f t="shared" si="31"/>
        <v/>
      </c>
      <c r="BX48" s="25"/>
      <c r="BY48" s="44" t="str">
        <f t="shared" si="32"/>
        <v/>
      </c>
      <c r="BZ48" s="54"/>
      <c r="CA48" s="22" t="str">
        <f t="shared" si="33"/>
        <v/>
      </c>
      <c r="CB48" s="23"/>
      <c r="CC48" s="44" t="str">
        <f t="shared" si="34"/>
        <v/>
      </c>
      <c r="CD48" s="25"/>
      <c r="CE48" s="44" t="str">
        <f t="shared" si="35"/>
        <v/>
      </c>
      <c r="CF48" s="54"/>
      <c r="CG48" s="22" t="str">
        <f t="shared" si="5"/>
        <v/>
      </c>
      <c r="CH48" s="23"/>
      <c r="CI48" s="44" t="str">
        <f t="shared" si="6"/>
        <v/>
      </c>
      <c r="CJ48" s="25"/>
      <c r="CK48" s="44" t="str">
        <f t="shared" si="7"/>
        <v/>
      </c>
      <c r="CL48" s="46">
        <v>0.0</v>
      </c>
    </row>
    <row r="49" ht="104.25" customHeight="1">
      <c r="A49" s="26">
        <f t="shared" si="1"/>
        <v>47</v>
      </c>
      <c r="B49" s="46" t="s">
        <v>273</v>
      </c>
      <c r="C49" s="57" t="s">
        <v>274</v>
      </c>
      <c r="D49" s="27"/>
      <c r="E49" s="26"/>
      <c r="F49" s="26"/>
      <c r="G49" s="20">
        <v>1.0</v>
      </c>
      <c r="H49" s="20">
        <v>1.0</v>
      </c>
      <c r="I49" s="23" t="s">
        <v>72</v>
      </c>
      <c r="J49" s="33"/>
      <c r="K49" s="22">
        <f t="shared" si="53"/>
        <v>1</v>
      </c>
      <c r="L49" s="23"/>
      <c r="M49" s="44" t="str">
        <f>if(L49&lt;&gt;"", if(M49="",NOW(),M49),"")</f>
        <v/>
      </c>
      <c r="N49" s="25"/>
      <c r="O49" s="44" t="str">
        <f t="shared" si="56"/>
        <v/>
      </c>
      <c r="P49" s="29" t="str">
        <f t="shared" si="8"/>
        <v/>
      </c>
      <c r="Q49" s="29">
        <f t="shared" si="9"/>
        <v>0</v>
      </c>
      <c r="R49" s="29">
        <f t="shared" si="10"/>
        <v>0</v>
      </c>
      <c r="S49" s="22" t="str">
        <f t="shared" si="11"/>
        <v/>
      </c>
      <c r="T49" s="23"/>
      <c r="U49" s="44" t="str">
        <f t="shared" si="49"/>
        <v/>
      </c>
      <c r="V49" s="25"/>
      <c r="W49" s="44" t="str">
        <f t="shared" si="50"/>
        <v/>
      </c>
      <c r="X49" s="54"/>
      <c r="Y49" s="22" t="str">
        <f t="shared" si="12"/>
        <v/>
      </c>
      <c r="Z49" s="23"/>
      <c r="AA49" s="44" t="str">
        <f t="shared" si="40"/>
        <v/>
      </c>
      <c r="AB49" s="25"/>
      <c r="AC49" s="44" t="str">
        <f t="shared" si="41"/>
        <v/>
      </c>
      <c r="AD49" s="54"/>
      <c r="AE49" s="22" t="str">
        <f t="shared" si="13"/>
        <v/>
      </c>
      <c r="AF49" s="23"/>
      <c r="AG49" s="44" t="str">
        <f t="shared" si="51"/>
        <v/>
      </c>
      <c r="AH49" s="25"/>
      <c r="AI49" s="44" t="str">
        <f t="shared" si="52"/>
        <v/>
      </c>
      <c r="AJ49" s="46">
        <v>0.0</v>
      </c>
      <c r="AK49" s="33"/>
      <c r="AL49" s="22">
        <v>1.0</v>
      </c>
      <c r="AM49" s="23"/>
      <c r="AN49" s="44" t="str">
        <f t="shared" si="57"/>
        <v/>
      </c>
      <c r="AO49" s="25"/>
      <c r="AP49" s="44" t="str">
        <f>if(AO49="Done", if(AP49="",NOW(),AP49),"")</f>
        <v/>
      </c>
      <c r="AQ49" s="29" t="str">
        <f t="shared" si="14"/>
        <v/>
      </c>
      <c r="AR49" s="29">
        <f t="shared" si="15"/>
        <v>0</v>
      </c>
      <c r="AS49" s="29">
        <f t="shared" si="16"/>
        <v>0</v>
      </c>
      <c r="AT49" s="22" t="str">
        <f t="shared" si="17"/>
        <v/>
      </c>
      <c r="AU49" s="23"/>
      <c r="AV49" s="44" t="str">
        <f t="shared" si="18"/>
        <v/>
      </c>
      <c r="AW49" s="25"/>
      <c r="AX49" s="44" t="str">
        <f t="shared" si="19"/>
        <v/>
      </c>
      <c r="AY49" s="54"/>
      <c r="AZ49" s="22" t="str">
        <f t="shared" si="20"/>
        <v/>
      </c>
      <c r="BA49" s="23"/>
      <c r="BB49" s="44" t="str">
        <f t="shared" si="21"/>
        <v/>
      </c>
      <c r="BC49" s="25"/>
      <c r="BD49" s="44" t="str">
        <f t="shared" si="22"/>
        <v/>
      </c>
      <c r="BE49" s="54"/>
      <c r="BF49" s="22" t="str">
        <f t="shared" si="23"/>
        <v/>
      </c>
      <c r="BG49" s="23"/>
      <c r="BH49" s="44" t="str">
        <f t="shared" si="54"/>
        <v/>
      </c>
      <c r="BI49" s="25"/>
      <c r="BJ49" s="44" t="str">
        <f t="shared" si="55"/>
        <v/>
      </c>
      <c r="BK49" s="46">
        <v>0.0</v>
      </c>
      <c r="BL49" s="33"/>
      <c r="BM49" s="22" t="str">
        <f t="shared" si="24"/>
        <v/>
      </c>
      <c r="BN49" s="23"/>
      <c r="BO49" s="44" t="str">
        <f t="shared" si="25"/>
        <v/>
      </c>
      <c r="BP49" s="25"/>
      <c r="BQ49" s="44" t="str">
        <f t="shared" si="26"/>
        <v/>
      </c>
      <c r="BR49" s="29" t="str">
        <f t="shared" si="27"/>
        <v/>
      </c>
      <c r="BS49" s="29">
        <f t="shared" si="28"/>
        <v>0</v>
      </c>
      <c r="BT49" s="29">
        <f t="shared" si="29"/>
        <v>0</v>
      </c>
      <c r="BU49" s="22" t="str">
        <f t="shared" si="30"/>
        <v/>
      </c>
      <c r="BV49" s="23"/>
      <c r="BW49" s="44" t="str">
        <f t="shared" si="31"/>
        <v/>
      </c>
      <c r="BX49" s="25"/>
      <c r="BY49" s="44" t="str">
        <f t="shared" si="32"/>
        <v/>
      </c>
      <c r="BZ49" s="54"/>
      <c r="CA49" s="22" t="str">
        <f t="shared" si="33"/>
        <v/>
      </c>
      <c r="CB49" s="23"/>
      <c r="CC49" s="44" t="str">
        <f t="shared" si="34"/>
        <v/>
      </c>
      <c r="CD49" s="25"/>
      <c r="CE49" s="44" t="str">
        <f t="shared" si="35"/>
        <v/>
      </c>
      <c r="CF49" s="54"/>
      <c r="CG49" s="22" t="str">
        <f t="shared" si="5"/>
        <v/>
      </c>
      <c r="CH49" s="23"/>
      <c r="CI49" s="44" t="str">
        <f t="shared" si="6"/>
        <v/>
      </c>
      <c r="CJ49" s="25"/>
      <c r="CK49" s="44" t="str">
        <f t="shared" si="7"/>
        <v/>
      </c>
      <c r="CL49" s="46">
        <v>0.0</v>
      </c>
    </row>
    <row r="50" ht="105.75" customHeight="1">
      <c r="A50" s="26">
        <f t="shared" si="1"/>
        <v>48</v>
      </c>
      <c r="B50" s="46" t="s">
        <v>273</v>
      </c>
      <c r="C50" s="57" t="s">
        <v>277</v>
      </c>
      <c r="D50" s="27"/>
      <c r="E50" s="26"/>
      <c r="F50" s="26"/>
      <c r="G50" s="20">
        <v>1.0</v>
      </c>
      <c r="H50" s="20">
        <v>1.0</v>
      </c>
      <c r="I50" s="23" t="s">
        <v>72</v>
      </c>
      <c r="J50" s="33"/>
      <c r="K50" s="22">
        <f t="shared" si="53"/>
        <v>1</v>
      </c>
      <c r="L50" s="23" t="s">
        <v>210</v>
      </c>
      <c r="M50" s="34">
        <v>46304.441505509254</v>
      </c>
      <c r="N50" s="25" t="s">
        <v>69</v>
      </c>
      <c r="O50" s="34">
        <v>46304.44758601852</v>
      </c>
      <c r="P50" s="29">
        <f t="shared" si="8"/>
        <v>8.755933342</v>
      </c>
      <c r="Q50" s="29">
        <f t="shared" si="9"/>
        <v>0</v>
      </c>
      <c r="R50" s="29">
        <f t="shared" si="10"/>
        <v>0.1459322224</v>
      </c>
      <c r="S50" s="22" t="str">
        <f t="shared" si="11"/>
        <v/>
      </c>
      <c r="T50" s="23"/>
      <c r="U50" s="44" t="str">
        <f t="shared" si="49"/>
        <v/>
      </c>
      <c r="V50" s="25"/>
      <c r="W50" s="44" t="str">
        <f t="shared" si="50"/>
        <v/>
      </c>
      <c r="X50" s="54"/>
      <c r="Y50" s="22" t="str">
        <f t="shared" si="12"/>
        <v/>
      </c>
      <c r="Z50" s="23"/>
      <c r="AA50" s="44" t="str">
        <f t="shared" si="40"/>
        <v/>
      </c>
      <c r="AB50" s="25"/>
      <c r="AC50" s="44" t="str">
        <f t="shared" si="41"/>
        <v/>
      </c>
      <c r="AD50" s="54"/>
      <c r="AE50" s="22" t="str">
        <f t="shared" si="13"/>
        <v/>
      </c>
      <c r="AF50" s="23"/>
      <c r="AG50" s="44" t="str">
        <f t="shared" si="51"/>
        <v/>
      </c>
      <c r="AH50" s="25"/>
      <c r="AI50" s="44" t="str">
        <f t="shared" si="52"/>
        <v/>
      </c>
      <c r="AJ50" s="46">
        <v>0.0</v>
      </c>
      <c r="AK50" s="33"/>
      <c r="AL50" s="22">
        <v>1.0</v>
      </c>
      <c r="AM50" s="23" t="s">
        <v>186</v>
      </c>
      <c r="AN50" s="34">
        <v>46307.45744488426</v>
      </c>
      <c r="AO50" s="25" t="s">
        <v>69</v>
      </c>
      <c r="AP50" s="34">
        <v>46307.48204778935</v>
      </c>
      <c r="AQ50" s="29">
        <f t="shared" si="14"/>
        <v>35.42818333</v>
      </c>
      <c r="AR50" s="29">
        <f t="shared" si="15"/>
        <v>0</v>
      </c>
      <c r="AS50" s="29">
        <f t="shared" si="16"/>
        <v>0.5904697222</v>
      </c>
      <c r="AT50" s="22" t="str">
        <f t="shared" si="17"/>
        <v/>
      </c>
      <c r="AU50" s="23"/>
      <c r="AV50" s="44" t="str">
        <f t="shared" si="18"/>
        <v/>
      </c>
      <c r="AW50" s="25"/>
      <c r="AX50" s="44" t="str">
        <f t="shared" si="19"/>
        <v/>
      </c>
      <c r="AY50" s="54"/>
      <c r="AZ50" s="22" t="str">
        <f t="shared" si="20"/>
        <v/>
      </c>
      <c r="BA50" s="23"/>
      <c r="BB50" s="44" t="str">
        <f t="shared" si="21"/>
        <v/>
      </c>
      <c r="BC50" s="25"/>
      <c r="BD50" s="44" t="str">
        <f t="shared" si="22"/>
        <v/>
      </c>
      <c r="BE50" s="54"/>
      <c r="BF50" s="22" t="str">
        <f t="shared" si="23"/>
        <v/>
      </c>
      <c r="BG50" s="23"/>
      <c r="BH50" s="44" t="str">
        <f t="shared" si="54"/>
        <v/>
      </c>
      <c r="BI50" s="25"/>
      <c r="BJ50" s="44" t="str">
        <f t="shared" si="55"/>
        <v/>
      </c>
      <c r="BK50" s="46">
        <v>0.0</v>
      </c>
      <c r="BL50" s="33"/>
      <c r="BM50" s="22" t="str">
        <f t="shared" si="24"/>
        <v/>
      </c>
      <c r="BN50" s="23"/>
      <c r="BO50" s="44" t="str">
        <f t="shared" si="25"/>
        <v/>
      </c>
      <c r="BP50" s="25"/>
      <c r="BQ50" s="44" t="str">
        <f t="shared" si="26"/>
        <v/>
      </c>
      <c r="BR50" s="29" t="str">
        <f t="shared" si="27"/>
        <v/>
      </c>
      <c r="BS50" s="29">
        <f t="shared" si="28"/>
        <v>0</v>
      </c>
      <c r="BT50" s="29">
        <f t="shared" si="29"/>
        <v>0</v>
      </c>
      <c r="BU50" s="22" t="str">
        <f t="shared" si="30"/>
        <v/>
      </c>
      <c r="BV50" s="23"/>
      <c r="BW50" s="44" t="str">
        <f t="shared" si="31"/>
        <v/>
      </c>
      <c r="BX50" s="25"/>
      <c r="BY50" s="44" t="str">
        <f t="shared" si="32"/>
        <v/>
      </c>
      <c r="BZ50" s="54"/>
      <c r="CA50" s="22" t="str">
        <f t="shared" si="33"/>
        <v/>
      </c>
      <c r="CB50" s="23"/>
      <c r="CC50" s="44" t="str">
        <f t="shared" si="34"/>
        <v/>
      </c>
      <c r="CD50" s="25"/>
      <c r="CE50" s="44" t="str">
        <f t="shared" si="35"/>
        <v/>
      </c>
      <c r="CF50" s="54"/>
      <c r="CG50" s="22" t="str">
        <f t="shared" si="5"/>
        <v/>
      </c>
      <c r="CH50" s="23"/>
      <c r="CI50" s="44" t="str">
        <f t="shared" si="6"/>
        <v/>
      </c>
      <c r="CJ50" s="25"/>
      <c r="CK50" s="44" t="str">
        <f t="shared" si="7"/>
        <v/>
      </c>
      <c r="CL50" s="46">
        <v>0.0</v>
      </c>
    </row>
    <row r="51" ht="118.5" customHeight="1">
      <c r="A51" s="26">
        <f t="shared" si="1"/>
        <v>49</v>
      </c>
      <c r="B51" s="46" t="s">
        <v>273</v>
      </c>
      <c r="C51" s="57" t="s">
        <v>280</v>
      </c>
      <c r="D51" s="27"/>
      <c r="E51" s="26"/>
      <c r="F51" s="26"/>
      <c r="G51" s="20">
        <v>1.0</v>
      </c>
      <c r="H51" s="20">
        <v>1.0</v>
      </c>
      <c r="I51" s="23" t="s">
        <v>72</v>
      </c>
      <c r="J51" s="33"/>
      <c r="K51" s="22">
        <f t="shared" si="53"/>
        <v>1</v>
      </c>
      <c r="L51" s="23" t="s">
        <v>210</v>
      </c>
      <c r="M51" s="34">
        <v>46307.59338818287</v>
      </c>
      <c r="N51" s="25" t="s">
        <v>69</v>
      </c>
      <c r="O51" s="34">
        <v>46307.59581240741</v>
      </c>
      <c r="P51" s="29">
        <f t="shared" si="8"/>
        <v>3.49088334</v>
      </c>
      <c r="Q51" s="29">
        <f t="shared" si="9"/>
        <v>0</v>
      </c>
      <c r="R51" s="29">
        <f t="shared" si="10"/>
        <v>0.058181389</v>
      </c>
      <c r="S51" s="22" t="str">
        <f t="shared" si="11"/>
        <v/>
      </c>
      <c r="T51" s="23"/>
      <c r="U51" s="44" t="str">
        <f t="shared" si="49"/>
        <v/>
      </c>
      <c r="V51" s="25"/>
      <c r="W51" s="44" t="str">
        <f t="shared" si="50"/>
        <v/>
      </c>
      <c r="X51" s="54"/>
      <c r="Y51" s="22" t="str">
        <f t="shared" si="12"/>
        <v/>
      </c>
      <c r="Z51" s="23"/>
      <c r="AA51" s="44" t="str">
        <f t="shared" si="40"/>
        <v/>
      </c>
      <c r="AB51" s="25"/>
      <c r="AC51" s="44" t="str">
        <f t="shared" si="41"/>
        <v/>
      </c>
      <c r="AD51" s="54"/>
      <c r="AE51" s="22" t="str">
        <f t="shared" si="13"/>
        <v/>
      </c>
      <c r="AF51" s="23"/>
      <c r="AG51" s="44" t="str">
        <f t="shared" si="51"/>
        <v/>
      </c>
      <c r="AH51" s="25"/>
      <c r="AI51" s="44" t="str">
        <f t="shared" si="52"/>
        <v/>
      </c>
      <c r="AJ51" s="46">
        <v>0.0</v>
      </c>
      <c r="AK51" s="33"/>
      <c r="AL51" s="22">
        <v>1.0</v>
      </c>
      <c r="AM51" s="23" t="s">
        <v>186</v>
      </c>
      <c r="AN51" s="34">
        <v>46308.440422569445</v>
      </c>
      <c r="AO51" s="25" t="s">
        <v>69</v>
      </c>
      <c r="AP51" s="34">
        <v>46308.455875844906</v>
      </c>
      <c r="AQ51" s="29">
        <f t="shared" si="14"/>
        <v>22.25271666</v>
      </c>
      <c r="AR51" s="29">
        <f t="shared" si="15"/>
        <v>0</v>
      </c>
      <c r="AS51" s="29">
        <f t="shared" si="16"/>
        <v>0.3708786111</v>
      </c>
      <c r="AT51" s="22" t="str">
        <f t="shared" si="17"/>
        <v/>
      </c>
      <c r="AU51" s="23"/>
      <c r="AV51" s="44" t="str">
        <f t="shared" si="18"/>
        <v/>
      </c>
      <c r="AW51" s="25"/>
      <c r="AX51" s="44" t="str">
        <f t="shared" si="19"/>
        <v/>
      </c>
      <c r="AY51" s="54"/>
      <c r="AZ51" s="22" t="str">
        <f t="shared" si="20"/>
        <v/>
      </c>
      <c r="BA51" s="23"/>
      <c r="BB51" s="44" t="str">
        <f t="shared" si="21"/>
        <v/>
      </c>
      <c r="BC51" s="25"/>
      <c r="BD51" s="44" t="str">
        <f t="shared" si="22"/>
        <v/>
      </c>
      <c r="BE51" s="54"/>
      <c r="BF51" s="22" t="str">
        <f t="shared" si="23"/>
        <v/>
      </c>
      <c r="BG51" s="23"/>
      <c r="BH51" s="44" t="str">
        <f t="shared" si="54"/>
        <v/>
      </c>
      <c r="BI51" s="25"/>
      <c r="BJ51" s="44" t="str">
        <f t="shared" si="55"/>
        <v/>
      </c>
      <c r="BK51" s="46">
        <v>0.0</v>
      </c>
      <c r="BL51" s="33"/>
      <c r="BM51" s="22" t="str">
        <f t="shared" si="24"/>
        <v/>
      </c>
      <c r="BN51" s="23"/>
      <c r="BO51" s="44" t="str">
        <f t="shared" si="25"/>
        <v/>
      </c>
      <c r="BP51" s="25"/>
      <c r="BQ51" s="44" t="str">
        <f t="shared" si="26"/>
        <v/>
      </c>
      <c r="BR51" s="29" t="str">
        <f t="shared" si="27"/>
        <v/>
      </c>
      <c r="BS51" s="29">
        <f t="shared" si="28"/>
        <v>0</v>
      </c>
      <c r="BT51" s="29">
        <f t="shared" si="29"/>
        <v>0</v>
      </c>
      <c r="BU51" s="22" t="str">
        <f t="shared" si="30"/>
        <v/>
      </c>
      <c r="BV51" s="23"/>
      <c r="BW51" s="44" t="str">
        <f t="shared" si="31"/>
        <v/>
      </c>
      <c r="BX51" s="25"/>
      <c r="BY51" s="44" t="str">
        <f t="shared" si="32"/>
        <v/>
      </c>
      <c r="BZ51" s="54"/>
      <c r="CA51" s="22" t="str">
        <f t="shared" si="33"/>
        <v/>
      </c>
      <c r="CB51" s="23"/>
      <c r="CC51" s="44" t="str">
        <f t="shared" si="34"/>
        <v/>
      </c>
      <c r="CD51" s="25"/>
      <c r="CE51" s="44" t="str">
        <f t="shared" si="35"/>
        <v/>
      </c>
      <c r="CF51" s="54"/>
      <c r="CG51" s="22" t="str">
        <f t="shared" si="5"/>
        <v/>
      </c>
      <c r="CH51" s="23"/>
      <c r="CI51" s="44" t="str">
        <f t="shared" si="6"/>
        <v/>
      </c>
      <c r="CJ51" s="25"/>
      <c r="CK51" s="44" t="str">
        <f t="shared" si="7"/>
        <v/>
      </c>
      <c r="CL51" s="46">
        <v>0.0</v>
      </c>
    </row>
    <row r="52" ht="78.75" customHeight="1">
      <c r="A52" s="26">
        <f t="shared" ref="A52:A179" si="58">IF(C52="","",COUNTA($C$3:C52))</f>
        <v>50</v>
      </c>
      <c r="B52" s="46" t="s">
        <v>273</v>
      </c>
      <c r="C52" s="57" t="s">
        <v>283</v>
      </c>
      <c r="D52" s="27"/>
      <c r="E52" s="26"/>
      <c r="F52" s="26"/>
      <c r="G52" s="20">
        <v>3.0</v>
      </c>
      <c r="H52" s="20">
        <v>3.0</v>
      </c>
      <c r="I52" s="23" t="s">
        <v>72</v>
      </c>
      <c r="J52" s="33"/>
      <c r="K52" s="22">
        <f t="shared" si="53"/>
        <v>3</v>
      </c>
      <c r="L52" s="23" t="s">
        <v>104</v>
      </c>
      <c r="M52" s="34">
        <v>46308.4587802662</v>
      </c>
      <c r="N52" s="25" t="s">
        <v>69</v>
      </c>
      <c r="O52" s="34">
        <v>46308.640219884255</v>
      </c>
      <c r="P52" s="29">
        <f t="shared" si="8"/>
        <v>261.27305</v>
      </c>
      <c r="Q52" s="29">
        <f t="shared" si="9"/>
        <v>60</v>
      </c>
      <c r="R52" s="29">
        <f t="shared" si="10"/>
        <v>3.354550833</v>
      </c>
      <c r="S52" s="22" t="str">
        <f t="shared" si="11"/>
        <v/>
      </c>
      <c r="T52" s="23"/>
      <c r="U52" s="44" t="str">
        <f t="shared" si="49"/>
        <v/>
      </c>
      <c r="V52" s="25"/>
      <c r="W52" s="44" t="str">
        <f t="shared" si="50"/>
        <v/>
      </c>
      <c r="X52" s="54"/>
      <c r="Y52" s="22" t="str">
        <f t="shared" si="12"/>
        <v/>
      </c>
      <c r="Z52" s="23"/>
      <c r="AA52" s="44" t="str">
        <f t="shared" si="40"/>
        <v/>
      </c>
      <c r="AB52" s="25"/>
      <c r="AC52" s="44" t="str">
        <f t="shared" si="41"/>
        <v/>
      </c>
      <c r="AD52" s="54"/>
      <c r="AE52" s="22" t="str">
        <f t="shared" si="13"/>
        <v/>
      </c>
      <c r="AF52" s="23"/>
      <c r="AG52" s="44" t="str">
        <f t="shared" si="51"/>
        <v/>
      </c>
      <c r="AH52" s="25"/>
      <c r="AI52" s="44" t="str">
        <f t="shared" si="52"/>
        <v/>
      </c>
      <c r="AJ52" s="46">
        <v>0.0</v>
      </c>
      <c r="AK52" s="33"/>
      <c r="AL52" s="22">
        <v>3.0</v>
      </c>
      <c r="AM52" s="23" t="s">
        <v>104</v>
      </c>
      <c r="AN52" s="34">
        <v>46309.41438311343</v>
      </c>
      <c r="AO52" s="25" t="s">
        <v>69</v>
      </c>
      <c r="AP52" s="34">
        <v>46309.56022090278</v>
      </c>
      <c r="AQ52" s="29">
        <f t="shared" si="14"/>
        <v>210.0064167</v>
      </c>
      <c r="AR52" s="29">
        <f t="shared" si="15"/>
        <v>60</v>
      </c>
      <c r="AS52" s="29">
        <f t="shared" si="16"/>
        <v>2.500106944</v>
      </c>
      <c r="AT52" s="22" t="str">
        <f t="shared" si="17"/>
        <v/>
      </c>
      <c r="AU52" s="23"/>
      <c r="AV52" s="44" t="str">
        <f t="shared" si="18"/>
        <v/>
      </c>
      <c r="AW52" s="25"/>
      <c r="AX52" s="44" t="str">
        <f t="shared" si="19"/>
        <v/>
      </c>
      <c r="AY52" s="54"/>
      <c r="AZ52" s="22" t="str">
        <f t="shared" si="20"/>
        <v/>
      </c>
      <c r="BA52" s="23"/>
      <c r="BB52" s="44" t="str">
        <f t="shared" si="21"/>
        <v/>
      </c>
      <c r="BC52" s="25"/>
      <c r="BD52" s="44" t="str">
        <f t="shared" si="22"/>
        <v/>
      </c>
      <c r="BE52" s="54"/>
      <c r="BF52" s="22" t="str">
        <f t="shared" si="23"/>
        <v/>
      </c>
      <c r="BG52" s="23"/>
      <c r="BH52" s="44" t="str">
        <f t="shared" si="54"/>
        <v/>
      </c>
      <c r="BI52" s="25"/>
      <c r="BJ52" s="44" t="str">
        <f t="shared" si="55"/>
        <v/>
      </c>
      <c r="BK52" s="46">
        <v>0.0</v>
      </c>
      <c r="BL52" s="33"/>
      <c r="BM52" s="22" t="str">
        <f t="shared" si="24"/>
        <v/>
      </c>
      <c r="BN52" s="23"/>
      <c r="BO52" s="44" t="str">
        <f t="shared" si="25"/>
        <v/>
      </c>
      <c r="BP52" s="25"/>
      <c r="BQ52" s="44" t="str">
        <f t="shared" si="26"/>
        <v/>
      </c>
      <c r="BR52" s="29" t="str">
        <f t="shared" si="27"/>
        <v/>
      </c>
      <c r="BS52" s="29">
        <f t="shared" si="28"/>
        <v>0</v>
      </c>
      <c r="BT52" s="29">
        <f t="shared" si="29"/>
        <v>0</v>
      </c>
      <c r="BU52" s="22" t="str">
        <f t="shared" si="30"/>
        <v/>
      </c>
      <c r="BV52" s="23"/>
      <c r="BW52" s="44" t="str">
        <f t="shared" si="31"/>
        <v/>
      </c>
      <c r="BX52" s="25"/>
      <c r="BY52" s="44" t="str">
        <f t="shared" si="32"/>
        <v/>
      </c>
      <c r="BZ52" s="54"/>
      <c r="CA52" s="22" t="str">
        <f t="shared" si="33"/>
        <v/>
      </c>
      <c r="CB52" s="23"/>
      <c r="CC52" s="44" t="str">
        <f t="shared" si="34"/>
        <v/>
      </c>
      <c r="CD52" s="25"/>
      <c r="CE52" s="44" t="str">
        <f t="shared" si="35"/>
        <v/>
      </c>
      <c r="CF52" s="54"/>
      <c r="CG52" s="22" t="str">
        <f t="shared" si="5"/>
        <v/>
      </c>
      <c r="CH52" s="23"/>
      <c r="CI52" s="44" t="str">
        <f t="shared" si="6"/>
        <v/>
      </c>
      <c r="CJ52" s="25"/>
      <c r="CK52" s="44" t="str">
        <f t="shared" si="7"/>
        <v/>
      </c>
      <c r="CL52" s="46">
        <v>0.0</v>
      </c>
    </row>
    <row r="53" ht="162.0" customHeight="1">
      <c r="A53" s="26">
        <f t="shared" si="58"/>
        <v>51</v>
      </c>
      <c r="B53" s="46" t="s">
        <v>273</v>
      </c>
      <c r="C53" s="57" t="s">
        <v>286</v>
      </c>
      <c r="D53" s="27"/>
      <c r="E53" s="26"/>
      <c r="F53" s="26"/>
      <c r="G53" s="20">
        <v>3.0</v>
      </c>
      <c r="H53" s="20">
        <v>1.0</v>
      </c>
      <c r="I53" s="23" t="s">
        <v>72</v>
      </c>
      <c r="J53" s="33"/>
      <c r="K53" s="22">
        <f t="shared" si="53"/>
        <v>3</v>
      </c>
      <c r="L53" s="23" t="s">
        <v>176</v>
      </c>
      <c r="M53" s="34">
        <v>46307.559271226855</v>
      </c>
      <c r="N53" s="25" t="s">
        <v>69</v>
      </c>
      <c r="O53" s="34">
        <v>46308.66555549769</v>
      </c>
      <c r="P53" s="29">
        <f t="shared" si="8"/>
        <v>1593.04935</v>
      </c>
      <c r="Q53" s="29">
        <f t="shared" si="9"/>
        <v>1020</v>
      </c>
      <c r="R53" s="29">
        <f t="shared" si="10"/>
        <v>9.5508225</v>
      </c>
      <c r="S53" s="22" t="str">
        <f t="shared" si="11"/>
        <v/>
      </c>
      <c r="T53" s="23"/>
      <c r="U53" s="44" t="str">
        <f t="shared" si="49"/>
        <v/>
      </c>
      <c r="V53" s="25"/>
      <c r="W53" s="44" t="str">
        <f t="shared" si="50"/>
        <v/>
      </c>
      <c r="X53" s="54"/>
      <c r="Y53" s="22" t="str">
        <f t="shared" si="12"/>
        <v/>
      </c>
      <c r="Z53" s="23"/>
      <c r="AA53" s="44" t="str">
        <f t="shared" si="40"/>
        <v/>
      </c>
      <c r="AB53" s="25"/>
      <c r="AC53" s="44" t="str">
        <f t="shared" si="41"/>
        <v/>
      </c>
      <c r="AD53" s="54"/>
      <c r="AE53" s="22" t="str">
        <f t="shared" si="13"/>
        <v/>
      </c>
      <c r="AF53" s="23"/>
      <c r="AG53" s="44" t="str">
        <f t="shared" si="51"/>
        <v/>
      </c>
      <c r="AH53" s="25"/>
      <c r="AI53" s="44" t="str">
        <f t="shared" si="52"/>
        <v/>
      </c>
      <c r="AJ53" s="46">
        <v>0.0</v>
      </c>
      <c r="AK53" s="33"/>
      <c r="AL53" s="22">
        <v>1.0</v>
      </c>
      <c r="AM53" s="23" t="s">
        <v>289</v>
      </c>
      <c r="AN53" s="44">
        <f>if(AM53&lt;&gt;"", if(AN53="",NOW(),AN53),"")</f>
        <v>46311.59025</v>
      </c>
      <c r="AO53" s="25" t="s">
        <v>69</v>
      </c>
      <c r="AP53" s="44">
        <f>if(AO53="Done", if(AP53="",NOW(),AP53),"")</f>
        <v>46311.61735</v>
      </c>
      <c r="AQ53" s="29">
        <f t="shared" si="14"/>
        <v>39.02885</v>
      </c>
      <c r="AR53" s="29">
        <f t="shared" si="15"/>
        <v>0</v>
      </c>
      <c r="AS53" s="29">
        <f t="shared" si="16"/>
        <v>0.6504808333</v>
      </c>
      <c r="AT53" s="22" t="str">
        <f t="shared" si="17"/>
        <v/>
      </c>
      <c r="AU53" s="23"/>
      <c r="AV53" s="44" t="str">
        <f t="shared" si="18"/>
        <v/>
      </c>
      <c r="AW53" s="25"/>
      <c r="AX53" s="44" t="str">
        <f t="shared" si="19"/>
        <v/>
      </c>
      <c r="AY53" s="54"/>
      <c r="AZ53" s="22" t="str">
        <f t="shared" si="20"/>
        <v/>
      </c>
      <c r="BA53" s="23"/>
      <c r="BB53" s="44" t="str">
        <f t="shared" si="21"/>
        <v/>
      </c>
      <c r="BC53" s="25"/>
      <c r="BD53" s="44" t="str">
        <f t="shared" si="22"/>
        <v/>
      </c>
      <c r="BE53" s="54"/>
      <c r="BF53" s="22" t="str">
        <f t="shared" si="23"/>
        <v/>
      </c>
      <c r="BG53" s="23"/>
      <c r="BH53" s="44" t="str">
        <f t="shared" si="54"/>
        <v/>
      </c>
      <c r="BI53" s="25"/>
      <c r="BJ53" s="44" t="str">
        <f t="shared" si="55"/>
        <v/>
      </c>
      <c r="BK53" s="46">
        <v>0.0</v>
      </c>
      <c r="BL53" s="33"/>
      <c r="BM53" s="22" t="str">
        <f t="shared" si="24"/>
        <v/>
      </c>
      <c r="BN53" s="23"/>
      <c r="BO53" s="44" t="str">
        <f t="shared" si="25"/>
        <v/>
      </c>
      <c r="BP53" s="25"/>
      <c r="BQ53" s="44" t="str">
        <f t="shared" si="26"/>
        <v/>
      </c>
      <c r="BR53" s="29" t="str">
        <f t="shared" si="27"/>
        <v/>
      </c>
      <c r="BS53" s="29">
        <f t="shared" si="28"/>
        <v>0</v>
      </c>
      <c r="BT53" s="29">
        <f t="shared" si="29"/>
        <v>0</v>
      </c>
      <c r="BU53" s="22" t="str">
        <f t="shared" si="30"/>
        <v/>
      </c>
      <c r="BV53" s="23"/>
      <c r="BW53" s="44" t="str">
        <f t="shared" si="31"/>
        <v/>
      </c>
      <c r="BX53" s="25"/>
      <c r="BY53" s="44" t="str">
        <f t="shared" si="32"/>
        <v/>
      </c>
      <c r="BZ53" s="54"/>
      <c r="CA53" s="22" t="str">
        <f t="shared" si="33"/>
        <v/>
      </c>
      <c r="CB53" s="23"/>
      <c r="CC53" s="44" t="str">
        <f t="shared" si="34"/>
        <v/>
      </c>
      <c r="CD53" s="25"/>
      <c r="CE53" s="44" t="str">
        <f t="shared" si="35"/>
        <v/>
      </c>
      <c r="CF53" s="54"/>
      <c r="CG53" s="22" t="str">
        <f t="shared" si="5"/>
        <v/>
      </c>
      <c r="CH53" s="23"/>
      <c r="CI53" s="44" t="str">
        <f t="shared" si="6"/>
        <v/>
      </c>
      <c r="CJ53" s="25"/>
      <c r="CK53" s="44" t="str">
        <f t="shared" si="7"/>
        <v/>
      </c>
      <c r="CL53" s="46">
        <v>0.0</v>
      </c>
    </row>
    <row r="54" ht="159.75" customHeight="1">
      <c r="A54" s="26">
        <f t="shared" si="58"/>
        <v>52</v>
      </c>
      <c r="B54" s="46" t="s">
        <v>290</v>
      </c>
      <c r="C54" s="57" t="s">
        <v>291</v>
      </c>
      <c r="D54" s="27"/>
      <c r="E54" s="26"/>
      <c r="F54" s="26"/>
      <c r="G54" s="20">
        <v>1.0</v>
      </c>
      <c r="H54" s="20">
        <v>2.0</v>
      </c>
      <c r="I54" s="23" t="s">
        <v>72</v>
      </c>
      <c r="J54" s="33"/>
      <c r="K54" s="22">
        <f t="shared" si="53"/>
        <v>1</v>
      </c>
      <c r="L54" s="23" t="s">
        <v>73</v>
      </c>
      <c r="M54" s="34">
        <v>46309.61325679398</v>
      </c>
      <c r="N54" s="25" t="s">
        <v>69</v>
      </c>
      <c r="O54" s="34">
        <v>46310.39257265047</v>
      </c>
      <c r="P54" s="29">
        <f t="shared" si="8"/>
        <v>1122.214833</v>
      </c>
      <c r="Q54" s="29">
        <f t="shared" si="9"/>
        <v>960</v>
      </c>
      <c r="R54" s="29">
        <f t="shared" si="10"/>
        <v>2.703580556</v>
      </c>
      <c r="S54" s="22" t="str">
        <f t="shared" si="11"/>
        <v/>
      </c>
      <c r="T54" s="23"/>
      <c r="U54" s="44" t="str">
        <f t="shared" si="49"/>
        <v/>
      </c>
      <c r="V54" s="25"/>
      <c r="W54" s="44" t="str">
        <f t="shared" si="50"/>
        <v/>
      </c>
      <c r="X54" s="54"/>
      <c r="Y54" s="22" t="str">
        <f t="shared" si="12"/>
        <v/>
      </c>
      <c r="Z54" s="23"/>
      <c r="AA54" s="44" t="str">
        <f t="shared" si="40"/>
        <v/>
      </c>
      <c r="AB54" s="25"/>
      <c r="AC54" s="44" t="str">
        <f t="shared" si="41"/>
        <v/>
      </c>
      <c r="AD54" s="54"/>
      <c r="AE54" s="22" t="str">
        <f t="shared" si="13"/>
        <v/>
      </c>
      <c r="AF54" s="23"/>
      <c r="AG54" s="44" t="str">
        <f t="shared" si="51"/>
        <v/>
      </c>
      <c r="AH54" s="25"/>
      <c r="AI54" s="44" t="str">
        <f t="shared" si="52"/>
        <v/>
      </c>
      <c r="AJ54" s="46">
        <v>0.0</v>
      </c>
      <c r="AK54" s="33"/>
      <c r="AL54" s="22">
        <v>2.0</v>
      </c>
      <c r="AM54" s="23" t="s">
        <v>73</v>
      </c>
      <c r="AN54" s="34">
        <v>46310.39483542824</v>
      </c>
      <c r="AO54" s="25" t="s">
        <v>69</v>
      </c>
      <c r="AP54" s="34">
        <v>46310.640061134254</v>
      </c>
      <c r="AQ54" s="29">
        <f t="shared" si="14"/>
        <v>353.1250167</v>
      </c>
      <c r="AR54" s="29">
        <f t="shared" si="15"/>
        <v>60</v>
      </c>
      <c r="AS54" s="29">
        <f t="shared" si="16"/>
        <v>4.885416944</v>
      </c>
      <c r="AT54" s="22" t="str">
        <f t="shared" si="17"/>
        <v/>
      </c>
      <c r="AU54" s="23"/>
      <c r="AV54" s="44" t="str">
        <f t="shared" si="18"/>
        <v/>
      </c>
      <c r="AW54" s="25"/>
      <c r="AX54" s="44" t="str">
        <f t="shared" si="19"/>
        <v/>
      </c>
      <c r="AY54" s="54"/>
      <c r="AZ54" s="22" t="str">
        <f t="shared" si="20"/>
        <v/>
      </c>
      <c r="BA54" s="23"/>
      <c r="BB54" s="44" t="str">
        <f t="shared" si="21"/>
        <v/>
      </c>
      <c r="BC54" s="25"/>
      <c r="BD54" s="44" t="str">
        <f t="shared" si="22"/>
        <v/>
      </c>
      <c r="BE54" s="54"/>
      <c r="BF54" s="22" t="str">
        <f t="shared" si="23"/>
        <v/>
      </c>
      <c r="BG54" s="23"/>
      <c r="BH54" s="44" t="str">
        <f t="shared" si="54"/>
        <v/>
      </c>
      <c r="BI54" s="25"/>
      <c r="BJ54" s="44" t="str">
        <f t="shared" si="55"/>
        <v/>
      </c>
      <c r="BK54" s="46">
        <v>0.0</v>
      </c>
      <c r="BL54" s="33"/>
      <c r="BM54" s="22" t="str">
        <f t="shared" si="24"/>
        <v/>
      </c>
      <c r="BN54" s="23"/>
      <c r="BO54" s="44" t="str">
        <f t="shared" si="25"/>
        <v/>
      </c>
      <c r="BP54" s="25"/>
      <c r="BQ54" s="44" t="str">
        <f t="shared" si="26"/>
        <v/>
      </c>
      <c r="BR54" s="29" t="str">
        <f t="shared" si="27"/>
        <v/>
      </c>
      <c r="BS54" s="29">
        <f t="shared" si="28"/>
        <v>0</v>
      </c>
      <c r="BT54" s="29">
        <f t="shared" si="29"/>
        <v>0</v>
      </c>
      <c r="BU54" s="22" t="str">
        <f t="shared" si="30"/>
        <v/>
      </c>
      <c r="BV54" s="23"/>
      <c r="BW54" s="44" t="str">
        <f t="shared" si="31"/>
        <v/>
      </c>
      <c r="BX54" s="25"/>
      <c r="BY54" s="44" t="str">
        <f t="shared" si="32"/>
        <v/>
      </c>
      <c r="BZ54" s="54"/>
      <c r="CA54" s="22" t="str">
        <f t="shared" si="33"/>
        <v/>
      </c>
      <c r="CB54" s="23"/>
      <c r="CC54" s="44" t="str">
        <f t="shared" si="34"/>
        <v/>
      </c>
      <c r="CD54" s="25"/>
      <c r="CE54" s="44" t="str">
        <f t="shared" si="35"/>
        <v/>
      </c>
      <c r="CF54" s="54"/>
      <c r="CG54" s="22" t="str">
        <f t="shared" si="5"/>
        <v/>
      </c>
      <c r="CH54" s="23"/>
      <c r="CI54" s="44" t="str">
        <f t="shared" si="6"/>
        <v/>
      </c>
      <c r="CJ54" s="25"/>
      <c r="CK54" s="44" t="str">
        <f t="shared" si="7"/>
        <v/>
      </c>
      <c r="CL54" s="46">
        <v>0.0</v>
      </c>
    </row>
    <row r="55" ht="151.5" customHeight="1">
      <c r="A55" s="26">
        <f t="shared" si="58"/>
        <v>53</v>
      </c>
      <c r="B55" s="46" t="s">
        <v>290</v>
      </c>
      <c r="C55" s="27" t="s">
        <v>292</v>
      </c>
      <c r="D55" s="27"/>
      <c r="E55" s="26"/>
      <c r="F55" s="26"/>
      <c r="G55" s="20">
        <v>2.0</v>
      </c>
      <c r="H55" s="20">
        <v>2.0</v>
      </c>
      <c r="I55" s="23" t="s">
        <v>72</v>
      </c>
      <c r="J55" s="33"/>
      <c r="K55" s="22">
        <f t="shared" si="53"/>
        <v>2</v>
      </c>
      <c r="L55" s="23" t="s">
        <v>269</v>
      </c>
      <c r="M55" s="34">
        <v>46308.63564364583</v>
      </c>
      <c r="N55" s="25" t="s">
        <v>69</v>
      </c>
      <c r="O55" s="34">
        <v>46309.411156284725</v>
      </c>
      <c r="P55" s="29">
        <f t="shared" si="8"/>
        <v>1116.7382</v>
      </c>
      <c r="Q55" s="29">
        <f t="shared" si="9"/>
        <v>960</v>
      </c>
      <c r="R55" s="29">
        <f t="shared" si="10"/>
        <v>2.612303333</v>
      </c>
      <c r="S55" s="22" t="str">
        <f t="shared" si="11"/>
        <v/>
      </c>
      <c r="T55" s="23"/>
      <c r="U55" s="44" t="str">
        <f t="shared" si="49"/>
        <v/>
      </c>
      <c r="V55" s="25"/>
      <c r="W55" s="44" t="str">
        <f t="shared" si="50"/>
        <v/>
      </c>
      <c r="X55" s="54"/>
      <c r="Y55" s="22" t="str">
        <f t="shared" si="12"/>
        <v/>
      </c>
      <c r="Z55" s="23"/>
      <c r="AA55" s="44" t="str">
        <f t="shared" si="40"/>
        <v/>
      </c>
      <c r="AB55" s="25"/>
      <c r="AC55" s="44" t="str">
        <f t="shared" si="41"/>
        <v/>
      </c>
      <c r="AD55" s="54"/>
      <c r="AE55" s="22" t="str">
        <f t="shared" si="13"/>
        <v/>
      </c>
      <c r="AF55" s="23"/>
      <c r="AG55" s="44" t="str">
        <f t="shared" si="51"/>
        <v/>
      </c>
      <c r="AH55" s="25"/>
      <c r="AI55" s="44" t="str">
        <f t="shared" si="52"/>
        <v/>
      </c>
      <c r="AJ55" s="46">
        <v>0.0</v>
      </c>
      <c r="AK55" s="33"/>
      <c r="AL55" s="22">
        <v>2.0</v>
      </c>
      <c r="AM55" s="23" t="s">
        <v>269</v>
      </c>
      <c r="AN55" s="34">
        <v>46309.421382870365</v>
      </c>
      <c r="AO55" s="25" t="s">
        <v>69</v>
      </c>
      <c r="AP55" s="34">
        <v>46309.559633287034</v>
      </c>
      <c r="AQ55" s="29">
        <f t="shared" si="14"/>
        <v>199.0806</v>
      </c>
      <c r="AR55" s="29">
        <f t="shared" si="15"/>
        <v>60</v>
      </c>
      <c r="AS55" s="29">
        <f t="shared" si="16"/>
        <v>2.31801</v>
      </c>
      <c r="AT55" s="22" t="str">
        <f t="shared" si="17"/>
        <v/>
      </c>
      <c r="AU55" s="23"/>
      <c r="AV55" s="44" t="str">
        <f t="shared" si="18"/>
        <v/>
      </c>
      <c r="AW55" s="25"/>
      <c r="AX55" s="44" t="str">
        <f t="shared" si="19"/>
        <v/>
      </c>
      <c r="AY55" s="54"/>
      <c r="AZ55" s="22" t="str">
        <f t="shared" si="20"/>
        <v/>
      </c>
      <c r="BA55" s="23"/>
      <c r="BB55" s="44" t="str">
        <f t="shared" si="21"/>
        <v/>
      </c>
      <c r="BC55" s="25"/>
      <c r="BD55" s="44" t="str">
        <f t="shared" si="22"/>
        <v/>
      </c>
      <c r="BE55" s="54"/>
      <c r="BF55" s="22" t="str">
        <f t="shared" si="23"/>
        <v/>
      </c>
      <c r="BG55" s="23"/>
      <c r="BH55" s="44" t="str">
        <f t="shared" si="54"/>
        <v/>
      </c>
      <c r="BI55" s="25"/>
      <c r="BJ55" s="44" t="str">
        <f t="shared" si="55"/>
        <v/>
      </c>
      <c r="BK55" s="46">
        <v>0.0</v>
      </c>
      <c r="BL55" s="33"/>
      <c r="BM55" s="22" t="str">
        <f t="shared" si="24"/>
        <v/>
      </c>
      <c r="BN55" s="23"/>
      <c r="BO55" s="44" t="str">
        <f t="shared" si="25"/>
        <v/>
      </c>
      <c r="BP55" s="25"/>
      <c r="BQ55" s="44" t="str">
        <f t="shared" si="26"/>
        <v/>
      </c>
      <c r="BR55" s="29" t="str">
        <f t="shared" si="27"/>
        <v/>
      </c>
      <c r="BS55" s="29">
        <f t="shared" si="28"/>
        <v>0</v>
      </c>
      <c r="BT55" s="29">
        <f t="shared" si="29"/>
        <v>0</v>
      </c>
      <c r="BU55" s="22" t="str">
        <f t="shared" si="30"/>
        <v/>
      </c>
      <c r="BV55" s="23"/>
      <c r="BW55" s="44" t="str">
        <f t="shared" si="31"/>
        <v/>
      </c>
      <c r="BX55" s="25"/>
      <c r="BY55" s="44" t="str">
        <f t="shared" si="32"/>
        <v/>
      </c>
      <c r="BZ55" s="54"/>
      <c r="CA55" s="22" t="str">
        <f t="shared" si="33"/>
        <v/>
      </c>
      <c r="CB55" s="23"/>
      <c r="CC55" s="44" t="str">
        <f t="shared" si="34"/>
        <v/>
      </c>
      <c r="CD55" s="25"/>
      <c r="CE55" s="44" t="str">
        <f t="shared" si="35"/>
        <v/>
      </c>
      <c r="CF55" s="54"/>
      <c r="CG55" s="22" t="str">
        <f t="shared" si="5"/>
        <v/>
      </c>
      <c r="CH55" s="23"/>
      <c r="CI55" s="44" t="str">
        <f t="shared" si="6"/>
        <v/>
      </c>
      <c r="CJ55" s="25"/>
      <c r="CK55" s="44" t="str">
        <f t="shared" si="7"/>
        <v/>
      </c>
      <c r="CL55" s="46">
        <v>0.0</v>
      </c>
    </row>
    <row r="56" ht="119.25" customHeight="1">
      <c r="A56" s="26">
        <f t="shared" si="58"/>
        <v>54</v>
      </c>
      <c r="B56" s="46" t="s">
        <v>294</v>
      </c>
      <c r="C56" s="27" t="s">
        <v>295</v>
      </c>
      <c r="D56" s="27"/>
      <c r="E56" s="26"/>
      <c r="F56" s="26"/>
      <c r="G56" s="20"/>
      <c r="H56" s="20"/>
      <c r="I56" s="23"/>
      <c r="J56" s="33"/>
      <c r="K56" s="22" t="str">
        <f t="shared" si="53"/>
        <v/>
      </c>
      <c r="L56" s="23"/>
      <c r="M56" s="44" t="str">
        <f t="shared" ref="M56:M57" si="59">if(L56&lt;&gt;"", if(M56="",NOW(),M56),"")</f>
        <v/>
      </c>
      <c r="N56" s="25"/>
      <c r="O56" s="44" t="str">
        <f t="shared" ref="O56:O57" si="60">if(N56="Done", if(O56="",NOW(),O56),"")</f>
        <v/>
      </c>
      <c r="P56" s="29" t="str">
        <f t="shared" si="8"/>
        <v/>
      </c>
      <c r="Q56" s="29">
        <f t="shared" si="9"/>
        <v>0</v>
      </c>
      <c r="R56" s="29">
        <f t="shared" si="10"/>
        <v>0</v>
      </c>
      <c r="S56" s="22" t="str">
        <f t="shared" si="11"/>
        <v/>
      </c>
      <c r="T56" s="23"/>
      <c r="U56" s="44" t="str">
        <f t="shared" si="49"/>
        <v/>
      </c>
      <c r="V56" s="25"/>
      <c r="W56" s="44" t="str">
        <f t="shared" si="50"/>
        <v/>
      </c>
      <c r="X56" s="54"/>
      <c r="Y56" s="22" t="str">
        <f t="shared" si="12"/>
        <v/>
      </c>
      <c r="Z56" s="23"/>
      <c r="AA56" s="44" t="str">
        <f t="shared" si="40"/>
        <v/>
      </c>
      <c r="AB56" s="25"/>
      <c r="AC56" s="44" t="str">
        <f t="shared" si="41"/>
        <v/>
      </c>
      <c r="AD56" s="54"/>
      <c r="AE56" s="22" t="str">
        <f t="shared" si="13"/>
        <v/>
      </c>
      <c r="AF56" s="23"/>
      <c r="AG56" s="44" t="str">
        <f t="shared" si="51"/>
        <v/>
      </c>
      <c r="AH56" s="25"/>
      <c r="AI56" s="44" t="str">
        <f t="shared" si="52"/>
        <v/>
      </c>
      <c r="AJ56" s="46">
        <v>0.0</v>
      </c>
      <c r="AK56" s="33"/>
      <c r="AL56" s="22"/>
      <c r="AM56" s="23"/>
      <c r="AN56" s="44" t="str">
        <f>if(AM56&lt;&gt;"", if(AN56="",NOW(),AN56),"")</f>
        <v/>
      </c>
      <c r="AO56" s="25"/>
      <c r="AP56" s="44" t="str">
        <f>if(AO56="Done", if(AP56="",NOW(),AP56),"")</f>
        <v/>
      </c>
      <c r="AQ56" s="29" t="str">
        <f t="shared" si="14"/>
        <v/>
      </c>
      <c r="AR56" s="29">
        <f t="shared" si="15"/>
        <v>0</v>
      </c>
      <c r="AS56" s="29">
        <f t="shared" si="16"/>
        <v>0</v>
      </c>
      <c r="AT56" s="22" t="str">
        <f t="shared" si="17"/>
        <v/>
      </c>
      <c r="AU56" s="23"/>
      <c r="AV56" s="44" t="str">
        <f t="shared" si="18"/>
        <v/>
      </c>
      <c r="AW56" s="25"/>
      <c r="AX56" s="44" t="str">
        <f t="shared" si="19"/>
        <v/>
      </c>
      <c r="AY56" s="54"/>
      <c r="AZ56" s="22" t="str">
        <f t="shared" si="20"/>
        <v/>
      </c>
      <c r="BA56" s="23"/>
      <c r="BB56" s="44" t="str">
        <f t="shared" si="21"/>
        <v/>
      </c>
      <c r="BC56" s="25"/>
      <c r="BD56" s="44" t="str">
        <f t="shared" si="22"/>
        <v/>
      </c>
      <c r="BE56" s="54"/>
      <c r="BF56" s="22" t="str">
        <f t="shared" si="23"/>
        <v/>
      </c>
      <c r="BG56" s="23"/>
      <c r="BH56" s="44" t="str">
        <f t="shared" si="54"/>
        <v/>
      </c>
      <c r="BI56" s="25"/>
      <c r="BJ56" s="44" t="str">
        <f t="shared" si="55"/>
        <v/>
      </c>
      <c r="BK56" s="46">
        <v>0.0</v>
      </c>
      <c r="BL56" s="33"/>
      <c r="BM56" s="22" t="str">
        <f t="shared" si="24"/>
        <v/>
      </c>
      <c r="BN56" s="23"/>
      <c r="BO56" s="44" t="str">
        <f t="shared" si="25"/>
        <v/>
      </c>
      <c r="BP56" s="25"/>
      <c r="BQ56" s="44" t="str">
        <f t="shared" si="26"/>
        <v/>
      </c>
      <c r="BR56" s="29" t="str">
        <f t="shared" si="27"/>
        <v/>
      </c>
      <c r="BS56" s="29">
        <f t="shared" si="28"/>
        <v>0</v>
      </c>
      <c r="BT56" s="29">
        <f t="shared" si="29"/>
        <v>0</v>
      </c>
      <c r="BU56" s="22" t="str">
        <f t="shared" si="30"/>
        <v/>
      </c>
      <c r="BV56" s="23"/>
      <c r="BW56" s="44" t="str">
        <f t="shared" si="31"/>
        <v/>
      </c>
      <c r="BX56" s="25"/>
      <c r="BY56" s="44" t="str">
        <f t="shared" si="32"/>
        <v/>
      </c>
      <c r="BZ56" s="54"/>
      <c r="CA56" s="22" t="str">
        <f t="shared" si="33"/>
        <v/>
      </c>
      <c r="CB56" s="23"/>
      <c r="CC56" s="44" t="str">
        <f t="shared" si="34"/>
        <v/>
      </c>
      <c r="CD56" s="25"/>
      <c r="CE56" s="44" t="str">
        <f t="shared" si="35"/>
        <v/>
      </c>
      <c r="CF56" s="54"/>
      <c r="CG56" s="22" t="str">
        <f t="shared" si="5"/>
        <v/>
      </c>
      <c r="CH56" s="23"/>
      <c r="CI56" s="44" t="str">
        <f t="shared" si="6"/>
        <v/>
      </c>
      <c r="CJ56" s="25"/>
      <c r="CK56" s="44" t="str">
        <f t="shared" si="7"/>
        <v/>
      </c>
      <c r="CL56" s="46">
        <v>0.0</v>
      </c>
    </row>
    <row r="57" ht="115.5" customHeight="1">
      <c r="A57" s="26">
        <f t="shared" si="58"/>
        <v>55</v>
      </c>
      <c r="B57" s="46" t="s">
        <v>297</v>
      </c>
      <c r="C57" s="27" t="s">
        <v>298</v>
      </c>
      <c r="D57" s="27"/>
      <c r="E57" s="26"/>
      <c r="F57" s="26"/>
      <c r="G57" s="20">
        <v>1.0</v>
      </c>
      <c r="H57" s="20">
        <v>1.0</v>
      </c>
      <c r="I57" s="23" t="s">
        <v>72</v>
      </c>
      <c r="J57" s="33"/>
      <c r="K57" s="22">
        <f t="shared" si="53"/>
        <v>1</v>
      </c>
      <c r="L57" s="23"/>
      <c r="M57" s="44" t="str">
        <f t="shared" si="59"/>
        <v/>
      </c>
      <c r="N57" s="25"/>
      <c r="O57" s="44" t="str">
        <f t="shared" si="60"/>
        <v/>
      </c>
      <c r="P57" s="29" t="str">
        <f t="shared" si="8"/>
        <v/>
      </c>
      <c r="Q57" s="29">
        <f t="shared" si="9"/>
        <v>0</v>
      </c>
      <c r="R57" s="29">
        <f t="shared" si="10"/>
        <v>0</v>
      </c>
      <c r="S57" s="22" t="str">
        <f t="shared" si="11"/>
        <v/>
      </c>
      <c r="T57" s="23"/>
      <c r="U57" s="44" t="str">
        <f t="shared" si="49"/>
        <v/>
      </c>
      <c r="V57" s="25"/>
      <c r="W57" s="44" t="str">
        <f t="shared" si="50"/>
        <v/>
      </c>
      <c r="X57" s="54"/>
      <c r="Y57" s="22" t="str">
        <f t="shared" si="12"/>
        <v/>
      </c>
      <c r="Z57" s="23"/>
      <c r="AA57" s="44" t="str">
        <f t="shared" si="40"/>
        <v/>
      </c>
      <c r="AB57" s="25"/>
      <c r="AC57" s="44" t="str">
        <f t="shared" si="41"/>
        <v/>
      </c>
      <c r="AD57" s="54"/>
      <c r="AE57" s="22" t="str">
        <f t="shared" si="13"/>
        <v/>
      </c>
      <c r="AF57" s="23"/>
      <c r="AG57" s="44" t="str">
        <f t="shared" si="51"/>
        <v/>
      </c>
      <c r="AH57" s="25"/>
      <c r="AI57" s="44" t="str">
        <f t="shared" si="52"/>
        <v/>
      </c>
      <c r="AJ57" s="46">
        <v>0.0</v>
      </c>
      <c r="AK57" s="33"/>
      <c r="AL57" s="22">
        <v>1.0</v>
      </c>
      <c r="AM57" s="23"/>
      <c r="AN57" s="34"/>
      <c r="AO57" s="25"/>
      <c r="AP57" s="34"/>
      <c r="AQ57" s="29" t="str">
        <f t="shared" si="14"/>
        <v/>
      </c>
      <c r="AR57" s="29">
        <f t="shared" si="15"/>
        <v>0</v>
      </c>
      <c r="AS57" s="29">
        <f t="shared" si="16"/>
        <v>0</v>
      </c>
      <c r="AT57" s="22" t="str">
        <f t="shared" si="17"/>
        <v/>
      </c>
      <c r="AU57" s="23"/>
      <c r="AV57" s="44" t="str">
        <f t="shared" si="18"/>
        <v/>
      </c>
      <c r="AW57" s="25"/>
      <c r="AX57" s="44" t="str">
        <f t="shared" si="19"/>
        <v/>
      </c>
      <c r="AY57" s="35"/>
      <c r="AZ57" s="22" t="str">
        <f t="shared" si="20"/>
        <v/>
      </c>
      <c r="BA57" s="23"/>
      <c r="BB57" s="44" t="str">
        <f t="shared" si="21"/>
        <v/>
      </c>
      <c r="BC57" s="25"/>
      <c r="BD57" s="44" t="str">
        <f t="shared" si="22"/>
        <v/>
      </c>
      <c r="BE57" s="54"/>
      <c r="BF57" s="22" t="str">
        <f t="shared" si="23"/>
        <v/>
      </c>
      <c r="BG57" s="23"/>
      <c r="BH57" s="34"/>
      <c r="BI57" s="25"/>
      <c r="BJ57" s="34"/>
      <c r="BK57" s="46">
        <v>0.0</v>
      </c>
      <c r="BL57" s="33"/>
      <c r="BM57" s="22" t="str">
        <f t="shared" si="24"/>
        <v/>
      </c>
      <c r="BN57" s="23"/>
      <c r="BO57" s="44" t="str">
        <f t="shared" si="25"/>
        <v/>
      </c>
      <c r="BP57" s="25"/>
      <c r="BQ57" s="44" t="str">
        <f t="shared" si="26"/>
        <v/>
      </c>
      <c r="BR57" s="29" t="str">
        <f t="shared" si="27"/>
        <v/>
      </c>
      <c r="BS57" s="29">
        <f t="shared" si="28"/>
        <v>0</v>
      </c>
      <c r="BT57" s="29">
        <f t="shared" si="29"/>
        <v>0</v>
      </c>
      <c r="BU57" s="22" t="str">
        <f t="shared" si="30"/>
        <v/>
      </c>
      <c r="BV57" s="23"/>
      <c r="BW57" s="44" t="str">
        <f t="shared" si="31"/>
        <v/>
      </c>
      <c r="BX57" s="25"/>
      <c r="BY57" s="44" t="str">
        <f t="shared" si="32"/>
        <v/>
      </c>
      <c r="BZ57" s="54"/>
      <c r="CA57" s="22" t="str">
        <f t="shared" si="33"/>
        <v/>
      </c>
      <c r="CB57" s="23"/>
      <c r="CC57" s="44" t="str">
        <f t="shared" si="34"/>
        <v/>
      </c>
      <c r="CD57" s="25"/>
      <c r="CE57" s="44" t="str">
        <f t="shared" si="35"/>
        <v/>
      </c>
      <c r="CF57" s="54"/>
      <c r="CG57" s="22" t="str">
        <f t="shared" si="5"/>
        <v/>
      </c>
      <c r="CH57" s="23"/>
      <c r="CI57" s="44" t="str">
        <f t="shared" si="6"/>
        <v/>
      </c>
      <c r="CJ57" s="25"/>
      <c r="CK57" s="44" t="str">
        <f t="shared" si="7"/>
        <v/>
      </c>
      <c r="CL57" s="46">
        <v>0.0</v>
      </c>
    </row>
    <row r="58" ht="153.0" customHeight="1">
      <c r="A58" s="26">
        <f t="shared" si="58"/>
        <v>56</v>
      </c>
      <c r="B58" s="27" t="s">
        <v>301</v>
      </c>
      <c r="C58" s="27" t="s">
        <v>302</v>
      </c>
      <c r="D58" s="27"/>
      <c r="E58" s="26"/>
      <c r="F58" s="26"/>
      <c r="G58" s="20">
        <v>2.0</v>
      </c>
      <c r="H58" s="20">
        <v>2.0</v>
      </c>
      <c r="I58" s="23" t="s">
        <v>72</v>
      </c>
      <c r="J58" s="33"/>
      <c r="K58" s="22">
        <f t="shared" si="53"/>
        <v>2</v>
      </c>
      <c r="L58" s="23" t="s">
        <v>186</v>
      </c>
      <c r="M58" s="34">
        <v>46310.39010613426</v>
      </c>
      <c r="N58" s="25" t="s">
        <v>69</v>
      </c>
      <c r="O58" s="34">
        <v>46310.464899687504</v>
      </c>
      <c r="P58" s="29">
        <f t="shared" si="8"/>
        <v>107.7027167</v>
      </c>
      <c r="Q58" s="29">
        <f t="shared" si="9"/>
        <v>0</v>
      </c>
      <c r="R58" s="29">
        <f t="shared" si="10"/>
        <v>1.795045278</v>
      </c>
      <c r="S58" s="22" t="str">
        <f t="shared" si="11"/>
        <v/>
      </c>
      <c r="T58" s="23"/>
      <c r="U58" s="44" t="str">
        <f t="shared" si="49"/>
        <v/>
      </c>
      <c r="V58" s="25"/>
      <c r="W58" s="44" t="str">
        <f t="shared" si="50"/>
        <v/>
      </c>
      <c r="X58" s="54"/>
      <c r="Y58" s="22" t="str">
        <f t="shared" si="12"/>
        <v/>
      </c>
      <c r="Z58" s="23"/>
      <c r="AA58" s="44" t="str">
        <f t="shared" si="40"/>
        <v/>
      </c>
      <c r="AB58" s="25"/>
      <c r="AC58" s="44" t="str">
        <f t="shared" si="41"/>
        <v/>
      </c>
      <c r="AD58" s="54"/>
      <c r="AE58" s="22" t="str">
        <f t="shared" si="13"/>
        <v/>
      </c>
      <c r="AF58" s="23"/>
      <c r="AG58" s="44" t="str">
        <f t="shared" si="51"/>
        <v/>
      </c>
      <c r="AH58" s="25"/>
      <c r="AI58" s="44" t="str">
        <f t="shared" si="52"/>
        <v/>
      </c>
      <c r="AJ58" s="46">
        <v>0.0</v>
      </c>
      <c r="AK58" s="33"/>
      <c r="AL58" s="22">
        <v>2.0</v>
      </c>
      <c r="AM58" s="23" t="s">
        <v>186</v>
      </c>
      <c r="AN58" s="44">
        <f t="shared" ref="AN58:AN59" si="61">if(AM58&lt;&gt;"", if(AN58="",NOW(),AN58),"")</f>
        <v>46311.40057</v>
      </c>
      <c r="AO58" s="25" t="s">
        <v>69</v>
      </c>
      <c r="AP58" s="34">
        <v>46311.478708888884</v>
      </c>
      <c r="AQ58" s="29">
        <f t="shared" si="14"/>
        <v>112.5232167</v>
      </c>
      <c r="AR58" s="29">
        <f t="shared" si="15"/>
        <v>0</v>
      </c>
      <c r="AS58" s="29">
        <f t="shared" si="16"/>
        <v>1.875386944</v>
      </c>
      <c r="AT58" s="22" t="str">
        <f t="shared" si="17"/>
        <v/>
      </c>
      <c r="AU58" s="23"/>
      <c r="AV58" s="44" t="str">
        <f t="shared" si="18"/>
        <v/>
      </c>
      <c r="AW58" s="25"/>
      <c r="AX58" s="44" t="str">
        <f t="shared" si="19"/>
        <v/>
      </c>
      <c r="AY58" s="54"/>
      <c r="AZ58" s="22" t="str">
        <f t="shared" si="20"/>
        <v/>
      </c>
      <c r="BA58" s="23"/>
      <c r="BB58" s="44" t="str">
        <f t="shared" si="21"/>
        <v/>
      </c>
      <c r="BC58" s="25"/>
      <c r="BD58" s="44" t="str">
        <f t="shared" si="22"/>
        <v/>
      </c>
      <c r="BE58" s="54"/>
      <c r="BF58" s="22" t="str">
        <f t="shared" si="23"/>
        <v/>
      </c>
      <c r="BG58" s="23"/>
      <c r="BH58" s="44" t="str">
        <f t="shared" ref="BH58:BH67" si="62">if(BG58&lt;&gt;"", if(BH58="",NOW(),BH58),"")</f>
        <v/>
      </c>
      <c r="BI58" s="25"/>
      <c r="BJ58" s="44" t="str">
        <f t="shared" ref="BJ58:BJ67" si="63">if(BI58="Done", if(BJ58="",NOW(),BJ58),"")</f>
        <v/>
      </c>
      <c r="BK58" s="46">
        <v>0.0</v>
      </c>
      <c r="BL58" s="33"/>
      <c r="BM58" s="22" t="str">
        <f t="shared" si="24"/>
        <v/>
      </c>
      <c r="BN58" s="23"/>
      <c r="BO58" s="44" t="str">
        <f t="shared" si="25"/>
        <v/>
      </c>
      <c r="BP58" s="25"/>
      <c r="BQ58" s="44" t="str">
        <f t="shared" si="26"/>
        <v/>
      </c>
      <c r="BR58" s="29" t="str">
        <f t="shared" si="27"/>
        <v/>
      </c>
      <c r="BS58" s="29">
        <f t="shared" si="28"/>
        <v>0</v>
      </c>
      <c r="BT58" s="29">
        <f t="shared" si="29"/>
        <v>0</v>
      </c>
      <c r="BU58" s="22" t="str">
        <f t="shared" si="30"/>
        <v/>
      </c>
      <c r="BV58" s="23"/>
      <c r="BW58" s="44" t="str">
        <f t="shared" si="31"/>
        <v/>
      </c>
      <c r="BX58" s="25"/>
      <c r="BY58" s="44" t="str">
        <f t="shared" si="32"/>
        <v/>
      </c>
      <c r="BZ58" s="54"/>
      <c r="CA58" s="22" t="str">
        <f t="shared" si="33"/>
        <v/>
      </c>
      <c r="CB58" s="23"/>
      <c r="CC58" s="44" t="str">
        <f t="shared" si="34"/>
        <v/>
      </c>
      <c r="CD58" s="25"/>
      <c r="CE58" s="44" t="str">
        <f t="shared" si="35"/>
        <v/>
      </c>
      <c r="CF58" s="54"/>
      <c r="CG58" s="22" t="str">
        <f t="shared" si="5"/>
        <v/>
      </c>
      <c r="CH58" s="23"/>
      <c r="CI58" s="44" t="str">
        <f t="shared" si="6"/>
        <v/>
      </c>
      <c r="CJ58" s="25"/>
      <c r="CK58" s="44" t="str">
        <f t="shared" si="7"/>
        <v/>
      </c>
      <c r="CL58" s="46">
        <v>0.0</v>
      </c>
    </row>
    <row r="59" ht="94.5" customHeight="1">
      <c r="A59" s="26">
        <f t="shared" si="58"/>
        <v>57</v>
      </c>
      <c r="B59" s="27" t="s">
        <v>301</v>
      </c>
      <c r="C59" s="27" t="s">
        <v>305</v>
      </c>
      <c r="D59" s="27"/>
      <c r="E59" s="26"/>
      <c r="F59" s="26"/>
      <c r="G59" s="20">
        <v>3.0</v>
      </c>
      <c r="H59" s="20">
        <v>1.0</v>
      </c>
      <c r="I59" s="23" t="s">
        <v>72</v>
      </c>
      <c r="J59" s="33"/>
      <c r="K59" s="22">
        <f t="shared" si="53"/>
        <v>3</v>
      </c>
      <c r="L59" s="23" t="s">
        <v>210</v>
      </c>
      <c r="M59" s="34">
        <v>46308.697809618054</v>
      </c>
      <c r="N59" s="25" t="s">
        <v>69</v>
      </c>
      <c r="O59" s="34">
        <v>46309.486775046294</v>
      </c>
      <c r="P59" s="29">
        <f t="shared" si="8"/>
        <v>1136.110217</v>
      </c>
      <c r="Q59" s="29">
        <f t="shared" si="9"/>
        <v>960</v>
      </c>
      <c r="R59" s="29">
        <f t="shared" si="10"/>
        <v>2.935170278</v>
      </c>
      <c r="S59" s="22" t="str">
        <f t="shared" si="11"/>
        <v/>
      </c>
      <c r="T59" s="23"/>
      <c r="U59" s="44" t="str">
        <f t="shared" si="49"/>
        <v/>
      </c>
      <c r="V59" s="25"/>
      <c r="W59" s="44" t="str">
        <f t="shared" si="50"/>
        <v/>
      </c>
      <c r="X59" s="54"/>
      <c r="Y59" s="22" t="str">
        <f t="shared" si="12"/>
        <v/>
      </c>
      <c r="Z59" s="23"/>
      <c r="AA59" s="44" t="str">
        <f t="shared" si="40"/>
        <v/>
      </c>
      <c r="AB59" s="25"/>
      <c r="AC59" s="44" t="str">
        <f t="shared" si="41"/>
        <v/>
      </c>
      <c r="AD59" s="54"/>
      <c r="AE59" s="22" t="str">
        <f t="shared" si="13"/>
        <v/>
      </c>
      <c r="AF59" s="23"/>
      <c r="AG59" s="44" t="str">
        <f t="shared" si="51"/>
        <v/>
      </c>
      <c r="AH59" s="25"/>
      <c r="AI59" s="44" t="str">
        <f t="shared" si="52"/>
        <v/>
      </c>
      <c r="AJ59" s="46">
        <v>0.0</v>
      </c>
      <c r="AK59" s="33"/>
      <c r="AL59" s="22">
        <v>1.0</v>
      </c>
      <c r="AM59" s="23" t="s">
        <v>172</v>
      </c>
      <c r="AN59" s="44">
        <f t="shared" si="61"/>
        <v>46310.64963</v>
      </c>
      <c r="AO59" s="25" t="s">
        <v>69</v>
      </c>
      <c r="AP59" s="34">
        <v>46310.688508356485</v>
      </c>
      <c r="AQ59" s="29">
        <f t="shared" si="14"/>
        <v>55.9866</v>
      </c>
      <c r="AR59" s="29">
        <f t="shared" si="15"/>
        <v>0</v>
      </c>
      <c r="AS59" s="29">
        <f t="shared" si="16"/>
        <v>0.93311</v>
      </c>
      <c r="AT59" s="22" t="str">
        <f t="shared" si="17"/>
        <v/>
      </c>
      <c r="AU59" s="23"/>
      <c r="AV59" s="44" t="str">
        <f t="shared" si="18"/>
        <v/>
      </c>
      <c r="AW59" s="25"/>
      <c r="AX59" s="44" t="str">
        <f t="shared" si="19"/>
        <v/>
      </c>
      <c r="AY59" s="54"/>
      <c r="AZ59" s="22" t="str">
        <f t="shared" si="20"/>
        <v/>
      </c>
      <c r="BA59" s="23"/>
      <c r="BB59" s="44" t="str">
        <f t="shared" si="21"/>
        <v/>
      </c>
      <c r="BC59" s="25"/>
      <c r="BD59" s="44" t="str">
        <f t="shared" si="22"/>
        <v/>
      </c>
      <c r="BE59" s="54"/>
      <c r="BF59" s="22" t="str">
        <f t="shared" si="23"/>
        <v/>
      </c>
      <c r="BG59" s="23"/>
      <c r="BH59" s="44" t="str">
        <f t="shared" si="62"/>
        <v/>
      </c>
      <c r="BI59" s="25"/>
      <c r="BJ59" s="44" t="str">
        <f t="shared" si="63"/>
        <v/>
      </c>
      <c r="BK59" s="46">
        <v>0.0</v>
      </c>
      <c r="BL59" s="33"/>
      <c r="BM59" s="22" t="str">
        <f t="shared" si="24"/>
        <v/>
      </c>
      <c r="BN59" s="23"/>
      <c r="BO59" s="44" t="str">
        <f t="shared" si="25"/>
        <v/>
      </c>
      <c r="BP59" s="25"/>
      <c r="BQ59" s="44" t="str">
        <f t="shared" si="26"/>
        <v/>
      </c>
      <c r="BR59" s="29" t="str">
        <f t="shared" si="27"/>
        <v/>
      </c>
      <c r="BS59" s="29">
        <f t="shared" si="28"/>
        <v>0</v>
      </c>
      <c r="BT59" s="29">
        <f t="shared" si="29"/>
        <v>0</v>
      </c>
      <c r="BU59" s="22" t="str">
        <f t="shared" si="30"/>
        <v/>
      </c>
      <c r="BV59" s="23"/>
      <c r="BW59" s="44" t="str">
        <f t="shared" si="31"/>
        <v/>
      </c>
      <c r="BX59" s="25"/>
      <c r="BY59" s="44" t="str">
        <f t="shared" si="32"/>
        <v/>
      </c>
      <c r="BZ59" s="54"/>
      <c r="CA59" s="22" t="str">
        <f t="shared" si="33"/>
        <v/>
      </c>
      <c r="CB59" s="23"/>
      <c r="CC59" s="44" t="str">
        <f t="shared" si="34"/>
        <v/>
      </c>
      <c r="CD59" s="25"/>
      <c r="CE59" s="44" t="str">
        <f t="shared" si="35"/>
        <v/>
      </c>
      <c r="CF59" s="54"/>
      <c r="CG59" s="22" t="str">
        <f t="shared" si="5"/>
        <v/>
      </c>
      <c r="CH59" s="23"/>
      <c r="CI59" s="44" t="str">
        <f t="shared" si="6"/>
        <v/>
      </c>
      <c r="CJ59" s="25"/>
      <c r="CK59" s="44" t="str">
        <f t="shared" si="7"/>
        <v/>
      </c>
      <c r="CL59" s="46">
        <v>0.0</v>
      </c>
    </row>
    <row r="60" ht="114.0" customHeight="1">
      <c r="A60" s="26">
        <f t="shared" si="58"/>
        <v>58</v>
      </c>
      <c r="B60" s="27" t="s">
        <v>301</v>
      </c>
      <c r="C60" s="27" t="s">
        <v>306</v>
      </c>
      <c r="D60" s="27"/>
      <c r="E60" s="26"/>
      <c r="F60" s="26"/>
      <c r="G60" s="20">
        <v>2.0</v>
      </c>
      <c r="H60" s="20">
        <v>3.0</v>
      </c>
      <c r="I60" s="23" t="s">
        <v>72</v>
      </c>
      <c r="J60" s="33"/>
      <c r="K60" s="22">
        <f t="shared" si="53"/>
        <v>2</v>
      </c>
      <c r="L60" s="23" t="s">
        <v>173</v>
      </c>
      <c r="M60" s="34">
        <v>46308.63257725694</v>
      </c>
      <c r="N60" s="25" t="s">
        <v>69</v>
      </c>
      <c r="O60" s="34">
        <v>46309.58733631944</v>
      </c>
      <c r="P60" s="29">
        <f t="shared" si="8"/>
        <v>1374.85305</v>
      </c>
      <c r="Q60" s="29">
        <f t="shared" si="9"/>
        <v>1020</v>
      </c>
      <c r="R60" s="29">
        <f t="shared" si="10"/>
        <v>5.9142175</v>
      </c>
      <c r="S60" s="22" t="str">
        <f t="shared" si="11"/>
        <v/>
      </c>
      <c r="T60" s="23"/>
      <c r="U60" s="44" t="str">
        <f t="shared" si="49"/>
        <v/>
      </c>
      <c r="V60" s="25"/>
      <c r="W60" s="44" t="str">
        <f t="shared" si="50"/>
        <v/>
      </c>
      <c r="X60" s="54"/>
      <c r="Y60" s="22" t="str">
        <f t="shared" si="12"/>
        <v/>
      </c>
      <c r="Z60" s="23"/>
      <c r="AA60" s="44" t="str">
        <f t="shared" si="40"/>
        <v/>
      </c>
      <c r="AB60" s="25"/>
      <c r="AC60" s="44" t="str">
        <f t="shared" si="41"/>
        <v/>
      </c>
      <c r="AD60" s="54"/>
      <c r="AE60" s="22" t="str">
        <f t="shared" si="13"/>
        <v/>
      </c>
      <c r="AF60" s="23"/>
      <c r="AG60" s="44" t="str">
        <f t="shared" si="51"/>
        <v/>
      </c>
      <c r="AH60" s="25"/>
      <c r="AI60" s="44" t="str">
        <f t="shared" si="52"/>
        <v/>
      </c>
      <c r="AJ60" s="46">
        <v>0.0</v>
      </c>
      <c r="AK60" s="33"/>
      <c r="AL60" s="22">
        <v>3.0</v>
      </c>
      <c r="AM60" s="23" t="s">
        <v>173</v>
      </c>
      <c r="AN60" s="34">
        <v>46309.59496780093</v>
      </c>
      <c r="AO60" s="25" t="s">
        <v>69</v>
      </c>
      <c r="AP60" s="34">
        <v>46310.48843005787</v>
      </c>
      <c r="AQ60" s="29">
        <f t="shared" si="14"/>
        <v>1286.58565</v>
      </c>
      <c r="AR60" s="29">
        <f t="shared" si="15"/>
        <v>960</v>
      </c>
      <c r="AS60" s="29">
        <f t="shared" si="16"/>
        <v>5.443094167</v>
      </c>
      <c r="AT60" s="22" t="str">
        <f t="shared" si="17"/>
        <v/>
      </c>
      <c r="AU60" s="23"/>
      <c r="AV60" s="44" t="str">
        <f t="shared" si="18"/>
        <v/>
      </c>
      <c r="AW60" s="25"/>
      <c r="AX60" s="44" t="str">
        <f t="shared" si="19"/>
        <v/>
      </c>
      <c r="AY60" s="54"/>
      <c r="AZ60" s="22" t="str">
        <f t="shared" si="20"/>
        <v/>
      </c>
      <c r="BA60" s="23"/>
      <c r="BB60" s="44" t="str">
        <f t="shared" si="21"/>
        <v/>
      </c>
      <c r="BC60" s="25"/>
      <c r="BD60" s="44" t="str">
        <f t="shared" si="22"/>
        <v/>
      </c>
      <c r="BE60" s="54"/>
      <c r="BF60" s="22" t="str">
        <f t="shared" si="23"/>
        <v/>
      </c>
      <c r="BG60" s="23"/>
      <c r="BH60" s="44" t="str">
        <f t="shared" si="62"/>
        <v/>
      </c>
      <c r="BI60" s="25"/>
      <c r="BJ60" s="44" t="str">
        <f t="shared" si="63"/>
        <v/>
      </c>
      <c r="BK60" s="46">
        <v>0.0</v>
      </c>
      <c r="BL60" s="33"/>
      <c r="BM60" s="22" t="str">
        <f t="shared" si="24"/>
        <v/>
      </c>
      <c r="BN60" s="23"/>
      <c r="BO60" s="44" t="str">
        <f t="shared" si="25"/>
        <v/>
      </c>
      <c r="BP60" s="25"/>
      <c r="BQ60" s="44" t="str">
        <f t="shared" si="26"/>
        <v/>
      </c>
      <c r="BR60" s="29" t="str">
        <f t="shared" si="27"/>
        <v/>
      </c>
      <c r="BS60" s="29">
        <f t="shared" si="28"/>
        <v>0</v>
      </c>
      <c r="BT60" s="29">
        <f t="shared" si="29"/>
        <v>0</v>
      </c>
      <c r="BU60" s="22" t="str">
        <f t="shared" si="30"/>
        <v/>
      </c>
      <c r="BV60" s="23"/>
      <c r="BW60" s="44" t="str">
        <f t="shared" si="31"/>
        <v/>
      </c>
      <c r="BX60" s="25"/>
      <c r="BY60" s="44" t="str">
        <f t="shared" si="32"/>
        <v/>
      </c>
      <c r="BZ60" s="54"/>
      <c r="CA60" s="22" t="str">
        <f t="shared" si="33"/>
        <v/>
      </c>
      <c r="CB60" s="23"/>
      <c r="CC60" s="44" t="str">
        <f t="shared" si="34"/>
        <v/>
      </c>
      <c r="CD60" s="25"/>
      <c r="CE60" s="44" t="str">
        <f t="shared" si="35"/>
        <v/>
      </c>
      <c r="CF60" s="54"/>
      <c r="CG60" s="22" t="str">
        <f t="shared" si="5"/>
        <v/>
      </c>
      <c r="CH60" s="23"/>
      <c r="CI60" s="44" t="str">
        <f t="shared" si="6"/>
        <v/>
      </c>
      <c r="CJ60" s="25"/>
      <c r="CK60" s="44" t="str">
        <f t="shared" si="7"/>
        <v/>
      </c>
      <c r="CL60" s="46">
        <v>0.0</v>
      </c>
    </row>
    <row r="61" ht="111.75" customHeight="1">
      <c r="A61" s="26">
        <f t="shared" si="58"/>
        <v>59</v>
      </c>
      <c r="B61" s="27" t="s">
        <v>301</v>
      </c>
      <c r="C61" s="27" t="s">
        <v>308</v>
      </c>
      <c r="D61" s="27"/>
      <c r="E61" s="26"/>
      <c r="F61" s="26"/>
      <c r="G61" s="20">
        <v>1.0</v>
      </c>
      <c r="H61" s="20">
        <v>1.0</v>
      </c>
      <c r="I61" s="23" t="s">
        <v>72</v>
      </c>
      <c r="J61" s="33"/>
      <c r="K61" s="22">
        <f t="shared" si="53"/>
        <v>1</v>
      </c>
      <c r="L61" s="23" t="s">
        <v>225</v>
      </c>
      <c r="M61" s="44">
        <f t="shared" ref="M61:M62" si="64">if(L61&lt;&gt;"", if(M61="",NOW(),M61),"")</f>
        <v>46311.59862</v>
      </c>
      <c r="N61" s="25" t="s">
        <v>69</v>
      </c>
      <c r="O61" s="44">
        <f>if(N61="Done", if(O61="",NOW(),O61),"")</f>
        <v>46311.62355</v>
      </c>
      <c r="P61" s="29">
        <f t="shared" si="8"/>
        <v>35.89968334</v>
      </c>
      <c r="Q61" s="29">
        <f t="shared" si="9"/>
        <v>0</v>
      </c>
      <c r="R61" s="29">
        <f t="shared" si="10"/>
        <v>0.5983280557</v>
      </c>
      <c r="S61" s="22" t="str">
        <f t="shared" si="11"/>
        <v/>
      </c>
      <c r="T61" s="23"/>
      <c r="U61" s="44" t="str">
        <f t="shared" si="49"/>
        <v/>
      </c>
      <c r="V61" s="25"/>
      <c r="W61" s="44" t="str">
        <f t="shared" si="50"/>
        <v/>
      </c>
      <c r="X61" s="54"/>
      <c r="Y61" s="22" t="str">
        <f t="shared" si="12"/>
        <v/>
      </c>
      <c r="Z61" s="23"/>
      <c r="AA61" s="44" t="str">
        <f t="shared" si="40"/>
        <v/>
      </c>
      <c r="AB61" s="25"/>
      <c r="AC61" s="44" t="str">
        <f t="shared" si="41"/>
        <v/>
      </c>
      <c r="AD61" s="54"/>
      <c r="AE61" s="22" t="str">
        <f t="shared" si="13"/>
        <v/>
      </c>
      <c r="AF61" s="23"/>
      <c r="AG61" s="44" t="str">
        <f t="shared" si="51"/>
        <v/>
      </c>
      <c r="AH61" s="25"/>
      <c r="AI61" s="44" t="str">
        <f t="shared" si="52"/>
        <v/>
      </c>
      <c r="AJ61" s="46">
        <v>0.0</v>
      </c>
      <c r="AK61" s="33"/>
      <c r="AL61" s="22">
        <v>1.0</v>
      </c>
      <c r="AM61" s="23"/>
      <c r="AN61" s="44" t="str">
        <f t="shared" ref="AN61:AN63" si="65">if(AM61&lt;&gt;"", if(AN61="",NOW(),AN61),"")</f>
        <v/>
      </c>
      <c r="AO61" s="25"/>
      <c r="AP61" s="44" t="str">
        <f t="shared" ref="AP61:AP62" si="66">if(AO61="Done", if(AP61="",NOW(),AP61),"")</f>
        <v/>
      </c>
      <c r="AQ61" s="29" t="str">
        <f t="shared" si="14"/>
        <v/>
      </c>
      <c r="AR61" s="29">
        <f t="shared" si="15"/>
        <v>0</v>
      </c>
      <c r="AS61" s="29">
        <f t="shared" si="16"/>
        <v>0</v>
      </c>
      <c r="AT61" s="22" t="str">
        <f t="shared" si="17"/>
        <v/>
      </c>
      <c r="AU61" s="23"/>
      <c r="AV61" s="44" t="str">
        <f t="shared" si="18"/>
        <v/>
      </c>
      <c r="AW61" s="25"/>
      <c r="AX61" s="44" t="str">
        <f t="shared" si="19"/>
        <v/>
      </c>
      <c r="AY61" s="54"/>
      <c r="AZ61" s="22" t="str">
        <f t="shared" si="20"/>
        <v/>
      </c>
      <c r="BA61" s="23"/>
      <c r="BB61" s="44" t="str">
        <f t="shared" si="21"/>
        <v/>
      </c>
      <c r="BC61" s="25"/>
      <c r="BD61" s="44" t="str">
        <f t="shared" si="22"/>
        <v/>
      </c>
      <c r="BE61" s="54"/>
      <c r="BF61" s="22" t="str">
        <f t="shared" si="23"/>
        <v/>
      </c>
      <c r="BG61" s="23"/>
      <c r="BH61" s="44" t="str">
        <f t="shared" si="62"/>
        <v/>
      </c>
      <c r="BI61" s="25"/>
      <c r="BJ61" s="44" t="str">
        <f t="shared" si="63"/>
        <v/>
      </c>
      <c r="BK61" s="46">
        <v>0.0</v>
      </c>
      <c r="BL61" s="33"/>
      <c r="BM61" s="22" t="str">
        <f t="shared" si="24"/>
        <v/>
      </c>
      <c r="BN61" s="23"/>
      <c r="BO61" s="44" t="str">
        <f t="shared" si="25"/>
        <v/>
      </c>
      <c r="BP61" s="25"/>
      <c r="BQ61" s="44" t="str">
        <f t="shared" si="26"/>
        <v/>
      </c>
      <c r="BR61" s="29" t="str">
        <f t="shared" si="27"/>
        <v/>
      </c>
      <c r="BS61" s="29">
        <f t="shared" si="28"/>
        <v>0</v>
      </c>
      <c r="BT61" s="29">
        <f t="shared" si="29"/>
        <v>0</v>
      </c>
      <c r="BU61" s="22" t="str">
        <f t="shared" si="30"/>
        <v/>
      </c>
      <c r="BV61" s="23"/>
      <c r="BW61" s="44" t="str">
        <f t="shared" si="31"/>
        <v/>
      </c>
      <c r="BX61" s="25"/>
      <c r="BY61" s="44" t="str">
        <f t="shared" si="32"/>
        <v/>
      </c>
      <c r="BZ61" s="54"/>
      <c r="CA61" s="22" t="str">
        <f t="shared" si="33"/>
        <v/>
      </c>
      <c r="CB61" s="23"/>
      <c r="CC61" s="44" t="str">
        <f t="shared" si="34"/>
        <v/>
      </c>
      <c r="CD61" s="25"/>
      <c r="CE61" s="44" t="str">
        <f t="shared" si="35"/>
        <v/>
      </c>
      <c r="CF61" s="54"/>
      <c r="CG61" s="22" t="str">
        <f t="shared" si="5"/>
        <v/>
      </c>
      <c r="CH61" s="23"/>
      <c r="CI61" s="44" t="str">
        <f t="shared" si="6"/>
        <v/>
      </c>
      <c r="CJ61" s="25"/>
      <c r="CK61" s="44" t="str">
        <f t="shared" si="7"/>
        <v/>
      </c>
      <c r="CL61" s="46">
        <v>0.0</v>
      </c>
    </row>
    <row r="62" ht="100.5" customHeight="1">
      <c r="A62" s="26">
        <f t="shared" si="58"/>
        <v>60</v>
      </c>
      <c r="B62" s="27" t="s">
        <v>301</v>
      </c>
      <c r="C62" s="27" t="s">
        <v>311</v>
      </c>
      <c r="D62" s="27"/>
      <c r="E62" s="26"/>
      <c r="F62" s="26"/>
      <c r="G62" s="20">
        <v>1.0</v>
      </c>
      <c r="H62" s="20">
        <v>1.0</v>
      </c>
      <c r="I62" s="23" t="s">
        <v>72</v>
      </c>
      <c r="J62" s="33"/>
      <c r="K62" s="22">
        <f t="shared" si="53"/>
        <v>1</v>
      </c>
      <c r="L62" s="23" t="s">
        <v>289</v>
      </c>
      <c r="M62" s="44">
        <f t="shared" si="64"/>
        <v>46310.55744</v>
      </c>
      <c r="N62" s="25" t="s">
        <v>69</v>
      </c>
      <c r="O62" s="34">
        <v>46310.56320989583</v>
      </c>
      <c r="P62" s="29">
        <f t="shared" si="8"/>
        <v>8.314183324</v>
      </c>
      <c r="Q62" s="29">
        <f t="shared" si="9"/>
        <v>0</v>
      </c>
      <c r="R62" s="29">
        <f t="shared" si="10"/>
        <v>0.1385697221</v>
      </c>
      <c r="S62" s="22" t="str">
        <f t="shared" si="11"/>
        <v/>
      </c>
      <c r="T62" s="23"/>
      <c r="U62" s="44" t="str">
        <f t="shared" si="49"/>
        <v/>
      </c>
      <c r="V62" s="25"/>
      <c r="W62" s="44" t="str">
        <f t="shared" si="50"/>
        <v/>
      </c>
      <c r="X62" s="54"/>
      <c r="Y62" s="22" t="str">
        <f t="shared" si="12"/>
        <v/>
      </c>
      <c r="Z62" s="23"/>
      <c r="AA62" s="44" t="str">
        <f t="shared" si="40"/>
        <v/>
      </c>
      <c r="AB62" s="25"/>
      <c r="AC62" s="44" t="str">
        <f t="shared" si="41"/>
        <v/>
      </c>
      <c r="AD62" s="54"/>
      <c r="AE62" s="22" t="str">
        <f t="shared" si="13"/>
        <v/>
      </c>
      <c r="AF62" s="23"/>
      <c r="AG62" s="44" t="str">
        <f t="shared" si="51"/>
        <v/>
      </c>
      <c r="AH62" s="25"/>
      <c r="AI62" s="44" t="str">
        <f t="shared" si="52"/>
        <v/>
      </c>
      <c r="AJ62" s="46">
        <v>0.0</v>
      </c>
      <c r="AK62" s="33"/>
      <c r="AL62" s="22">
        <v>1.0</v>
      </c>
      <c r="AM62" s="23" t="s">
        <v>289</v>
      </c>
      <c r="AN62" s="44">
        <f t="shared" si="65"/>
        <v>46310.56889</v>
      </c>
      <c r="AO62" s="25" t="s">
        <v>69</v>
      </c>
      <c r="AP62" s="44">
        <f t="shared" si="66"/>
        <v>46310.60877</v>
      </c>
      <c r="AQ62" s="29">
        <f t="shared" si="14"/>
        <v>57.42903333</v>
      </c>
      <c r="AR62" s="29">
        <f t="shared" si="15"/>
        <v>0</v>
      </c>
      <c r="AS62" s="29">
        <f t="shared" si="16"/>
        <v>0.9571505554</v>
      </c>
      <c r="AT62" s="22" t="str">
        <f t="shared" si="17"/>
        <v/>
      </c>
      <c r="AU62" s="23"/>
      <c r="AV62" s="44" t="str">
        <f t="shared" si="18"/>
        <v/>
      </c>
      <c r="AW62" s="25"/>
      <c r="AX62" s="44" t="str">
        <f t="shared" si="19"/>
        <v/>
      </c>
      <c r="AY62" s="54"/>
      <c r="AZ62" s="22" t="str">
        <f t="shared" si="20"/>
        <v/>
      </c>
      <c r="BA62" s="23"/>
      <c r="BB62" s="44" t="str">
        <f t="shared" si="21"/>
        <v/>
      </c>
      <c r="BC62" s="25"/>
      <c r="BD62" s="44" t="str">
        <f t="shared" si="22"/>
        <v/>
      </c>
      <c r="BE62" s="54"/>
      <c r="BF62" s="22" t="str">
        <f t="shared" si="23"/>
        <v/>
      </c>
      <c r="BG62" s="23"/>
      <c r="BH62" s="44" t="str">
        <f t="shared" si="62"/>
        <v/>
      </c>
      <c r="BI62" s="25"/>
      <c r="BJ62" s="44" t="str">
        <f t="shared" si="63"/>
        <v/>
      </c>
      <c r="BK62" s="46">
        <v>0.0</v>
      </c>
      <c r="BL62" s="33"/>
      <c r="BM62" s="22" t="str">
        <f t="shared" si="24"/>
        <v/>
      </c>
      <c r="BN62" s="23"/>
      <c r="BO62" s="44" t="str">
        <f t="shared" si="25"/>
        <v/>
      </c>
      <c r="BP62" s="25"/>
      <c r="BQ62" s="44" t="str">
        <f t="shared" si="26"/>
        <v/>
      </c>
      <c r="BR62" s="29" t="str">
        <f t="shared" si="27"/>
        <v/>
      </c>
      <c r="BS62" s="29">
        <f t="shared" si="28"/>
        <v>0</v>
      </c>
      <c r="BT62" s="29">
        <f t="shared" si="29"/>
        <v>0</v>
      </c>
      <c r="BU62" s="22" t="str">
        <f t="shared" si="30"/>
        <v/>
      </c>
      <c r="BV62" s="23"/>
      <c r="BW62" s="44" t="str">
        <f t="shared" si="31"/>
        <v/>
      </c>
      <c r="BX62" s="25"/>
      <c r="BY62" s="44" t="str">
        <f t="shared" si="32"/>
        <v/>
      </c>
      <c r="BZ62" s="54"/>
      <c r="CA62" s="22" t="str">
        <f t="shared" si="33"/>
        <v/>
      </c>
      <c r="CB62" s="23"/>
      <c r="CC62" s="44" t="str">
        <f t="shared" si="34"/>
        <v/>
      </c>
      <c r="CD62" s="25"/>
      <c r="CE62" s="44" t="str">
        <f t="shared" si="35"/>
        <v/>
      </c>
      <c r="CF62" s="54"/>
      <c r="CG62" s="22" t="str">
        <f t="shared" si="5"/>
        <v/>
      </c>
      <c r="CH62" s="23"/>
      <c r="CI62" s="44" t="str">
        <f t="shared" si="6"/>
        <v/>
      </c>
      <c r="CJ62" s="25"/>
      <c r="CK62" s="44" t="str">
        <f t="shared" si="7"/>
        <v/>
      </c>
      <c r="CL62" s="46">
        <v>0.0</v>
      </c>
    </row>
    <row r="63" ht="111.0" customHeight="1">
      <c r="A63" s="26">
        <f t="shared" si="58"/>
        <v>61</v>
      </c>
      <c r="B63" s="27" t="s">
        <v>301</v>
      </c>
      <c r="C63" s="27" t="s">
        <v>314</v>
      </c>
      <c r="D63" s="27"/>
      <c r="E63" s="26"/>
      <c r="F63" s="26"/>
      <c r="G63" s="20">
        <v>1.0</v>
      </c>
      <c r="H63" s="20">
        <v>1.0</v>
      </c>
      <c r="I63" s="23" t="s">
        <v>72</v>
      </c>
      <c r="J63" s="33"/>
      <c r="K63" s="22">
        <f t="shared" si="53"/>
        <v>1</v>
      </c>
      <c r="L63" s="23" t="s">
        <v>210</v>
      </c>
      <c r="M63" s="34">
        <v>46309.615578287034</v>
      </c>
      <c r="N63" s="25" t="s">
        <v>69</v>
      </c>
      <c r="O63" s="34">
        <v>46309.61895287037</v>
      </c>
      <c r="P63" s="29">
        <f t="shared" si="8"/>
        <v>4.859400003</v>
      </c>
      <c r="Q63" s="29">
        <f t="shared" si="9"/>
        <v>0</v>
      </c>
      <c r="R63" s="29">
        <f t="shared" si="10"/>
        <v>0.08099000005</v>
      </c>
      <c r="S63" s="22" t="str">
        <f t="shared" si="11"/>
        <v/>
      </c>
      <c r="T63" s="23"/>
      <c r="U63" s="44" t="str">
        <f t="shared" si="49"/>
        <v/>
      </c>
      <c r="V63" s="25"/>
      <c r="W63" s="44" t="str">
        <f t="shared" si="50"/>
        <v/>
      </c>
      <c r="X63" s="54"/>
      <c r="Y63" s="22" t="str">
        <f t="shared" si="12"/>
        <v/>
      </c>
      <c r="Z63" s="23"/>
      <c r="AA63" s="44" t="str">
        <f t="shared" si="40"/>
        <v/>
      </c>
      <c r="AB63" s="25"/>
      <c r="AC63" s="44" t="str">
        <f t="shared" si="41"/>
        <v/>
      </c>
      <c r="AD63" s="54"/>
      <c r="AE63" s="22" t="str">
        <f t="shared" si="13"/>
        <v/>
      </c>
      <c r="AF63" s="23"/>
      <c r="AG63" s="44" t="str">
        <f t="shared" si="51"/>
        <v/>
      </c>
      <c r="AH63" s="25"/>
      <c r="AI63" s="44" t="str">
        <f t="shared" si="52"/>
        <v/>
      </c>
      <c r="AJ63" s="46">
        <v>0.0</v>
      </c>
      <c r="AK63" s="33"/>
      <c r="AL63" s="22">
        <v>1.0</v>
      </c>
      <c r="AM63" s="23" t="s">
        <v>186</v>
      </c>
      <c r="AN63" s="44">
        <f t="shared" si="65"/>
        <v>46310.4971</v>
      </c>
      <c r="AO63" s="25" t="s">
        <v>69</v>
      </c>
      <c r="AP63" s="34">
        <v>46310.57826721064</v>
      </c>
      <c r="AQ63" s="29">
        <f t="shared" si="14"/>
        <v>116.8799167</v>
      </c>
      <c r="AR63" s="29">
        <f t="shared" si="15"/>
        <v>60</v>
      </c>
      <c r="AS63" s="29">
        <f t="shared" si="16"/>
        <v>0.947998611</v>
      </c>
      <c r="AT63" s="22" t="str">
        <f t="shared" si="17"/>
        <v/>
      </c>
      <c r="AU63" s="23"/>
      <c r="AV63" s="44" t="str">
        <f t="shared" si="18"/>
        <v/>
      </c>
      <c r="AW63" s="25"/>
      <c r="AX63" s="44" t="str">
        <f t="shared" si="19"/>
        <v/>
      </c>
      <c r="AY63" s="54"/>
      <c r="AZ63" s="22" t="str">
        <f t="shared" si="20"/>
        <v/>
      </c>
      <c r="BA63" s="23"/>
      <c r="BB63" s="44" t="str">
        <f t="shared" si="21"/>
        <v/>
      </c>
      <c r="BC63" s="25"/>
      <c r="BD63" s="44" t="str">
        <f t="shared" si="22"/>
        <v/>
      </c>
      <c r="BE63" s="54"/>
      <c r="BF63" s="22" t="str">
        <f t="shared" si="23"/>
        <v/>
      </c>
      <c r="BG63" s="23"/>
      <c r="BH63" s="44" t="str">
        <f t="shared" si="62"/>
        <v/>
      </c>
      <c r="BI63" s="25"/>
      <c r="BJ63" s="44" t="str">
        <f t="shared" si="63"/>
        <v/>
      </c>
      <c r="BK63" s="46">
        <v>0.0</v>
      </c>
      <c r="BL63" s="33"/>
      <c r="BM63" s="22" t="str">
        <f t="shared" si="24"/>
        <v/>
      </c>
      <c r="BN63" s="23"/>
      <c r="BO63" s="44" t="str">
        <f t="shared" si="25"/>
        <v/>
      </c>
      <c r="BP63" s="25"/>
      <c r="BQ63" s="44" t="str">
        <f t="shared" si="26"/>
        <v/>
      </c>
      <c r="BR63" s="29" t="str">
        <f t="shared" si="27"/>
        <v/>
      </c>
      <c r="BS63" s="29">
        <f t="shared" si="28"/>
        <v>0</v>
      </c>
      <c r="BT63" s="29">
        <f t="shared" si="29"/>
        <v>0</v>
      </c>
      <c r="BU63" s="22" t="str">
        <f t="shared" si="30"/>
        <v/>
      </c>
      <c r="BV63" s="23"/>
      <c r="BW63" s="44" t="str">
        <f t="shared" si="31"/>
        <v/>
      </c>
      <c r="BX63" s="25"/>
      <c r="BY63" s="44" t="str">
        <f t="shared" si="32"/>
        <v/>
      </c>
      <c r="BZ63" s="54"/>
      <c r="CA63" s="22" t="str">
        <f t="shared" si="33"/>
        <v/>
      </c>
      <c r="CB63" s="23"/>
      <c r="CC63" s="44" t="str">
        <f t="shared" si="34"/>
        <v/>
      </c>
      <c r="CD63" s="25"/>
      <c r="CE63" s="44" t="str">
        <f t="shared" si="35"/>
        <v/>
      </c>
      <c r="CF63" s="54"/>
      <c r="CG63" s="22" t="str">
        <f t="shared" si="5"/>
        <v/>
      </c>
      <c r="CH63" s="23"/>
      <c r="CI63" s="44" t="str">
        <f t="shared" si="6"/>
        <v/>
      </c>
      <c r="CJ63" s="25"/>
      <c r="CK63" s="44" t="str">
        <f t="shared" si="7"/>
        <v/>
      </c>
      <c r="CL63" s="46">
        <v>0.0</v>
      </c>
    </row>
    <row r="64" ht="132.75" customHeight="1">
      <c r="A64" s="26">
        <f t="shared" si="58"/>
        <v>62</v>
      </c>
      <c r="B64" s="27" t="s">
        <v>301</v>
      </c>
      <c r="C64" s="27" t="s">
        <v>316</v>
      </c>
      <c r="D64" s="27"/>
      <c r="E64" s="26"/>
      <c r="F64" s="26"/>
      <c r="G64" s="20">
        <v>1.0</v>
      </c>
      <c r="H64" s="20">
        <v>1.0</v>
      </c>
      <c r="I64" s="23" t="s">
        <v>72</v>
      </c>
      <c r="J64" s="33"/>
      <c r="K64" s="22">
        <f t="shared" si="53"/>
        <v>1</v>
      </c>
      <c r="L64" s="23" t="s">
        <v>104</v>
      </c>
      <c r="M64" s="34">
        <v>46307.58834565972</v>
      </c>
      <c r="N64" s="25" t="s">
        <v>69</v>
      </c>
      <c r="O64" s="34">
        <v>46307.61632299768</v>
      </c>
      <c r="P64" s="29">
        <f t="shared" si="8"/>
        <v>40.28736666</v>
      </c>
      <c r="Q64" s="29">
        <f t="shared" si="9"/>
        <v>0</v>
      </c>
      <c r="R64" s="29">
        <f t="shared" si="10"/>
        <v>0.671456111</v>
      </c>
      <c r="S64" s="22" t="str">
        <f t="shared" si="11"/>
        <v/>
      </c>
      <c r="T64" s="23"/>
      <c r="U64" s="44" t="str">
        <f t="shared" si="49"/>
        <v/>
      </c>
      <c r="V64" s="25"/>
      <c r="W64" s="44" t="str">
        <f t="shared" si="50"/>
        <v/>
      </c>
      <c r="X64" s="54"/>
      <c r="Y64" s="22" t="str">
        <f t="shared" si="12"/>
        <v/>
      </c>
      <c r="Z64" s="23"/>
      <c r="AA64" s="44" t="str">
        <f t="shared" si="40"/>
        <v/>
      </c>
      <c r="AB64" s="25"/>
      <c r="AC64" s="44" t="str">
        <f t="shared" si="41"/>
        <v/>
      </c>
      <c r="AD64" s="54"/>
      <c r="AE64" s="22" t="str">
        <f t="shared" si="13"/>
        <v/>
      </c>
      <c r="AF64" s="23"/>
      <c r="AG64" s="44" t="str">
        <f t="shared" si="51"/>
        <v/>
      </c>
      <c r="AH64" s="25"/>
      <c r="AI64" s="44" t="str">
        <f t="shared" si="52"/>
        <v/>
      </c>
      <c r="AJ64" s="46">
        <v>0.0</v>
      </c>
      <c r="AK64" s="33"/>
      <c r="AL64" s="22">
        <v>1.0</v>
      </c>
      <c r="AM64" s="23" t="s">
        <v>104</v>
      </c>
      <c r="AN64" s="34">
        <v>46307.61732074074</v>
      </c>
      <c r="AO64" s="25" t="s">
        <v>69</v>
      </c>
      <c r="AP64" s="34">
        <v>46307.6482690625</v>
      </c>
      <c r="AQ64" s="29">
        <f t="shared" si="14"/>
        <v>44.56558333</v>
      </c>
      <c r="AR64" s="29">
        <f t="shared" si="15"/>
        <v>0</v>
      </c>
      <c r="AS64" s="29">
        <f t="shared" si="16"/>
        <v>0.7427597222</v>
      </c>
      <c r="AT64" s="22" t="str">
        <f t="shared" si="17"/>
        <v/>
      </c>
      <c r="AU64" s="23"/>
      <c r="AV64" s="44" t="str">
        <f t="shared" si="18"/>
        <v/>
      </c>
      <c r="AW64" s="25"/>
      <c r="AX64" s="44" t="str">
        <f t="shared" si="19"/>
        <v/>
      </c>
      <c r="AY64" s="54"/>
      <c r="AZ64" s="22" t="str">
        <f t="shared" si="20"/>
        <v/>
      </c>
      <c r="BA64" s="23"/>
      <c r="BB64" s="44" t="str">
        <f t="shared" si="21"/>
        <v/>
      </c>
      <c r="BC64" s="25"/>
      <c r="BD64" s="44" t="str">
        <f t="shared" si="22"/>
        <v/>
      </c>
      <c r="BE64" s="54"/>
      <c r="BF64" s="22" t="str">
        <f t="shared" si="23"/>
        <v/>
      </c>
      <c r="BG64" s="23"/>
      <c r="BH64" s="44" t="str">
        <f t="shared" si="62"/>
        <v/>
      </c>
      <c r="BI64" s="25"/>
      <c r="BJ64" s="44" t="str">
        <f t="shared" si="63"/>
        <v/>
      </c>
      <c r="BK64" s="46">
        <v>0.0</v>
      </c>
      <c r="BL64" s="33"/>
      <c r="BM64" s="22" t="str">
        <f t="shared" si="24"/>
        <v/>
      </c>
      <c r="BN64" s="23"/>
      <c r="BO64" s="44" t="str">
        <f t="shared" si="25"/>
        <v/>
      </c>
      <c r="BP64" s="25"/>
      <c r="BQ64" s="44" t="str">
        <f t="shared" si="26"/>
        <v/>
      </c>
      <c r="BR64" s="29" t="str">
        <f t="shared" si="27"/>
        <v/>
      </c>
      <c r="BS64" s="29">
        <f t="shared" si="28"/>
        <v>0</v>
      </c>
      <c r="BT64" s="29">
        <f t="shared" si="29"/>
        <v>0</v>
      </c>
      <c r="BU64" s="22" t="str">
        <f t="shared" si="30"/>
        <v/>
      </c>
      <c r="BV64" s="23"/>
      <c r="BW64" s="44" t="str">
        <f t="shared" si="31"/>
        <v/>
      </c>
      <c r="BX64" s="25"/>
      <c r="BY64" s="44" t="str">
        <f t="shared" si="32"/>
        <v/>
      </c>
      <c r="BZ64" s="54"/>
      <c r="CA64" s="22" t="str">
        <f t="shared" si="33"/>
        <v/>
      </c>
      <c r="CB64" s="23"/>
      <c r="CC64" s="44" t="str">
        <f t="shared" si="34"/>
        <v/>
      </c>
      <c r="CD64" s="25"/>
      <c r="CE64" s="44" t="str">
        <f t="shared" si="35"/>
        <v/>
      </c>
      <c r="CF64" s="54"/>
      <c r="CG64" s="22" t="str">
        <f t="shared" si="5"/>
        <v/>
      </c>
      <c r="CH64" s="23"/>
      <c r="CI64" s="44" t="str">
        <f t="shared" si="6"/>
        <v/>
      </c>
      <c r="CJ64" s="25"/>
      <c r="CK64" s="44" t="str">
        <f t="shared" si="7"/>
        <v/>
      </c>
      <c r="CL64" s="46">
        <v>0.0</v>
      </c>
    </row>
    <row r="65" ht="137.25" customHeight="1">
      <c r="A65" s="26">
        <f t="shared" si="58"/>
        <v>63</v>
      </c>
      <c r="B65" s="27" t="s">
        <v>301</v>
      </c>
      <c r="C65" s="27" t="s">
        <v>317</v>
      </c>
      <c r="D65" s="27"/>
      <c r="E65" s="26"/>
      <c r="F65" s="26"/>
      <c r="G65" s="20">
        <v>1.0</v>
      </c>
      <c r="H65" s="20">
        <v>1.0</v>
      </c>
      <c r="I65" s="23" t="s">
        <v>72</v>
      </c>
      <c r="J65" s="33"/>
      <c r="K65" s="22">
        <f t="shared" si="53"/>
        <v>1</v>
      </c>
      <c r="L65" s="23" t="s">
        <v>210</v>
      </c>
      <c r="M65" s="34">
        <v>46309.56684105324</v>
      </c>
      <c r="N65" s="25" t="s">
        <v>69</v>
      </c>
      <c r="O65" s="34">
        <v>46309.60235454861</v>
      </c>
      <c r="P65" s="29">
        <f t="shared" si="8"/>
        <v>51.13943334</v>
      </c>
      <c r="Q65" s="29">
        <f t="shared" si="9"/>
        <v>0</v>
      </c>
      <c r="R65" s="29">
        <f t="shared" si="10"/>
        <v>0.8523238889</v>
      </c>
      <c r="S65" s="22" t="str">
        <f t="shared" si="11"/>
        <v/>
      </c>
      <c r="T65" s="23"/>
      <c r="U65" s="44" t="str">
        <f t="shared" si="49"/>
        <v/>
      </c>
      <c r="V65" s="25"/>
      <c r="W65" s="44" t="str">
        <f t="shared" si="50"/>
        <v/>
      </c>
      <c r="X65" s="54"/>
      <c r="Y65" s="22" t="str">
        <f t="shared" si="12"/>
        <v/>
      </c>
      <c r="Z65" s="23"/>
      <c r="AA65" s="44" t="str">
        <f t="shared" si="40"/>
        <v/>
      </c>
      <c r="AB65" s="25"/>
      <c r="AC65" s="44" t="str">
        <f t="shared" si="41"/>
        <v/>
      </c>
      <c r="AD65" s="54"/>
      <c r="AE65" s="22" t="str">
        <f t="shared" si="13"/>
        <v/>
      </c>
      <c r="AF65" s="23"/>
      <c r="AG65" s="44" t="str">
        <f t="shared" si="51"/>
        <v/>
      </c>
      <c r="AH65" s="25"/>
      <c r="AI65" s="44" t="str">
        <f t="shared" si="52"/>
        <v/>
      </c>
      <c r="AJ65" s="46">
        <v>0.0</v>
      </c>
      <c r="AK65" s="33"/>
      <c r="AL65" s="22">
        <v>1.0</v>
      </c>
      <c r="AM65" s="23" t="s">
        <v>186</v>
      </c>
      <c r="AN65" s="44">
        <f>if(AM65&lt;&gt;"", if(AN65="",NOW(),AN65),"")</f>
        <v>46310.60953</v>
      </c>
      <c r="AO65" s="25" t="s">
        <v>69</v>
      </c>
      <c r="AP65" s="34">
        <v>46310.63047643518</v>
      </c>
      <c r="AQ65" s="29">
        <f t="shared" si="14"/>
        <v>30.16639999</v>
      </c>
      <c r="AR65" s="29">
        <f t="shared" si="15"/>
        <v>0</v>
      </c>
      <c r="AS65" s="29">
        <f t="shared" si="16"/>
        <v>0.5027733331</v>
      </c>
      <c r="AT65" s="22" t="str">
        <f t="shared" si="17"/>
        <v/>
      </c>
      <c r="AU65" s="23"/>
      <c r="AV65" s="44" t="str">
        <f t="shared" si="18"/>
        <v/>
      </c>
      <c r="AW65" s="25"/>
      <c r="AX65" s="44" t="str">
        <f t="shared" si="19"/>
        <v/>
      </c>
      <c r="AY65" s="54"/>
      <c r="AZ65" s="22" t="str">
        <f t="shared" si="20"/>
        <v/>
      </c>
      <c r="BA65" s="23"/>
      <c r="BB65" s="44" t="str">
        <f t="shared" si="21"/>
        <v/>
      </c>
      <c r="BC65" s="25"/>
      <c r="BD65" s="44" t="str">
        <f t="shared" si="22"/>
        <v/>
      </c>
      <c r="BE65" s="54"/>
      <c r="BF65" s="22" t="str">
        <f t="shared" si="23"/>
        <v/>
      </c>
      <c r="BG65" s="23"/>
      <c r="BH65" s="44" t="str">
        <f t="shared" si="62"/>
        <v/>
      </c>
      <c r="BI65" s="25"/>
      <c r="BJ65" s="44" t="str">
        <f t="shared" si="63"/>
        <v/>
      </c>
      <c r="BK65" s="46">
        <v>0.0</v>
      </c>
      <c r="BL65" s="33"/>
      <c r="BM65" s="22" t="str">
        <f t="shared" si="24"/>
        <v/>
      </c>
      <c r="BN65" s="23"/>
      <c r="BO65" s="44" t="str">
        <f t="shared" si="25"/>
        <v/>
      </c>
      <c r="BP65" s="25"/>
      <c r="BQ65" s="44" t="str">
        <f t="shared" si="26"/>
        <v/>
      </c>
      <c r="BR65" s="29" t="str">
        <f t="shared" si="27"/>
        <v/>
      </c>
      <c r="BS65" s="29">
        <f t="shared" si="28"/>
        <v>0</v>
      </c>
      <c r="BT65" s="29">
        <f t="shared" si="29"/>
        <v>0</v>
      </c>
      <c r="BU65" s="22" t="str">
        <f t="shared" si="30"/>
        <v/>
      </c>
      <c r="BV65" s="23"/>
      <c r="BW65" s="44" t="str">
        <f t="shared" si="31"/>
        <v/>
      </c>
      <c r="BX65" s="25"/>
      <c r="BY65" s="44" t="str">
        <f t="shared" si="32"/>
        <v/>
      </c>
      <c r="BZ65" s="54"/>
      <c r="CA65" s="22" t="str">
        <f t="shared" si="33"/>
        <v/>
      </c>
      <c r="CB65" s="23"/>
      <c r="CC65" s="44" t="str">
        <f t="shared" si="34"/>
        <v/>
      </c>
      <c r="CD65" s="25"/>
      <c r="CE65" s="44" t="str">
        <f t="shared" si="35"/>
        <v/>
      </c>
      <c r="CF65" s="54"/>
      <c r="CG65" s="22" t="str">
        <f t="shared" si="5"/>
        <v/>
      </c>
      <c r="CH65" s="23"/>
      <c r="CI65" s="44" t="str">
        <f t="shared" si="6"/>
        <v/>
      </c>
      <c r="CJ65" s="25"/>
      <c r="CK65" s="44" t="str">
        <f t="shared" si="7"/>
        <v/>
      </c>
      <c r="CL65" s="46">
        <v>0.0</v>
      </c>
    </row>
    <row r="66" ht="120.0" customHeight="1">
      <c r="A66" s="26">
        <f t="shared" si="58"/>
        <v>64</v>
      </c>
      <c r="B66" s="27" t="s">
        <v>301</v>
      </c>
      <c r="C66" s="27" t="s">
        <v>319</v>
      </c>
      <c r="D66" s="27"/>
      <c r="E66" s="26"/>
      <c r="F66" s="26"/>
      <c r="G66" s="20">
        <v>1.0</v>
      </c>
      <c r="H66" s="20">
        <v>1.0</v>
      </c>
      <c r="I66" s="23" t="s">
        <v>72</v>
      </c>
      <c r="J66" s="33"/>
      <c r="K66" s="22">
        <f t="shared" si="53"/>
        <v>1</v>
      </c>
      <c r="L66" s="23" t="s">
        <v>173</v>
      </c>
      <c r="M66" s="34">
        <v>46308.42531413195</v>
      </c>
      <c r="N66" s="25" t="s">
        <v>69</v>
      </c>
      <c r="O66" s="34">
        <v>46308.47265297454</v>
      </c>
      <c r="P66" s="29">
        <f t="shared" si="8"/>
        <v>68.16793333</v>
      </c>
      <c r="Q66" s="29">
        <f t="shared" si="9"/>
        <v>0</v>
      </c>
      <c r="R66" s="29">
        <f t="shared" si="10"/>
        <v>1.136132222</v>
      </c>
      <c r="S66" s="22" t="str">
        <f t="shared" si="11"/>
        <v/>
      </c>
      <c r="T66" s="23"/>
      <c r="U66" s="44" t="str">
        <f t="shared" si="49"/>
        <v/>
      </c>
      <c r="V66" s="25"/>
      <c r="W66" s="44" t="str">
        <f t="shared" si="50"/>
        <v/>
      </c>
      <c r="X66" s="54"/>
      <c r="Y66" s="22" t="str">
        <f t="shared" si="12"/>
        <v/>
      </c>
      <c r="Z66" s="23"/>
      <c r="AA66" s="44" t="str">
        <f t="shared" si="40"/>
        <v/>
      </c>
      <c r="AB66" s="25"/>
      <c r="AC66" s="44" t="str">
        <f t="shared" si="41"/>
        <v/>
      </c>
      <c r="AD66" s="54"/>
      <c r="AE66" s="22" t="str">
        <f t="shared" si="13"/>
        <v/>
      </c>
      <c r="AF66" s="23"/>
      <c r="AG66" s="44" t="str">
        <f t="shared" si="51"/>
        <v/>
      </c>
      <c r="AH66" s="25"/>
      <c r="AI66" s="44" t="str">
        <f t="shared" si="52"/>
        <v/>
      </c>
      <c r="AJ66" s="46">
        <v>0.0</v>
      </c>
      <c r="AK66" s="33"/>
      <c r="AL66" s="22">
        <v>1.0</v>
      </c>
      <c r="AM66" s="23" t="s">
        <v>173</v>
      </c>
      <c r="AN66" s="34">
        <v>46308.47899716435</v>
      </c>
      <c r="AO66" s="25" t="s">
        <v>69</v>
      </c>
      <c r="AP66" s="34">
        <v>46308.56571116898</v>
      </c>
      <c r="AQ66" s="29">
        <f t="shared" si="14"/>
        <v>124.8681667</v>
      </c>
      <c r="AR66" s="29">
        <f t="shared" si="15"/>
        <v>60</v>
      </c>
      <c r="AS66" s="29">
        <f t="shared" si="16"/>
        <v>1.081136111</v>
      </c>
      <c r="AT66" s="22" t="str">
        <f t="shared" si="17"/>
        <v/>
      </c>
      <c r="AU66" s="23"/>
      <c r="AV66" s="44" t="str">
        <f t="shared" si="18"/>
        <v/>
      </c>
      <c r="AW66" s="25"/>
      <c r="AX66" s="44" t="str">
        <f t="shared" si="19"/>
        <v/>
      </c>
      <c r="AY66" s="54"/>
      <c r="AZ66" s="22" t="str">
        <f t="shared" si="20"/>
        <v/>
      </c>
      <c r="BA66" s="23"/>
      <c r="BB66" s="44" t="str">
        <f t="shared" si="21"/>
        <v/>
      </c>
      <c r="BC66" s="25"/>
      <c r="BD66" s="44" t="str">
        <f t="shared" si="22"/>
        <v/>
      </c>
      <c r="BE66" s="54"/>
      <c r="BF66" s="22" t="str">
        <f t="shared" si="23"/>
        <v/>
      </c>
      <c r="BG66" s="23"/>
      <c r="BH66" s="44" t="str">
        <f t="shared" si="62"/>
        <v/>
      </c>
      <c r="BI66" s="25"/>
      <c r="BJ66" s="44" t="str">
        <f t="shared" si="63"/>
        <v/>
      </c>
      <c r="BK66" s="46">
        <v>0.0</v>
      </c>
      <c r="BL66" s="33"/>
      <c r="BM66" s="22" t="str">
        <f t="shared" si="24"/>
        <v/>
      </c>
      <c r="BN66" s="23"/>
      <c r="BO66" s="44" t="str">
        <f t="shared" si="25"/>
        <v/>
      </c>
      <c r="BP66" s="25"/>
      <c r="BQ66" s="44" t="str">
        <f t="shared" si="26"/>
        <v/>
      </c>
      <c r="BR66" s="29" t="str">
        <f t="shared" si="27"/>
        <v/>
      </c>
      <c r="BS66" s="29">
        <f t="shared" si="28"/>
        <v>0</v>
      </c>
      <c r="BT66" s="29">
        <f t="shared" si="29"/>
        <v>0</v>
      </c>
      <c r="BU66" s="22" t="str">
        <f t="shared" si="30"/>
        <v/>
      </c>
      <c r="BV66" s="23"/>
      <c r="BW66" s="44" t="str">
        <f t="shared" si="31"/>
        <v/>
      </c>
      <c r="BX66" s="25"/>
      <c r="BY66" s="44" t="str">
        <f t="shared" si="32"/>
        <v/>
      </c>
      <c r="BZ66" s="54"/>
      <c r="CA66" s="22" t="str">
        <f t="shared" si="33"/>
        <v/>
      </c>
      <c r="CB66" s="23"/>
      <c r="CC66" s="44" t="str">
        <f t="shared" si="34"/>
        <v/>
      </c>
      <c r="CD66" s="25"/>
      <c r="CE66" s="44" t="str">
        <f t="shared" si="35"/>
        <v/>
      </c>
      <c r="CF66" s="54"/>
      <c r="CG66" s="22" t="str">
        <f t="shared" si="5"/>
        <v/>
      </c>
      <c r="CH66" s="23"/>
      <c r="CI66" s="44" t="str">
        <f t="shared" si="6"/>
        <v/>
      </c>
      <c r="CJ66" s="25"/>
      <c r="CK66" s="44" t="str">
        <f t="shared" si="7"/>
        <v/>
      </c>
      <c r="CL66" s="46">
        <v>0.0</v>
      </c>
    </row>
    <row r="67" ht="107.25" customHeight="1">
      <c r="A67" s="26">
        <f t="shared" si="58"/>
        <v>65</v>
      </c>
      <c r="B67" s="27" t="s">
        <v>301</v>
      </c>
      <c r="C67" s="27" t="s">
        <v>321</v>
      </c>
      <c r="D67" s="27"/>
      <c r="E67" s="26"/>
      <c r="F67" s="26"/>
      <c r="G67" s="20">
        <v>1.0</v>
      </c>
      <c r="H67" s="20">
        <v>1.0</v>
      </c>
      <c r="I67" s="23" t="s">
        <v>72</v>
      </c>
      <c r="J67" s="33"/>
      <c r="K67" s="22">
        <f t="shared" si="53"/>
        <v>1</v>
      </c>
      <c r="L67" s="23" t="s">
        <v>210</v>
      </c>
      <c r="M67" s="34">
        <v>46304.67145649306</v>
      </c>
      <c r="N67" s="25" t="s">
        <v>69</v>
      </c>
      <c r="O67" s="34">
        <v>46304.678290868054</v>
      </c>
      <c r="P67" s="29">
        <f t="shared" si="8"/>
        <v>9.841499993</v>
      </c>
      <c r="Q67" s="29">
        <f t="shared" si="9"/>
        <v>0</v>
      </c>
      <c r="R67" s="29">
        <f t="shared" si="10"/>
        <v>0.1640249999</v>
      </c>
      <c r="S67" s="22" t="str">
        <f t="shared" si="11"/>
        <v/>
      </c>
      <c r="T67" s="23"/>
      <c r="U67" s="44" t="str">
        <f t="shared" si="49"/>
        <v/>
      </c>
      <c r="V67" s="25"/>
      <c r="W67" s="44" t="str">
        <f t="shared" si="50"/>
        <v/>
      </c>
      <c r="X67" s="54"/>
      <c r="Y67" s="22" t="str">
        <f t="shared" si="12"/>
        <v/>
      </c>
      <c r="Z67" s="23"/>
      <c r="AA67" s="44" t="str">
        <f t="shared" si="40"/>
        <v/>
      </c>
      <c r="AB67" s="25"/>
      <c r="AC67" s="44" t="str">
        <f t="shared" si="41"/>
        <v/>
      </c>
      <c r="AD67" s="54"/>
      <c r="AE67" s="22" t="str">
        <f t="shared" si="13"/>
        <v/>
      </c>
      <c r="AF67" s="23"/>
      <c r="AG67" s="44" t="str">
        <f t="shared" si="51"/>
        <v/>
      </c>
      <c r="AH67" s="25"/>
      <c r="AI67" s="44" t="str">
        <f t="shared" si="52"/>
        <v/>
      </c>
      <c r="AJ67" s="46">
        <v>0.0</v>
      </c>
      <c r="AK67" s="33"/>
      <c r="AL67" s="22">
        <v>1.0</v>
      </c>
      <c r="AM67" s="23" t="s">
        <v>186</v>
      </c>
      <c r="AN67" s="34">
        <v>46307.66740853009</v>
      </c>
      <c r="AO67" s="25" t="s">
        <v>69</v>
      </c>
      <c r="AP67" s="34">
        <v>46307.695181724535</v>
      </c>
      <c r="AQ67" s="29">
        <f t="shared" si="14"/>
        <v>39.9934</v>
      </c>
      <c r="AR67" s="29">
        <f t="shared" si="15"/>
        <v>0</v>
      </c>
      <c r="AS67" s="29">
        <f t="shared" si="16"/>
        <v>0.6665566667</v>
      </c>
      <c r="AT67" s="22" t="str">
        <f t="shared" si="17"/>
        <v/>
      </c>
      <c r="AU67" s="23"/>
      <c r="AV67" s="44" t="str">
        <f t="shared" si="18"/>
        <v/>
      </c>
      <c r="AW67" s="25"/>
      <c r="AX67" s="44" t="str">
        <f t="shared" si="19"/>
        <v/>
      </c>
      <c r="AY67" s="54"/>
      <c r="AZ67" s="22" t="str">
        <f t="shared" si="20"/>
        <v/>
      </c>
      <c r="BA67" s="23"/>
      <c r="BB67" s="44" t="str">
        <f t="shared" si="21"/>
        <v/>
      </c>
      <c r="BC67" s="25"/>
      <c r="BD67" s="44" t="str">
        <f t="shared" si="22"/>
        <v/>
      </c>
      <c r="BE67" s="54"/>
      <c r="BF67" s="22" t="str">
        <f t="shared" si="23"/>
        <v/>
      </c>
      <c r="BG67" s="23"/>
      <c r="BH67" s="44" t="str">
        <f t="shared" si="62"/>
        <v/>
      </c>
      <c r="BI67" s="25"/>
      <c r="BJ67" s="44" t="str">
        <f t="shared" si="63"/>
        <v/>
      </c>
      <c r="BK67" s="46">
        <v>0.0</v>
      </c>
      <c r="BL67" s="33"/>
      <c r="BM67" s="22" t="str">
        <f t="shared" si="24"/>
        <v/>
      </c>
      <c r="BN67" s="23"/>
      <c r="BO67" s="44" t="str">
        <f t="shared" si="25"/>
        <v/>
      </c>
      <c r="BP67" s="25"/>
      <c r="BQ67" s="44" t="str">
        <f t="shared" si="26"/>
        <v/>
      </c>
      <c r="BR67" s="29" t="str">
        <f t="shared" si="27"/>
        <v/>
      </c>
      <c r="BS67" s="29">
        <f t="shared" si="28"/>
        <v>0</v>
      </c>
      <c r="BT67" s="29">
        <f t="shared" si="29"/>
        <v>0</v>
      </c>
      <c r="BU67" s="22" t="str">
        <f t="shared" si="30"/>
        <v/>
      </c>
      <c r="BV67" s="23"/>
      <c r="BW67" s="44" t="str">
        <f t="shared" si="31"/>
        <v/>
      </c>
      <c r="BX67" s="25"/>
      <c r="BY67" s="44" t="str">
        <f t="shared" si="32"/>
        <v/>
      </c>
      <c r="BZ67" s="54"/>
      <c r="CA67" s="22" t="str">
        <f t="shared" si="33"/>
        <v/>
      </c>
      <c r="CB67" s="23"/>
      <c r="CC67" s="44" t="str">
        <f t="shared" si="34"/>
        <v/>
      </c>
      <c r="CD67" s="25"/>
      <c r="CE67" s="44" t="str">
        <f t="shared" si="35"/>
        <v/>
      </c>
      <c r="CF67" s="54"/>
      <c r="CG67" s="22" t="str">
        <f t="shared" si="5"/>
        <v/>
      </c>
      <c r="CH67" s="23"/>
      <c r="CI67" s="44" t="str">
        <f t="shared" si="6"/>
        <v/>
      </c>
      <c r="CJ67" s="25"/>
      <c r="CK67" s="44" t="str">
        <f t="shared" si="7"/>
        <v/>
      </c>
      <c r="CL67" s="46">
        <v>0.0</v>
      </c>
    </row>
    <row r="68" ht="105.0" customHeight="1">
      <c r="A68" s="26">
        <f t="shared" si="58"/>
        <v>66</v>
      </c>
      <c r="B68" s="27" t="s">
        <v>301</v>
      </c>
      <c r="C68" s="27" t="s">
        <v>323</v>
      </c>
      <c r="D68" s="27"/>
      <c r="E68" s="26"/>
      <c r="F68" s="26"/>
      <c r="G68" s="20">
        <v>1.0</v>
      </c>
      <c r="H68" s="20">
        <v>1.0</v>
      </c>
      <c r="I68" s="23" t="s">
        <v>72</v>
      </c>
      <c r="J68" s="33"/>
      <c r="K68" s="22">
        <f t="shared" si="53"/>
        <v>1</v>
      </c>
      <c r="L68" s="23" t="s">
        <v>210</v>
      </c>
      <c r="M68" s="34">
        <v>46304.63822574074</v>
      </c>
      <c r="N68" s="25" t="s">
        <v>69</v>
      </c>
      <c r="O68" s="34">
        <v>46304.64355258102</v>
      </c>
      <c r="P68" s="29">
        <f t="shared" si="8"/>
        <v>7.67065001</v>
      </c>
      <c r="Q68" s="29">
        <f t="shared" si="9"/>
        <v>0</v>
      </c>
      <c r="R68" s="29">
        <f t="shared" si="10"/>
        <v>0.1278441668</v>
      </c>
      <c r="S68" s="22" t="str">
        <f t="shared" si="11"/>
        <v/>
      </c>
      <c r="T68" s="23"/>
      <c r="U68" s="44" t="str">
        <f t="shared" si="49"/>
        <v/>
      </c>
      <c r="V68" s="25"/>
      <c r="W68" s="44" t="str">
        <f t="shared" si="50"/>
        <v/>
      </c>
      <c r="X68" s="54"/>
      <c r="Y68" s="22" t="str">
        <f t="shared" si="12"/>
        <v/>
      </c>
      <c r="Z68" s="23"/>
      <c r="AA68" s="44" t="str">
        <f t="shared" si="40"/>
        <v/>
      </c>
      <c r="AB68" s="25"/>
      <c r="AC68" s="44" t="str">
        <f t="shared" si="41"/>
        <v/>
      </c>
      <c r="AD68" s="54"/>
      <c r="AE68" s="22" t="str">
        <f t="shared" si="13"/>
        <v/>
      </c>
      <c r="AF68" s="23"/>
      <c r="AG68" s="44" t="str">
        <f t="shared" si="51"/>
        <v/>
      </c>
      <c r="AH68" s="25"/>
      <c r="AI68" s="44" t="str">
        <f t="shared" si="52"/>
        <v/>
      </c>
      <c r="AJ68" s="46">
        <v>0.0</v>
      </c>
      <c r="AK68" s="33"/>
      <c r="AL68" s="22">
        <v>1.0</v>
      </c>
      <c r="AM68" s="23" t="s">
        <v>186</v>
      </c>
      <c r="AN68" s="34">
        <v>46307.59935841435</v>
      </c>
      <c r="AO68" s="25" t="s">
        <v>69</v>
      </c>
      <c r="AP68" s="34">
        <v>46307.61213079861</v>
      </c>
      <c r="AQ68" s="29">
        <f t="shared" si="14"/>
        <v>18.39223333</v>
      </c>
      <c r="AR68" s="29">
        <f t="shared" si="15"/>
        <v>0</v>
      </c>
      <c r="AS68" s="29">
        <f t="shared" si="16"/>
        <v>0.3065372222</v>
      </c>
      <c r="AT68" s="22" t="str">
        <f t="shared" si="17"/>
        <v/>
      </c>
      <c r="AU68" s="23"/>
      <c r="AV68" s="44" t="str">
        <f t="shared" si="18"/>
        <v/>
      </c>
      <c r="AW68" s="25"/>
      <c r="AX68" s="44" t="str">
        <f t="shared" si="19"/>
        <v/>
      </c>
      <c r="AY68" s="54"/>
      <c r="AZ68" s="22" t="str">
        <f t="shared" si="20"/>
        <v/>
      </c>
      <c r="BA68" s="23"/>
      <c r="BB68" s="44" t="str">
        <f t="shared" si="21"/>
        <v/>
      </c>
      <c r="BC68" s="25"/>
      <c r="BD68" s="44" t="str">
        <f t="shared" si="22"/>
        <v/>
      </c>
      <c r="BE68" s="54"/>
      <c r="BF68" s="22" t="str">
        <f t="shared" si="23"/>
        <v>Done</v>
      </c>
      <c r="BG68" s="23" t="s">
        <v>77</v>
      </c>
      <c r="BH68" s="34">
        <v>46309.45036366898</v>
      </c>
      <c r="BI68" s="25" t="s">
        <v>69</v>
      </c>
      <c r="BJ68" s="34">
        <v>46309.45401128472</v>
      </c>
      <c r="BK68" s="46">
        <v>1.0</v>
      </c>
      <c r="BL68" s="33"/>
      <c r="BM68" s="22" t="str">
        <f t="shared" si="24"/>
        <v>Done</v>
      </c>
      <c r="BN68" s="23"/>
      <c r="BO68" s="44" t="str">
        <f t="shared" si="25"/>
        <v/>
      </c>
      <c r="BP68" s="25"/>
      <c r="BQ68" s="44" t="str">
        <f t="shared" si="26"/>
        <v/>
      </c>
      <c r="BR68" s="29" t="str">
        <f t="shared" si="27"/>
        <v/>
      </c>
      <c r="BS68" s="29">
        <f t="shared" si="28"/>
        <v>0</v>
      </c>
      <c r="BT68" s="29">
        <f t="shared" si="29"/>
        <v>0</v>
      </c>
      <c r="BU68" s="22" t="str">
        <f t="shared" si="30"/>
        <v/>
      </c>
      <c r="BV68" s="23"/>
      <c r="BW68" s="44" t="str">
        <f t="shared" si="31"/>
        <v/>
      </c>
      <c r="BX68" s="25"/>
      <c r="BY68" s="44" t="str">
        <f t="shared" si="32"/>
        <v/>
      </c>
      <c r="BZ68" s="54"/>
      <c r="CA68" s="22" t="str">
        <f t="shared" si="33"/>
        <v/>
      </c>
      <c r="CB68" s="23"/>
      <c r="CC68" s="44" t="str">
        <f t="shared" si="34"/>
        <v/>
      </c>
      <c r="CD68" s="25"/>
      <c r="CE68" s="44" t="str">
        <f t="shared" si="35"/>
        <v/>
      </c>
      <c r="CF68" s="54"/>
      <c r="CG68" s="22" t="str">
        <f t="shared" si="5"/>
        <v/>
      </c>
      <c r="CH68" s="23"/>
      <c r="CI68" s="44" t="str">
        <f t="shared" si="6"/>
        <v/>
      </c>
      <c r="CJ68" s="25"/>
      <c r="CK68" s="44" t="str">
        <f t="shared" si="7"/>
        <v/>
      </c>
      <c r="CL68" s="46">
        <v>0.0</v>
      </c>
    </row>
    <row r="69" ht="130.5" customHeight="1">
      <c r="A69" s="26">
        <f t="shared" si="58"/>
        <v>67</v>
      </c>
      <c r="B69" s="27" t="s">
        <v>301</v>
      </c>
      <c r="C69" s="27" t="s">
        <v>324</v>
      </c>
      <c r="D69" s="27"/>
      <c r="E69" s="26"/>
      <c r="F69" s="26"/>
      <c r="G69" s="20">
        <v>3.0</v>
      </c>
      <c r="H69" s="20">
        <v>1.0</v>
      </c>
      <c r="I69" s="23" t="s">
        <v>72</v>
      </c>
      <c r="J69" s="33"/>
      <c r="K69" s="22">
        <f t="shared" si="53"/>
        <v>3</v>
      </c>
      <c r="L69" s="23" t="s">
        <v>126</v>
      </c>
      <c r="M69" s="34">
        <v>46309.43162390046</v>
      </c>
      <c r="N69" s="25" t="s">
        <v>69</v>
      </c>
      <c r="O69" s="34">
        <v>46309.65325527778</v>
      </c>
      <c r="P69" s="29">
        <f t="shared" si="8"/>
        <v>319.1491833</v>
      </c>
      <c r="Q69" s="29">
        <f t="shared" si="9"/>
        <v>60</v>
      </c>
      <c r="R69" s="29">
        <f t="shared" si="10"/>
        <v>4.319153056</v>
      </c>
      <c r="S69" s="22" t="str">
        <f t="shared" si="11"/>
        <v/>
      </c>
      <c r="T69" s="23"/>
      <c r="U69" s="44" t="str">
        <f t="shared" si="49"/>
        <v/>
      </c>
      <c r="V69" s="25"/>
      <c r="W69" s="44" t="str">
        <f t="shared" si="50"/>
        <v/>
      </c>
      <c r="X69" s="54"/>
      <c r="Y69" s="22" t="str">
        <f t="shared" si="12"/>
        <v/>
      </c>
      <c r="Z69" s="23"/>
      <c r="AA69" s="44" t="str">
        <f t="shared" si="40"/>
        <v/>
      </c>
      <c r="AB69" s="25"/>
      <c r="AC69" s="44" t="str">
        <f t="shared" si="41"/>
        <v/>
      </c>
      <c r="AD69" s="54"/>
      <c r="AE69" s="22" t="str">
        <f t="shared" si="13"/>
        <v/>
      </c>
      <c r="AF69" s="23"/>
      <c r="AG69" s="44" t="str">
        <f t="shared" si="51"/>
        <v/>
      </c>
      <c r="AH69" s="25"/>
      <c r="AI69" s="44" t="str">
        <f t="shared" si="52"/>
        <v/>
      </c>
      <c r="AJ69" s="46">
        <v>0.0</v>
      </c>
      <c r="AK69" s="33"/>
      <c r="AL69" s="22">
        <v>1.0</v>
      </c>
      <c r="AM69" s="23" t="s">
        <v>126</v>
      </c>
      <c r="AN69" s="44">
        <f>if(AM69&lt;&gt;"", if(AN69="",NOW(),AN69),"")</f>
        <v>46310.56245</v>
      </c>
      <c r="AO69" s="25" t="s">
        <v>69</v>
      </c>
      <c r="AP69" s="34">
        <v>46310.61181834491</v>
      </c>
      <c r="AQ69" s="29">
        <f t="shared" si="14"/>
        <v>71.08523333</v>
      </c>
      <c r="AR69" s="29">
        <f t="shared" si="15"/>
        <v>0</v>
      </c>
      <c r="AS69" s="29">
        <f t="shared" si="16"/>
        <v>1.184753889</v>
      </c>
      <c r="AT69" s="22" t="str">
        <f t="shared" si="17"/>
        <v/>
      </c>
      <c r="AU69" s="23"/>
      <c r="AV69" s="44" t="str">
        <f t="shared" si="18"/>
        <v/>
      </c>
      <c r="AW69" s="25"/>
      <c r="AX69" s="44" t="str">
        <f t="shared" si="19"/>
        <v/>
      </c>
      <c r="AY69" s="54"/>
      <c r="AZ69" s="22" t="str">
        <f t="shared" si="20"/>
        <v/>
      </c>
      <c r="BA69" s="23"/>
      <c r="BB69" s="44" t="str">
        <f t="shared" si="21"/>
        <v/>
      </c>
      <c r="BC69" s="25"/>
      <c r="BD69" s="44" t="str">
        <f t="shared" si="22"/>
        <v/>
      </c>
      <c r="BE69" s="54"/>
      <c r="BF69" s="22" t="str">
        <f t="shared" si="23"/>
        <v/>
      </c>
      <c r="BG69" s="23"/>
      <c r="BH69" s="34"/>
      <c r="BI69" s="25"/>
      <c r="BJ69" s="34"/>
      <c r="BK69" s="46">
        <v>0.0</v>
      </c>
      <c r="BL69" s="33"/>
      <c r="BM69" s="22" t="str">
        <f t="shared" si="24"/>
        <v/>
      </c>
      <c r="BN69" s="23"/>
      <c r="BO69" s="44" t="str">
        <f t="shared" si="25"/>
        <v/>
      </c>
      <c r="BP69" s="25"/>
      <c r="BQ69" s="44" t="str">
        <f t="shared" si="26"/>
        <v/>
      </c>
      <c r="BR69" s="29" t="str">
        <f t="shared" si="27"/>
        <v/>
      </c>
      <c r="BS69" s="29">
        <f t="shared" si="28"/>
        <v>0</v>
      </c>
      <c r="BT69" s="29">
        <f t="shared" si="29"/>
        <v>0</v>
      </c>
      <c r="BU69" s="22" t="str">
        <f t="shared" si="30"/>
        <v/>
      </c>
      <c r="BV69" s="23"/>
      <c r="BW69" s="44" t="str">
        <f t="shared" si="31"/>
        <v/>
      </c>
      <c r="BX69" s="25"/>
      <c r="BY69" s="44" t="str">
        <f t="shared" si="32"/>
        <v/>
      </c>
      <c r="BZ69" s="54"/>
      <c r="CA69" s="22" t="str">
        <f t="shared" si="33"/>
        <v/>
      </c>
      <c r="CB69" s="23"/>
      <c r="CC69" s="44" t="str">
        <f t="shared" si="34"/>
        <v/>
      </c>
      <c r="CD69" s="25"/>
      <c r="CE69" s="44" t="str">
        <f t="shared" si="35"/>
        <v/>
      </c>
      <c r="CF69" s="54"/>
      <c r="CG69" s="22" t="str">
        <f t="shared" si="5"/>
        <v/>
      </c>
      <c r="CH69" s="23"/>
      <c r="CI69" s="44" t="str">
        <f t="shared" si="6"/>
        <v/>
      </c>
      <c r="CJ69" s="25"/>
      <c r="CK69" s="44" t="str">
        <f t="shared" si="7"/>
        <v/>
      </c>
      <c r="CL69" s="46">
        <v>0.0</v>
      </c>
    </row>
    <row r="70" ht="177.75" customHeight="1">
      <c r="A70" s="26">
        <f t="shared" si="58"/>
        <v>68</v>
      </c>
      <c r="B70" s="27" t="s">
        <v>326</v>
      </c>
      <c r="C70" s="27" t="s">
        <v>327</v>
      </c>
      <c r="D70" s="27"/>
      <c r="E70" s="26"/>
      <c r="F70" s="26"/>
      <c r="G70" s="20">
        <v>3.0</v>
      </c>
      <c r="H70" s="20">
        <v>2.0</v>
      </c>
      <c r="I70" s="23" t="s">
        <v>72</v>
      </c>
      <c r="J70" s="33"/>
      <c r="K70" s="22">
        <f t="shared" si="53"/>
        <v>3</v>
      </c>
      <c r="L70" s="23" t="s">
        <v>269</v>
      </c>
      <c r="M70" s="34">
        <v>46307.55976902778</v>
      </c>
      <c r="N70" s="25" t="s">
        <v>69</v>
      </c>
      <c r="O70" s="34">
        <v>46308.387996516205</v>
      </c>
      <c r="P70" s="29">
        <f t="shared" si="8"/>
        <v>1192.647583</v>
      </c>
      <c r="Q70" s="29">
        <f t="shared" si="9"/>
        <v>960</v>
      </c>
      <c r="R70" s="29">
        <f t="shared" si="10"/>
        <v>3.877459722</v>
      </c>
      <c r="S70" s="22" t="str">
        <f t="shared" si="11"/>
        <v/>
      </c>
      <c r="T70" s="23"/>
      <c r="U70" s="44" t="str">
        <f t="shared" si="49"/>
        <v/>
      </c>
      <c r="V70" s="25"/>
      <c r="W70" s="44" t="str">
        <f t="shared" si="50"/>
        <v/>
      </c>
      <c r="X70" s="54"/>
      <c r="Y70" s="22" t="str">
        <f t="shared" si="12"/>
        <v/>
      </c>
      <c r="Z70" s="23"/>
      <c r="AA70" s="44" t="str">
        <f t="shared" si="40"/>
        <v/>
      </c>
      <c r="AB70" s="25"/>
      <c r="AC70" s="44" t="str">
        <f t="shared" si="41"/>
        <v/>
      </c>
      <c r="AD70" s="54"/>
      <c r="AE70" s="22" t="str">
        <f t="shared" si="13"/>
        <v/>
      </c>
      <c r="AF70" s="23"/>
      <c r="AG70" s="44" t="str">
        <f t="shared" si="51"/>
        <v/>
      </c>
      <c r="AH70" s="25"/>
      <c r="AI70" s="44" t="str">
        <f t="shared" si="52"/>
        <v/>
      </c>
      <c r="AJ70" s="46">
        <v>0.0</v>
      </c>
      <c r="AK70" s="33"/>
      <c r="AL70" s="22">
        <v>2.0</v>
      </c>
      <c r="AM70" s="23" t="s">
        <v>269</v>
      </c>
      <c r="AN70" s="34">
        <v>46308.40146325232</v>
      </c>
      <c r="AO70" s="25" t="s">
        <v>93</v>
      </c>
      <c r="AP70" s="34">
        <v>46308.55151611111</v>
      </c>
      <c r="AQ70" s="29">
        <f t="shared" si="14"/>
        <v>216.0761167</v>
      </c>
      <c r="AR70" s="29">
        <f t="shared" si="15"/>
        <v>60</v>
      </c>
      <c r="AS70" s="29">
        <f t="shared" si="16"/>
        <v>2.601268611</v>
      </c>
      <c r="AT70" s="22" t="str">
        <f t="shared" si="17"/>
        <v/>
      </c>
      <c r="AU70" s="23"/>
      <c r="AV70" s="44" t="str">
        <f t="shared" si="18"/>
        <v/>
      </c>
      <c r="AW70" s="25"/>
      <c r="AX70" s="44" t="str">
        <f t="shared" si="19"/>
        <v/>
      </c>
      <c r="AY70" s="35">
        <v>0.2</v>
      </c>
      <c r="AZ70" s="22" t="str">
        <f t="shared" si="20"/>
        <v/>
      </c>
      <c r="BA70" s="23"/>
      <c r="BB70" s="44" t="str">
        <f t="shared" si="21"/>
        <v/>
      </c>
      <c r="BC70" s="25"/>
      <c r="BD70" s="44" t="str">
        <f t="shared" si="22"/>
        <v/>
      </c>
      <c r="BE70" s="54"/>
      <c r="BF70" s="22" t="str">
        <f t="shared" si="23"/>
        <v>Revision</v>
      </c>
      <c r="BG70" s="23" t="s">
        <v>77</v>
      </c>
      <c r="BH70" s="34">
        <v>46309.42649546296</v>
      </c>
      <c r="BI70" s="25" t="s">
        <v>93</v>
      </c>
      <c r="BJ70" s="34">
        <v>46309.428675347226</v>
      </c>
      <c r="BK70" s="46">
        <v>1.0</v>
      </c>
      <c r="BL70" s="33"/>
      <c r="BM70" s="22" t="str">
        <f t="shared" si="24"/>
        <v>Revision</v>
      </c>
      <c r="BN70" s="23"/>
      <c r="BO70" s="44" t="str">
        <f t="shared" si="25"/>
        <v/>
      </c>
      <c r="BP70" s="25"/>
      <c r="BQ70" s="44" t="str">
        <f t="shared" si="26"/>
        <v/>
      </c>
      <c r="BR70" s="29" t="str">
        <f t="shared" si="27"/>
        <v/>
      </c>
      <c r="BS70" s="29">
        <f t="shared" si="28"/>
        <v>0</v>
      </c>
      <c r="BT70" s="29">
        <f t="shared" si="29"/>
        <v>0</v>
      </c>
      <c r="BU70" s="22" t="str">
        <f t="shared" si="30"/>
        <v/>
      </c>
      <c r="BV70" s="23"/>
      <c r="BW70" s="44" t="str">
        <f t="shared" si="31"/>
        <v/>
      </c>
      <c r="BX70" s="25"/>
      <c r="BY70" s="44" t="str">
        <f t="shared" si="32"/>
        <v/>
      </c>
      <c r="BZ70" s="54"/>
      <c r="CA70" s="22" t="str">
        <f t="shared" si="33"/>
        <v/>
      </c>
      <c r="CB70" s="23"/>
      <c r="CC70" s="44" t="str">
        <f t="shared" si="34"/>
        <v/>
      </c>
      <c r="CD70" s="25"/>
      <c r="CE70" s="44" t="str">
        <f t="shared" si="35"/>
        <v/>
      </c>
      <c r="CF70" s="54"/>
      <c r="CG70" s="22" t="str">
        <f t="shared" si="5"/>
        <v/>
      </c>
      <c r="CH70" s="23"/>
      <c r="CI70" s="44" t="str">
        <f t="shared" si="6"/>
        <v/>
      </c>
      <c r="CJ70" s="25"/>
      <c r="CK70" s="44" t="str">
        <f t="shared" si="7"/>
        <v/>
      </c>
      <c r="CL70" s="46">
        <v>0.0</v>
      </c>
    </row>
    <row r="71" ht="129.0" customHeight="1">
      <c r="A71" s="26">
        <f t="shared" si="58"/>
        <v>69</v>
      </c>
      <c r="B71" s="27" t="s">
        <v>326</v>
      </c>
      <c r="C71" s="27" t="s">
        <v>329</v>
      </c>
      <c r="D71" s="27"/>
      <c r="E71" s="26"/>
      <c r="F71" s="26"/>
      <c r="G71" s="20">
        <v>3.0</v>
      </c>
      <c r="H71" s="20">
        <v>3.0</v>
      </c>
      <c r="I71" s="23" t="s">
        <v>72</v>
      </c>
      <c r="J71" s="33"/>
      <c r="K71" s="22">
        <f t="shared" si="53"/>
        <v>3</v>
      </c>
      <c r="L71" s="23" t="s">
        <v>180</v>
      </c>
      <c r="M71" s="34">
        <v>46308.58295927083</v>
      </c>
      <c r="N71" s="25" t="s">
        <v>69</v>
      </c>
      <c r="O71" s="34">
        <v>46309.46715085648</v>
      </c>
      <c r="P71" s="29">
        <f t="shared" si="8"/>
        <v>1273.235883</v>
      </c>
      <c r="Q71" s="29">
        <f t="shared" si="9"/>
        <v>960</v>
      </c>
      <c r="R71" s="29">
        <f t="shared" si="10"/>
        <v>5.220598056</v>
      </c>
      <c r="S71" s="22" t="str">
        <f t="shared" si="11"/>
        <v/>
      </c>
      <c r="T71" s="23"/>
      <c r="U71" s="44" t="str">
        <f t="shared" si="49"/>
        <v/>
      </c>
      <c r="V71" s="25"/>
      <c r="W71" s="44" t="str">
        <f t="shared" si="50"/>
        <v/>
      </c>
      <c r="X71" s="54"/>
      <c r="Y71" s="22" t="str">
        <f t="shared" si="12"/>
        <v/>
      </c>
      <c r="Z71" s="23"/>
      <c r="AA71" s="44" t="str">
        <f t="shared" si="40"/>
        <v/>
      </c>
      <c r="AB71" s="25"/>
      <c r="AC71" s="44" t="str">
        <f t="shared" si="41"/>
        <v/>
      </c>
      <c r="AD71" s="54"/>
      <c r="AE71" s="22" t="str">
        <f t="shared" si="13"/>
        <v/>
      </c>
      <c r="AF71" s="23"/>
      <c r="AG71" s="44" t="str">
        <f t="shared" si="51"/>
        <v/>
      </c>
      <c r="AH71" s="25"/>
      <c r="AI71" s="44" t="str">
        <f t="shared" si="52"/>
        <v/>
      </c>
      <c r="AJ71" s="46">
        <v>0.0</v>
      </c>
      <c r="AK71" s="33"/>
      <c r="AL71" s="22">
        <v>3.0</v>
      </c>
      <c r="AM71" s="23" t="s">
        <v>289</v>
      </c>
      <c r="AN71" s="44">
        <f>if(AM71&lt;&gt;"", if(AN71="",NOW(),AN71),"")</f>
        <v>46314.39998</v>
      </c>
      <c r="AO71" s="25" t="s">
        <v>69</v>
      </c>
      <c r="AP71" s="34">
        <v>46314.605003668985</v>
      </c>
      <c r="AQ71" s="29">
        <f t="shared" si="14"/>
        <v>295.2287667</v>
      </c>
      <c r="AR71" s="29">
        <f t="shared" si="15"/>
        <v>60</v>
      </c>
      <c r="AS71" s="29">
        <f t="shared" si="16"/>
        <v>3.920479445</v>
      </c>
      <c r="AT71" s="22" t="str">
        <f t="shared" si="17"/>
        <v/>
      </c>
      <c r="AU71" s="23"/>
      <c r="AV71" s="44" t="str">
        <f t="shared" si="18"/>
        <v/>
      </c>
      <c r="AW71" s="25"/>
      <c r="AX71" s="44" t="str">
        <f t="shared" si="19"/>
        <v/>
      </c>
      <c r="AY71" s="54"/>
      <c r="AZ71" s="22" t="str">
        <f t="shared" si="20"/>
        <v/>
      </c>
      <c r="BA71" s="23"/>
      <c r="BB71" s="44" t="str">
        <f t="shared" si="21"/>
        <v/>
      </c>
      <c r="BC71" s="25"/>
      <c r="BD71" s="44" t="str">
        <f t="shared" si="22"/>
        <v/>
      </c>
      <c r="BE71" s="54"/>
      <c r="BF71" s="22" t="str">
        <f t="shared" si="23"/>
        <v/>
      </c>
      <c r="BG71" s="23"/>
      <c r="BH71" s="34"/>
      <c r="BI71" s="25"/>
      <c r="BJ71" s="34"/>
      <c r="BK71" s="46">
        <v>0.0</v>
      </c>
      <c r="BL71" s="33"/>
      <c r="BM71" s="22" t="str">
        <f t="shared" si="24"/>
        <v/>
      </c>
      <c r="BN71" s="23"/>
      <c r="BO71" s="44" t="str">
        <f t="shared" si="25"/>
        <v/>
      </c>
      <c r="BP71" s="25"/>
      <c r="BQ71" s="44" t="str">
        <f t="shared" si="26"/>
        <v/>
      </c>
      <c r="BR71" s="29" t="str">
        <f t="shared" si="27"/>
        <v/>
      </c>
      <c r="BS71" s="29">
        <f t="shared" si="28"/>
        <v>0</v>
      </c>
      <c r="BT71" s="29">
        <f t="shared" si="29"/>
        <v>0</v>
      </c>
      <c r="BU71" s="22" t="str">
        <f t="shared" si="30"/>
        <v/>
      </c>
      <c r="BV71" s="23"/>
      <c r="BW71" s="44" t="str">
        <f t="shared" si="31"/>
        <v/>
      </c>
      <c r="BX71" s="25"/>
      <c r="BY71" s="44" t="str">
        <f t="shared" si="32"/>
        <v/>
      </c>
      <c r="BZ71" s="54"/>
      <c r="CA71" s="22" t="str">
        <f t="shared" si="33"/>
        <v/>
      </c>
      <c r="CB71" s="23"/>
      <c r="CC71" s="44" t="str">
        <f t="shared" si="34"/>
        <v/>
      </c>
      <c r="CD71" s="25"/>
      <c r="CE71" s="44" t="str">
        <f t="shared" si="35"/>
        <v/>
      </c>
      <c r="CF71" s="54"/>
      <c r="CG71" s="22" t="str">
        <f t="shared" si="5"/>
        <v/>
      </c>
      <c r="CH71" s="23"/>
      <c r="CI71" s="44" t="str">
        <f t="shared" si="6"/>
        <v/>
      </c>
      <c r="CJ71" s="25"/>
      <c r="CK71" s="44" t="str">
        <f t="shared" si="7"/>
        <v/>
      </c>
      <c r="CL71" s="46">
        <v>0.0</v>
      </c>
    </row>
    <row r="72" ht="134.25" customHeight="1">
      <c r="A72" s="26">
        <f t="shared" si="58"/>
        <v>70</v>
      </c>
      <c r="B72" s="27" t="s">
        <v>326</v>
      </c>
      <c r="C72" s="27" t="s">
        <v>331</v>
      </c>
      <c r="D72" s="27"/>
      <c r="E72" s="26"/>
      <c r="F72" s="26"/>
      <c r="G72" s="20">
        <v>1.0</v>
      </c>
      <c r="H72" s="20">
        <v>1.0</v>
      </c>
      <c r="I72" s="23" t="s">
        <v>72</v>
      </c>
      <c r="J72" s="33"/>
      <c r="K72" s="22">
        <f t="shared" si="53"/>
        <v>1</v>
      </c>
      <c r="L72" s="23" t="s">
        <v>210</v>
      </c>
      <c r="M72" s="34">
        <v>46304.69275858796</v>
      </c>
      <c r="N72" s="25" t="s">
        <v>69</v>
      </c>
      <c r="O72" s="34">
        <v>46304.69849991898</v>
      </c>
      <c r="P72" s="29">
        <f t="shared" si="8"/>
        <v>8.26751667</v>
      </c>
      <c r="Q72" s="29">
        <f t="shared" si="9"/>
        <v>0</v>
      </c>
      <c r="R72" s="29">
        <f t="shared" si="10"/>
        <v>0.1377919445</v>
      </c>
      <c r="S72" s="22" t="str">
        <f t="shared" si="11"/>
        <v/>
      </c>
      <c r="T72" s="23"/>
      <c r="U72" s="44" t="str">
        <f t="shared" si="49"/>
        <v/>
      </c>
      <c r="V72" s="25"/>
      <c r="W72" s="44" t="str">
        <f t="shared" si="50"/>
        <v/>
      </c>
      <c r="X72" s="54"/>
      <c r="Y72" s="22" t="str">
        <f t="shared" si="12"/>
        <v/>
      </c>
      <c r="Z72" s="23"/>
      <c r="AA72" s="44" t="str">
        <f t="shared" si="40"/>
        <v/>
      </c>
      <c r="AB72" s="25"/>
      <c r="AC72" s="44" t="str">
        <f t="shared" si="41"/>
        <v/>
      </c>
      <c r="AD72" s="54"/>
      <c r="AE72" s="22" t="str">
        <f t="shared" si="13"/>
        <v/>
      </c>
      <c r="AF72" s="23"/>
      <c r="AG72" s="44" t="str">
        <f t="shared" si="51"/>
        <v/>
      </c>
      <c r="AH72" s="25"/>
      <c r="AI72" s="44" t="str">
        <f t="shared" si="52"/>
        <v/>
      </c>
      <c r="AJ72" s="46">
        <v>0.0</v>
      </c>
      <c r="AK72" s="33"/>
      <c r="AL72" s="22">
        <v>1.0</v>
      </c>
      <c r="AM72" s="23" t="s">
        <v>186</v>
      </c>
      <c r="AN72" s="34">
        <v>46307.62772013889</v>
      </c>
      <c r="AO72" s="25" t="s">
        <v>69</v>
      </c>
      <c r="AP72" s="34">
        <v>46307.643483078704</v>
      </c>
      <c r="AQ72" s="29">
        <f t="shared" si="14"/>
        <v>22.69863334</v>
      </c>
      <c r="AR72" s="29">
        <f t="shared" si="15"/>
        <v>0</v>
      </c>
      <c r="AS72" s="29">
        <f t="shared" si="16"/>
        <v>0.3783105556</v>
      </c>
      <c r="AT72" s="22" t="str">
        <f t="shared" si="17"/>
        <v/>
      </c>
      <c r="AU72" s="23"/>
      <c r="AV72" s="44" t="str">
        <f t="shared" si="18"/>
        <v/>
      </c>
      <c r="AW72" s="25"/>
      <c r="AX72" s="44" t="str">
        <f t="shared" si="19"/>
        <v/>
      </c>
      <c r="AY72" s="54"/>
      <c r="AZ72" s="22" t="str">
        <f t="shared" si="20"/>
        <v/>
      </c>
      <c r="BA72" s="23"/>
      <c r="BB72" s="44" t="str">
        <f t="shared" si="21"/>
        <v/>
      </c>
      <c r="BC72" s="25"/>
      <c r="BD72" s="44" t="str">
        <f t="shared" si="22"/>
        <v/>
      </c>
      <c r="BE72" s="54"/>
      <c r="BF72" s="22" t="str">
        <f t="shared" si="23"/>
        <v>Done</v>
      </c>
      <c r="BG72" s="23" t="s">
        <v>77</v>
      </c>
      <c r="BH72" s="34">
        <v>46308.45005107639</v>
      </c>
      <c r="BI72" s="25" t="s">
        <v>69</v>
      </c>
      <c r="BJ72" s="34">
        <v>46308.45152611111</v>
      </c>
      <c r="BK72" s="46">
        <v>1.0</v>
      </c>
      <c r="BL72" s="33"/>
      <c r="BM72" s="22" t="str">
        <f t="shared" si="24"/>
        <v>Done</v>
      </c>
      <c r="BN72" s="23"/>
      <c r="BO72" s="44" t="str">
        <f t="shared" si="25"/>
        <v/>
      </c>
      <c r="BP72" s="25"/>
      <c r="BQ72" s="44" t="str">
        <f t="shared" si="26"/>
        <v/>
      </c>
      <c r="BR72" s="29" t="str">
        <f t="shared" si="27"/>
        <v/>
      </c>
      <c r="BS72" s="29">
        <f t="shared" si="28"/>
        <v>0</v>
      </c>
      <c r="BT72" s="29">
        <f t="shared" si="29"/>
        <v>0</v>
      </c>
      <c r="BU72" s="22" t="str">
        <f t="shared" si="30"/>
        <v/>
      </c>
      <c r="BV72" s="23"/>
      <c r="BW72" s="44" t="str">
        <f t="shared" si="31"/>
        <v/>
      </c>
      <c r="BX72" s="25"/>
      <c r="BY72" s="44" t="str">
        <f t="shared" si="32"/>
        <v/>
      </c>
      <c r="BZ72" s="54"/>
      <c r="CA72" s="22" t="str">
        <f t="shared" si="33"/>
        <v/>
      </c>
      <c r="CB72" s="23"/>
      <c r="CC72" s="44" t="str">
        <f t="shared" si="34"/>
        <v/>
      </c>
      <c r="CD72" s="25"/>
      <c r="CE72" s="44" t="str">
        <f t="shared" si="35"/>
        <v/>
      </c>
      <c r="CF72" s="54"/>
      <c r="CG72" s="22" t="str">
        <f t="shared" si="5"/>
        <v/>
      </c>
      <c r="CH72" s="23"/>
      <c r="CI72" s="44" t="str">
        <f t="shared" si="6"/>
        <v/>
      </c>
      <c r="CJ72" s="25"/>
      <c r="CK72" s="44" t="str">
        <f t="shared" si="7"/>
        <v/>
      </c>
      <c r="CL72" s="46">
        <v>0.0</v>
      </c>
    </row>
    <row r="73" ht="123.75" customHeight="1">
      <c r="A73" s="26">
        <f t="shared" si="58"/>
        <v>71</v>
      </c>
      <c r="B73" s="27" t="s">
        <v>326</v>
      </c>
      <c r="C73" s="27" t="s">
        <v>333</v>
      </c>
      <c r="D73" s="27"/>
      <c r="E73" s="26"/>
      <c r="F73" s="26"/>
      <c r="G73" s="20">
        <v>1.0</v>
      </c>
      <c r="H73" s="20">
        <v>2.0</v>
      </c>
      <c r="I73" s="23" t="s">
        <v>72</v>
      </c>
      <c r="J73" s="33"/>
      <c r="K73" s="22">
        <f t="shared" si="53"/>
        <v>1</v>
      </c>
      <c r="L73" s="23" t="s">
        <v>210</v>
      </c>
      <c r="M73" s="34">
        <v>46307.420926990744</v>
      </c>
      <c r="N73" s="25" t="s">
        <v>69</v>
      </c>
      <c r="O73" s="34">
        <v>46307.448158506944</v>
      </c>
      <c r="P73" s="29">
        <f t="shared" si="8"/>
        <v>39.21338333</v>
      </c>
      <c r="Q73" s="29">
        <f t="shared" si="9"/>
        <v>0</v>
      </c>
      <c r="R73" s="29">
        <f t="shared" si="10"/>
        <v>0.6535563888</v>
      </c>
      <c r="S73" s="22" t="str">
        <f t="shared" si="11"/>
        <v/>
      </c>
      <c r="T73" s="23"/>
      <c r="U73" s="44" t="str">
        <f t="shared" si="49"/>
        <v/>
      </c>
      <c r="V73" s="25"/>
      <c r="W73" s="44" t="str">
        <f t="shared" si="50"/>
        <v/>
      </c>
      <c r="X73" s="54"/>
      <c r="Y73" s="22" t="str">
        <f t="shared" si="12"/>
        <v/>
      </c>
      <c r="Z73" s="23"/>
      <c r="AA73" s="44" t="str">
        <f t="shared" si="40"/>
        <v/>
      </c>
      <c r="AB73" s="25"/>
      <c r="AC73" s="44" t="str">
        <f t="shared" si="41"/>
        <v/>
      </c>
      <c r="AD73" s="54"/>
      <c r="AE73" s="22" t="str">
        <f t="shared" si="13"/>
        <v/>
      </c>
      <c r="AF73" s="23"/>
      <c r="AG73" s="44" t="str">
        <f t="shared" si="51"/>
        <v/>
      </c>
      <c r="AH73" s="25"/>
      <c r="AI73" s="44" t="str">
        <f t="shared" si="52"/>
        <v/>
      </c>
      <c r="AJ73" s="46">
        <v>0.0</v>
      </c>
      <c r="AK73" s="33"/>
      <c r="AL73" s="22">
        <v>2.0</v>
      </c>
      <c r="AM73" s="23" t="s">
        <v>186</v>
      </c>
      <c r="AN73" s="34">
        <v>46308.39603326389</v>
      </c>
      <c r="AO73" s="25" t="s">
        <v>69</v>
      </c>
      <c r="AP73" s="34">
        <v>46308.42797048611</v>
      </c>
      <c r="AQ73" s="29">
        <f t="shared" si="14"/>
        <v>45.9896</v>
      </c>
      <c r="AR73" s="29">
        <f t="shared" si="15"/>
        <v>0</v>
      </c>
      <c r="AS73" s="29">
        <f t="shared" si="16"/>
        <v>0.7664933333</v>
      </c>
      <c r="AT73" s="22" t="str">
        <f t="shared" si="17"/>
        <v/>
      </c>
      <c r="AU73" s="23"/>
      <c r="AV73" s="44" t="str">
        <f t="shared" si="18"/>
        <v/>
      </c>
      <c r="AW73" s="25"/>
      <c r="AX73" s="44" t="str">
        <f t="shared" si="19"/>
        <v/>
      </c>
      <c r="AY73" s="54"/>
      <c r="AZ73" s="22" t="str">
        <f t="shared" si="20"/>
        <v/>
      </c>
      <c r="BA73" s="23"/>
      <c r="BB73" s="44" t="str">
        <f t="shared" si="21"/>
        <v/>
      </c>
      <c r="BC73" s="25"/>
      <c r="BD73" s="44" t="str">
        <f t="shared" si="22"/>
        <v/>
      </c>
      <c r="BE73" s="54"/>
      <c r="BF73" s="22" t="str">
        <f t="shared" si="23"/>
        <v>Done</v>
      </c>
      <c r="BG73" s="23" t="s">
        <v>77</v>
      </c>
      <c r="BH73" s="34">
        <v>46308.45493599537</v>
      </c>
      <c r="BI73" s="25" t="s">
        <v>69</v>
      </c>
      <c r="BJ73" s="34">
        <v>46308.45633252314</v>
      </c>
      <c r="BK73" s="46">
        <v>1.0</v>
      </c>
      <c r="BL73" s="33"/>
      <c r="BM73" s="22" t="str">
        <f t="shared" si="24"/>
        <v>Done</v>
      </c>
      <c r="BN73" s="23"/>
      <c r="BO73" s="44" t="str">
        <f t="shared" si="25"/>
        <v/>
      </c>
      <c r="BP73" s="25"/>
      <c r="BQ73" s="44" t="str">
        <f t="shared" si="26"/>
        <v/>
      </c>
      <c r="BR73" s="29" t="str">
        <f t="shared" si="27"/>
        <v/>
      </c>
      <c r="BS73" s="29">
        <f t="shared" si="28"/>
        <v>0</v>
      </c>
      <c r="BT73" s="29">
        <f t="shared" si="29"/>
        <v>0</v>
      </c>
      <c r="BU73" s="22" t="str">
        <f t="shared" si="30"/>
        <v/>
      </c>
      <c r="BV73" s="23"/>
      <c r="BW73" s="44" t="str">
        <f t="shared" si="31"/>
        <v/>
      </c>
      <c r="BX73" s="25"/>
      <c r="BY73" s="44" t="str">
        <f t="shared" si="32"/>
        <v/>
      </c>
      <c r="BZ73" s="54"/>
      <c r="CA73" s="22" t="str">
        <f t="shared" si="33"/>
        <v/>
      </c>
      <c r="CB73" s="23"/>
      <c r="CC73" s="44" t="str">
        <f t="shared" si="34"/>
        <v/>
      </c>
      <c r="CD73" s="25"/>
      <c r="CE73" s="44" t="str">
        <f t="shared" si="35"/>
        <v/>
      </c>
      <c r="CF73" s="54"/>
      <c r="CG73" s="22" t="str">
        <f t="shared" si="5"/>
        <v/>
      </c>
      <c r="CH73" s="23"/>
      <c r="CI73" s="44" t="str">
        <f t="shared" si="6"/>
        <v/>
      </c>
      <c r="CJ73" s="25"/>
      <c r="CK73" s="44" t="str">
        <f t="shared" si="7"/>
        <v/>
      </c>
      <c r="CL73" s="46">
        <v>0.0</v>
      </c>
    </row>
    <row r="74" ht="118.5" customHeight="1">
      <c r="A74" s="26">
        <f t="shared" si="58"/>
        <v>72</v>
      </c>
      <c r="B74" s="27" t="s">
        <v>326</v>
      </c>
      <c r="C74" s="27" t="s">
        <v>335</v>
      </c>
      <c r="D74" s="27"/>
      <c r="E74" s="26"/>
      <c r="F74" s="26"/>
      <c r="G74" s="20">
        <v>2.0</v>
      </c>
      <c r="H74" s="20">
        <v>2.0</v>
      </c>
      <c r="I74" s="23" t="s">
        <v>72</v>
      </c>
      <c r="J74" s="33"/>
      <c r="K74" s="22">
        <f t="shared" si="53"/>
        <v>2</v>
      </c>
      <c r="L74" s="23" t="s">
        <v>104</v>
      </c>
      <c r="M74" s="34">
        <v>46309.60923858796</v>
      </c>
      <c r="N74" s="25" t="s">
        <v>69</v>
      </c>
      <c r="O74" s="34">
        <v>46309.66226576389</v>
      </c>
      <c r="P74" s="29">
        <f t="shared" si="8"/>
        <v>76.35913334</v>
      </c>
      <c r="Q74" s="29">
        <f t="shared" si="9"/>
        <v>0</v>
      </c>
      <c r="R74" s="29">
        <f t="shared" si="10"/>
        <v>1.272652222</v>
      </c>
      <c r="S74" s="22" t="str">
        <f t="shared" si="11"/>
        <v/>
      </c>
      <c r="T74" s="23"/>
      <c r="U74" s="44" t="str">
        <f t="shared" si="49"/>
        <v/>
      </c>
      <c r="V74" s="25"/>
      <c r="W74" s="44" t="str">
        <f t="shared" si="50"/>
        <v/>
      </c>
      <c r="X74" s="54"/>
      <c r="Y74" s="22" t="str">
        <f t="shared" si="12"/>
        <v/>
      </c>
      <c r="Z74" s="23"/>
      <c r="AA74" s="44" t="str">
        <f t="shared" si="40"/>
        <v/>
      </c>
      <c r="AB74" s="25"/>
      <c r="AC74" s="44" t="str">
        <f t="shared" si="41"/>
        <v/>
      </c>
      <c r="AD74" s="54"/>
      <c r="AE74" s="22" t="str">
        <f t="shared" si="13"/>
        <v/>
      </c>
      <c r="AF74" s="23"/>
      <c r="AG74" s="44" t="str">
        <f t="shared" si="51"/>
        <v/>
      </c>
      <c r="AH74" s="25"/>
      <c r="AI74" s="44" t="str">
        <f t="shared" si="52"/>
        <v/>
      </c>
      <c r="AJ74" s="46">
        <v>0.0</v>
      </c>
      <c r="AK74" s="33"/>
      <c r="AL74" s="22">
        <v>2.0</v>
      </c>
      <c r="AM74" s="23" t="s">
        <v>104</v>
      </c>
      <c r="AN74" s="34">
        <v>46309.665257581015</v>
      </c>
      <c r="AO74" s="25" t="s">
        <v>69</v>
      </c>
      <c r="AP74" s="34">
        <v>46309.69475730324</v>
      </c>
      <c r="AQ74" s="29">
        <f t="shared" si="14"/>
        <v>42.4796</v>
      </c>
      <c r="AR74" s="29">
        <f t="shared" si="15"/>
        <v>0</v>
      </c>
      <c r="AS74" s="29">
        <f t="shared" si="16"/>
        <v>0.7079933333</v>
      </c>
      <c r="AT74" s="22" t="str">
        <f t="shared" si="17"/>
        <v/>
      </c>
      <c r="AU74" s="23"/>
      <c r="AV74" s="44" t="str">
        <f t="shared" si="18"/>
        <v/>
      </c>
      <c r="AW74" s="25"/>
      <c r="AX74" s="44" t="str">
        <f t="shared" si="19"/>
        <v/>
      </c>
      <c r="AY74" s="54"/>
      <c r="AZ74" s="22" t="str">
        <f t="shared" si="20"/>
        <v/>
      </c>
      <c r="BA74" s="23"/>
      <c r="BB74" s="44" t="str">
        <f t="shared" si="21"/>
        <v/>
      </c>
      <c r="BC74" s="25"/>
      <c r="BD74" s="44" t="str">
        <f t="shared" si="22"/>
        <v/>
      </c>
      <c r="BE74" s="54"/>
      <c r="BF74" s="22" t="str">
        <f t="shared" si="23"/>
        <v/>
      </c>
      <c r="BG74" s="23"/>
      <c r="BH74" s="34"/>
      <c r="BI74" s="25"/>
      <c r="BJ74" s="34"/>
      <c r="BK74" s="46">
        <v>0.0</v>
      </c>
      <c r="BL74" s="33"/>
      <c r="BM74" s="22" t="str">
        <f t="shared" si="24"/>
        <v/>
      </c>
      <c r="BN74" s="23"/>
      <c r="BO74" s="44" t="str">
        <f t="shared" si="25"/>
        <v/>
      </c>
      <c r="BP74" s="25"/>
      <c r="BQ74" s="44" t="str">
        <f t="shared" si="26"/>
        <v/>
      </c>
      <c r="BR74" s="29" t="str">
        <f t="shared" si="27"/>
        <v/>
      </c>
      <c r="BS74" s="29">
        <f t="shared" si="28"/>
        <v>0</v>
      </c>
      <c r="BT74" s="29">
        <f t="shared" si="29"/>
        <v>0</v>
      </c>
      <c r="BU74" s="22" t="str">
        <f t="shared" si="30"/>
        <v/>
      </c>
      <c r="BV74" s="23"/>
      <c r="BW74" s="44" t="str">
        <f t="shared" si="31"/>
        <v/>
      </c>
      <c r="BX74" s="25"/>
      <c r="BY74" s="44" t="str">
        <f t="shared" si="32"/>
        <v/>
      </c>
      <c r="BZ74" s="54"/>
      <c r="CA74" s="22" t="str">
        <f t="shared" si="33"/>
        <v/>
      </c>
      <c r="CB74" s="23"/>
      <c r="CC74" s="44" t="str">
        <f t="shared" si="34"/>
        <v/>
      </c>
      <c r="CD74" s="25"/>
      <c r="CE74" s="44" t="str">
        <f t="shared" si="35"/>
        <v/>
      </c>
      <c r="CF74" s="54"/>
      <c r="CG74" s="22" t="str">
        <f t="shared" si="5"/>
        <v/>
      </c>
      <c r="CH74" s="23"/>
      <c r="CI74" s="44" t="str">
        <f t="shared" si="6"/>
        <v/>
      </c>
      <c r="CJ74" s="25"/>
      <c r="CK74" s="44" t="str">
        <f t="shared" si="7"/>
        <v/>
      </c>
      <c r="CL74" s="46">
        <v>0.0</v>
      </c>
    </row>
    <row r="75">
      <c r="A75" s="26">
        <f t="shared" si="58"/>
        <v>73</v>
      </c>
      <c r="B75" s="27" t="s">
        <v>336</v>
      </c>
      <c r="C75" s="27" t="s">
        <v>337</v>
      </c>
      <c r="D75" s="27"/>
      <c r="E75" s="26"/>
      <c r="F75" s="26"/>
      <c r="G75" s="20">
        <v>2.0</v>
      </c>
      <c r="H75" s="20">
        <v>1.0</v>
      </c>
      <c r="I75" s="23" t="s">
        <v>72</v>
      </c>
      <c r="J75" s="33"/>
      <c r="K75" s="22">
        <f t="shared" si="53"/>
        <v>2</v>
      </c>
      <c r="L75" s="23" t="s">
        <v>224</v>
      </c>
      <c r="M75" s="34">
        <v>46310.42525800926</v>
      </c>
      <c r="N75" s="25" t="s">
        <v>69</v>
      </c>
      <c r="O75" s="34">
        <v>46310.463954189814</v>
      </c>
      <c r="P75" s="29">
        <f t="shared" si="8"/>
        <v>55.7225</v>
      </c>
      <c r="Q75" s="29">
        <f t="shared" si="9"/>
        <v>0</v>
      </c>
      <c r="R75" s="29">
        <f t="shared" si="10"/>
        <v>0.9287083333</v>
      </c>
      <c r="S75" s="22" t="str">
        <f t="shared" si="11"/>
        <v/>
      </c>
      <c r="T75" s="23"/>
      <c r="U75" s="44" t="str">
        <f t="shared" si="49"/>
        <v/>
      </c>
      <c r="V75" s="25"/>
      <c r="W75" s="44" t="str">
        <f t="shared" si="50"/>
        <v/>
      </c>
      <c r="X75" s="54"/>
      <c r="Y75" s="22" t="str">
        <f t="shared" si="12"/>
        <v/>
      </c>
      <c r="Z75" s="23"/>
      <c r="AA75" s="44" t="str">
        <f t="shared" si="40"/>
        <v/>
      </c>
      <c r="AB75" s="25"/>
      <c r="AC75" s="44" t="str">
        <f t="shared" si="41"/>
        <v/>
      </c>
      <c r="AD75" s="54"/>
      <c r="AE75" s="22" t="str">
        <f t="shared" si="13"/>
        <v/>
      </c>
      <c r="AF75" s="23"/>
      <c r="AG75" s="44" t="str">
        <f t="shared" si="51"/>
        <v/>
      </c>
      <c r="AH75" s="25"/>
      <c r="AI75" s="44" t="str">
        <f t="shared" si="52"/>
        <v/>
      </c>
      <c r="AJ75" s="46">
        <v>0.0</v>
      </c>
      <c r="AK75" s="33"/>
      <c r="AL75" s="22">
        <v>1.0</v>
      </c>
      <c r="AM75" s="23" t="s">
        <v>224</v>
      </c>
      <c r="AN75" s="44">
        <f t="shared" ref="AN75:AN79" si="67">if(AM75&lt;&gt;"", if(AN75="",NOW(),AN75),"")</f>
        <v>46310.46908</v>
      </c>
      <c r="AO75" s="25" t="s">
        <v>69</v>
      </c>
      <c r="AP75" s="34">
        <v>46310.56295320602</v>
      </c>
      <c r="AQ75" s="29">
        <f t="shared" si="14"/>
        <v>135.1736167</v>
      </c>
      <c r="AR75" s="29">
        <f t="shared" si="15"/>
        <v>60</v>
      </c>
      <c r="AS75" s="29">
        <f t="shared" si="16"/>
        <v>1.252893611</v>
      </c>
      <c r="AT75" s="22" t="str">
        <f t="shared" si="17"/>
        <v/>
      </c>
      <c r="AU75" s="23"/>
      <c r="AV75" s="44" t="str">
        <f t="shared" si="18"/>
        <v/>
      </c>
      <c r="AW75" s="25"/>
      <c r="AX75" s="44" t="str">
        <f t="shared" si="19"/>
        <v/>
      </c>
      <c r="AY75" s="54"/>
      <c r="AZ75" s="22" t="str">
        <f t="shared" si="20"/>
        <v/>
      </c>
      <c r="BA75" s="23"/>
      <c r="BB75" s="44" t="str">
        <f t="shared" si="21"/>
        <v/>
      </c>
      <c r="BC75" s="25"/>
      <c r="BD75" s="44" t="str">
        <f t="shared" si="22"/>
        <v/>
      </c>
      <c r="BE75" s="54"/>
      <c r="BF75" s="22" t="str">
        <f t="shared" si="23"/>
        <v/>
      </c>
      <c r="BG75" s="23"/>
      <c r="BH75" s="44" t="str">
        <f t="shared" ref="BH75:BH79" si="68">if(BG75&lt;&gt;"", if(BH75="",NOW(),BH75),"")</f>
        <v/>
      </c>
      <c r="BI75" s="25"/>
      <c r="BJ75" s="44" t="str">
        <f t="shared" ref="BJ75:BJ79" si="69">if(BI75="Done", if(BJ75="",NOW(),BJ75),"")</f>
        <v/>
      </c>
      <c r="BK75" s="46">
        <v>0.0</v>
      </c>
      <c r="BL75" s="33"/>
      <c r="BM75" s="22" t="str">
        <f t="shared" si="24"/>
        <v/>
      </c>
      <c r="BN75" s="23"/>
      <c r="BO75" s="44" t="str">
        <f t="shared" si="25"/>
        <v/>
      </c>
      <c r="BP75" s="25"/>
      <c r="BQ75" s="44" t="str">
        <f t="shared" si="26"/>
        <v/>
      </c>
      <c r="BR75" s="29" t="str">
        <f t="shared" si="27"/>
        <v/>
      </c>
      <c r="BS75" s="29">
        <f t="shared" si="28"/>
        <v>0</v>
      </c>
      <c r="BT75" s="29">
        <f t="shared" si="29"/>
        <v>0</v>
      </c>
      <c r="BU75" s="22" t="str">
        <f t="shared" si="30"/>
        <v/>
      </c>
      <c r="BV75" s="23"/>
      <c r="BW75" s="44" t="str">
        <f t="shared" si="31"/>
        <v/>
      </c>
      <c r="BX75" s="25"/>
      <c r="BY75" s="44" t="str">
        <f t="shared" si="32"/>
        <v/>
      </c>
      <c r="BZ75" s="54"/>
      <c r="CA75" s="22" t="str">
        <f t="shared" si="33"/>
        <v/>
      </c>
      <c r="CB75" s="23"/>
      <c r="CC75" s="44" t="str">
        <f t="shared" si="34"/>
        <v/>
      </c>
      <c r="CD75" s="25"/>
      <c r="CE75" s="44" t="str">
        <f t="shared" si="35"/>
        <v/>
      </c>
      <c r="CF75" s="54"/>
      <c r="CG75" s="22" t="str">
        <f t="shared" si="5"/>
        <v/>
      </c>
      <c r="CH75" s="26"/>
      <c r="CI75" s="91"/>
      <c r="CJ75" s="26"/>
      <c r="CK75" s="91"/>
      <c r="CL75" s="26"/>
    </row>
    <row r="76">
      <c r="A76" s="26">
        <f t="shared" si="58"/>
        <v>74</v>
      </c>
      <c r="B76" s="27" t="s">
        <v>336</v>
      </c>
      <c r="C76" s="27" t="s">
        <v>349</v>
      </c>
      <c r="D76" s="27"/>
      <c r="E76" s="26"/>
      <c r="F76" s="26"/>
      <c r="G76" s="20">
        <v>1.0</v>
      </c>
      <c r="H76" s="20">
        <v>1.0</v>
      </c>
      <c r="I76" s="23" t="s">
        <v>72</v>
      </c>
      <c r="J76" s="33"/>
      <c r="K76" s="22">
        <f t="shared" si="53"/>
        <v>1</v>
      </c>
      <c r="L76" s="23" t="s">
        <v>126</v>
      </c>
      <c r="M76" s="34">
        <v>46309.67433716435</v>
      </c>
      <c r="N76" s="25" t="s">
        <v>69</v>
      </c>
      <c r="O76" s="34">
        <v>46309.7054458912</v>
      </c>
      <c r="P76" s="29">
        <f t="shared" si="8"/>
        <v>44.79656666</v>
      </c>
      <c r="Q76" s="29">
        <f t="shared" si="9"/>
        <v>0</v>
      </c>
      <c r="R76" s="29">
        <f t="shared" si="10"/>
        <v>0.7466094444</v>
      </c>
      <c r="S76" s="22" t="str">
        <f t="shared" si="11"/>
        <v/>
      </c>
      <c r="T76" s="23"/>
      <c r="U76" s="44" t="str">
        <f t="shared" si="49"/>
        <v/>
      </c>
      <c r="V76" s="25"/>
      <c r="W76" s="44" t="str">
        <f t="shared" si="50"/>
        <v/>
      </c>
      <c r="X76" s="54"/>
      <c r="Y76" s="22" t="str">
        <f t="shared" si="12"/>
        <v/>
      </c>
      <c r="Z76" s="23"/>
      <c r="AA76" s="44" t="str">
        <f t="shared" si="40"/>
        <v/>
      </c>
      <c r="AB76" s="25"/>
      <c r="AC76" s="44" t="str">
        <f t="shared" si="41"/>
        <v/>
      </c>
      <c r="AD76" s="54"/>
      <c r="AE76" s="22" t="str">
        <f t="shared" si="13"/>
        <v/>
      </c>
      <c r="AF76" s="23"/>
      <c r="AG76" s="44" t="str">
        <f t="shared" si="51"/>
        <v/>
      </c>
      <c r="AH76" s="25"/>
      <c r="AI76" s="44" t="str">
        <f t="shared" si="52"/>
        <v/>
      </c>
      <c r="AJ76" s="46">
        <v>0.0</v>
      </c>
      <c r="AK76" s="33"/>
      <c r="AL76" s="22">
        <v>1.0</v>
      </c>
      <c r="AM76" s="23" t="s">
        <v>126</v>
      </c>
      <c r="AN76" s="44">
        <f t="shared" si="67"/>
        <v>46310.48364</v>
      </c>
      <c r="AO76" s="25" t="s">
        <v>69</v>
      </c>
      <c r="AP76" s="34">
        <v>46310.55540484954</v>
      </c>
      <c r="AQ76" s="29">
        <f t="shared" si="14"/>
        <v>103.3420167</v>
      </c>
      <c r="AR76" s="29">
        <f t="shared" si="15"/>
        <v>60</v>
      </c>
      <c r="AS76" s="29">
        <f t="shared" si="16"/>
        <v>0.7223669444</v>
      </c>
      <c r="AT76" s="22" t="str">
        <f t="shared" si="17"/>
        <v/>
      </c>
      <c r="AU76" s="23"/>
      <c r="AV76" s="44" t="str">
        <f t="shared" si="18"/>
        <v/>
      </c>
      <c r="AW76" s="25"/>
      <c r="AX76" s="44" t="str">
        <f t="shared" si="19"/>
        <v/>
      </c>
      <c r="AY76" s="54"/>
      <c r="AZ76" s="22" t="str">
        <f t="shared" si="20"/>
        <v/>
      </c>
      <c r="BA76" s="23"/>
      <c r="BB76" s="44" t="str">
        <f t="shared" si="21"/>
        <v/>
      </c>
      <c r="BC76" s="25"/>
      <c r="BD76" s="44" t="str">
        <f t="shared" si="22"/>
        <v/>
      </c>
      <c r="BE76" s="54"/>
      <c r="BF76" s="22" t="str">
        <f t="shared" si="23"/>
        <v/>
      </c>
      <c r="BG76" s="23"/>
      <c r="BH76" s="44" t="str">
        <f t="shared" si="68"/>
        <v/>
      </c>
      <c r="BI76" s="25"/>
      <c r="BJ76" s="44" t="str">
        <f t="shared" si="69"/>
        <v/>
      </c>
      <c r="BK76" s="46">
        <v>0.0</v>
      </c>
      <c r="BL76" s="33"/>
      <c r="BM76" s="22" t="str">
        <f t="shared" si="24"/>
        <v/>
      </c>
      <c r="BN76" s="23"/>
      <c r="BO76" s="44" t="str">
        <f t="shared" si="25"/>
        <v/>
      </c>
      <c r="BP76" s="25"/>
      <c r="BQ76" s="44" t="str">
        <f t="shared" si="26"/>
        <v/>
      </c>
      <c r="BR76" s="29" t="str">
        <f t="shared" si="27"/>
        <v/>
      </c>
      <c r="BS76" s="29">
        <f t="shared" si="28"/>
        <v>0</v>
      </c>
      <c r="BT76" s="29">
        <f t="shared" si="29"/>
        <v>0</v>
      </c>
      <c r="BU76" s="22" t="str">
        <f t="shared" si="30"/>
        <v/>
      </c>
      <c r="BV76" s="23"/>
      <c r="BW76" s="44" t="str">
        <f t="shared" si="31"/>
        <v/>
      </c>
      <c r="BX76" s="25"/>
      <c r="BY76" s="44" t="str">
        <f t="shared" si="32"/>
        <v/>
      </c>
      <c r="BZ76" s="54"/>
      <c r="CA76" s="22" t="str">
        <f t="shared" si="33"/>
        <v/>
      </c>
      <c r="CB76" s="23"/>
      <c r="CC76" s="44" t="str">
        <f t="shared" si="34"/>
        <v/>
      </c>
      <c r="CD76" s="25"/>
      <c r="CE76" s="44" t="str">
        <f t="shared" si="35"/>
        <v/>
      </c>
      <c r="CF76" s="54"/>
      <c r="CG76" s="22" t="str">
        <f t="shared" si="5"/>
        <v/>
      </c>
      <c r="CH76" s="26"/>
      <c r="CI76" s="91"/>
      <c r="CJ76" s="26"/>
      <c r="CK76" s="91"/>
      <c r="CL76" s="26"/>
    </row>
    <row r="77">
      <c r="A77" s="26">
        <f t="shared" si="58"/>
        <v>75</v>
      </c>
      <c r="B77" s="27" t="s">
        <v>336</v>
      </c>
      <c r="C77" s="27" t="s">
        <v>351</v>
      </c>
      <c r="D77" s="27"/>
      <c r="E77" s="26"/>
      <c r="F77" s="26"/>
      <c r="G77" s="20">
        <v>1.0</v>
      </c>
      <c r="H77" s="20">
        <v>1.0</v>
      </c>
      <c r="I77" s="23" t="s">
        <v>72</v>
      </c>
      <c r="J77" s="33"/>
      <c r="K77" s="22">
        <f t="shared" si="53"/>
        <v>1</v>
      </c>
      <c r="L77" s="23" t="s">
        <v>289</v>
      </c>
      <c r="M77" s="34">
        <v>46310.412210486116</v>
      </c>
      <c r="N77" s="25" t="s">
        <v>69</v>
      </c>
      <c r="O77" s="34">
        <v>46310.46491372686</v>
      </c>
      <c r="P77" s="29">
        <f t="shared" si="8"/>
        <v>75.89266667</v>
      </c>
      <c r="Q77" s="29">
        <f t="shared" si="9"/>
        <v>0</v>
      </c>
      <c r="R77" s="29">
        <f t="shared" si="10"/>
        <v>1.264877778</v>
      </c>
      <c r="S77" s="22" t="str">
        <f t="shared" si="11"/>
        <v/>
      </c>
      <c r="T77" s="23"/>
      <c r="U77" s="44" t="str">
        <f t="shared" si="49"/>
        <v/>
      </c>
      <c r="V77" s="25"/>
      <c r="W77" s="44" t="str">
        <f t="shared" si="50"/>
        <v/>
      </c>
      <c r="X77" s="54"/>
      <c r="Y77" s="22" t="str">
        <f t="shared" si="12"/>
        <v/>
      </c>
      <c r="Z77" s="23"/>
      <c r="AA77" s="44" t="str">
        <f t="shared" si="40"/>
        <v/>
      </c>
      <c r="AB77" s="25"/>
      <c r="AC77" s="44" t="str">
        <f t="shared" si="41"/>
        <v/>
      </c>
      <c r="AD77" s="54"/>
      <c r="AE77" s="22" t="str">
        <f t="shared" si="13"/>
        <v/>
      </c>
      <c r="AF77" s="23"/>
      <c r="AG77" s="44" t="str">
        <f t="shared" si="51"/>
        <v/>
      </c>
      <c r="AH77" s="25"/>
      <c r="AI77" s="44" t="str">
        <f t="shared" si="52"/>
        <v/>
      </c>
      <c r="AJ77" s="46">
        <v>0.0</v>
      </c>
      <c r="AK77" s="33"/>
      <c r="AL77" s="22">
        <v>1.0</v>
      </c>
      <c r="AM77" s="23" t="s">
        <v>289</v>
      </c>
      <c r="AN77" s="44">
        <f t="shared" si="67"/>
        <v>46310.47284</v>
      </c>
      <c r="AO77" s="25" t="s">
        <v>69</v>
      </c>
      <c r="AP77" s="44">
        <f t="shared" ref="AP77:AP79" si="70">if(AO77="Done", if(AP77="",NOW(),AP77),"")</f>
        <v>46310.4982</v>
      </c>
      <c r="AQ77" s="29">
        <f t="shared" si="14"/>
        <v>36.51421666</v>
      </c>
      <c r="AR77" s="29">
        <f t="shared" si="15"/>
        <v>0</v>
      </c>
      <c r="AS77" s="29">
        <f t="shared" si="16"/>
        <v>0.6085702777</v>
      </c>
      <c r="AT77" s="22" t="str">
        <f t="shared" si="17"/>
        <v/>
      </c>
      <c r="AU77" s="23"/>
      <c r="AV77" s="44" t="str">
        <f t="shared" si="18"/>
        <v/>
      </c>
      <c r="AW77" s="25"/>
      <c r="AX77" s="44" t="str">
        <f t="shared" si="19"/>
        <v/>
      </c>
      <c r="AY77" s="54"/>
      <c r="AZ77" s="22" t="str">
        <f t="shared" si="20"/>
        <v/>
      </c>
      <c r="BA77" s="23"/>
      <c r="BB77" s="44" t="str">
        <f t="shared" si="21"/>
        <v/>
      </c>
      <c r="BC77" s="25"/>
      <c r="BD77" s="44" t="str">
        <f t="shared" si="22"/>
        <v/>
      </c>
      <c r="BE77" s="54"/>
      <c r="BF77" s="22" t="str">
        <f t="shared" si="23"/>
        <v/>
      </c>
      <c r="BG77" s="23"/>
      <c r="BH77" s="44" t="str">
        <f t="shared" si="68"/>
        <v/>
      </c>
      <c r="BI77" s="25"/>
      <c r="BJ77" s="44" t="str">
        <f t="shared" si="69"/>
        <v/>
      </c>
      <c r="BK77" s="46">
        <v>0.0</v>
      </c>
      <c r="BL77" s="33"/>
      <c r="BM77" s="22" t="str">
        <f t="shared" si="24"/>
        <v/>
      </c>
      <c r="BN77" s="23"/>
      <c r="BO77" s="44" t="str">
        <f t="shared" si="25"/>
        <v/>
      </c>
      <c r="BP77" s="25"/>
      <c r="BQ77" s="44" t="str">
        <f t="shared" si="26"/>
        <v/>
      </c>
      <c r="BR77" s="29" t="str">
        <f t="shared" si="27"/>
        <v/>
      </c>
      <c r="BS77" s="29">
        <f t="shared" si="28"/>
        <v>0</v>
      </c>
      <c r="BT77" s="29">
        <f t="shared" si="29"/>
        <v>0</v>
      </c>
      <c r="BU77" s="22" t="str">
        <f t="shared" si="30"/>
        <v/>
      </c>
      <c r="BV77" s="23"/>
      <c r="BW77" s="44" t="str">
        <f t="shared" si="31"/>
        <v/>
      </c>
      <c r="BX77" s="25"/>
      <c r="BY77" s="44" t="str">
        <f t="shared" si="32"/>
        <v/>
      </c>
      <c r="BZ77" s="54"/>
      <c r="CA77" s="22" t="str">
        <f t="shared" si="33"/>
        <v/>
      </c>
      <c r="CB77" s="23"/>
      <c r="CC77" s="44" t="str">
        <f t="shared" si="34"/>
        <v/>
      </c>
      <c r="CD77" s="25"/>
      <c r="CE77" s="44" t="str">
        <f t="shared" si="35"/>
        <v/>
      </c>
      <c r="CF77" s="54"/>
      <c r="CG77" s="22" t="str">
        <f t="shared" si="5"/>
        <v/>
      </c>
      <c r="CH77" s="26"/>
      <c r="CI77" s="91"/>
      <c r="CJ77" s="26"/>
      <c r="CK77" s="91"/>
      <c r="CL77" s="26"/>
    </row>
    <row r="78">
      <c r="A78" s="26">
        <f t="shared" si="58"/>
        <v>76</v>
      </c>
      <c r="B78" s="27" t="s">
        <v>336</v>
      </c>
      <c r="C78" s="27" t="s">
        <v>353</v>
      </c>
      <c r="D78" s="27"/>
      <c r="E78" s="26"/>
      <c r="F78" s="26"/>
      <c r="G78" s="20"/>
      <c r="H78" s="20"/>
      <c r="I78" s="23"/>
      <c r="J78" s="33"/>
      <c r="K78" s="22" t="str">
        <f t="shared" si="53"/>
        <v/>
      </c>
      <c r="L78" s="23"/>
      <c r="M78" s="44" t="str">
        <f t="shared" ref="M78:M79" si="71">if(L78&lt;&gt;"", if(M78="",NOW(),M78),"")</f>
        <v/>
      </c>
      <c r="N78" s="25"/>
      <c r="O78" s="44" t="str">
        <f t="shared" ref="O78:O79" si="72">if(N78="Done", if(O78="",NOW(),O78),"")</f>
        <v/>
      </c>
      <c r="P78" s="29" t="str">
        <f t="shared" si="8"/>
        <v/>
      </c>
      <c r="Q78" s="29">
        <f t="shared" si="9"/>
        <v>0</v>
      </c>
      <c r="R78" s="29">
        <f t="shared" si="10"/>
        <v>0</v>
      </c>
      <c r="S78" s="22" t="str">
        <f t="shared" si="11"/>
        <v/>
      </c>
      <c r="T78" s="23"/>
      <c r="U78" s="44" t="str">
        <f t="shared" si="49"/>
        <v/>
      </c>
      <c r="V78" s="25"/>
      <c r="W78" s="44" t="str">
        <f t="shared" si="50"/>
        <v/>
      </c>
      <c r="X78" s="54"/>
      <c r="Y78" s="22" t="str">
        <f t="shared" si="12"/>
        <v/>
      </c>
      <c r="Z78" s="23"/>
      <c r="AA78" s="44" t="str">
        <f t="shared" si="40"/>
        <v/>
      </c>
      <c r="AB78" s="25"/>
      <c r="AC78" s="44" t="str">
        <f t="shared" si="41"/>
        <v/>
      </c>
      <c r="AD78" s="54"/>
      <c r="AE78" s="22" t="str">
        <f t="shared" si="13"/>
        <v/>
      </c>
      <c r="AF78" s="23"/>
      <c r="AG78" s="44" t="str">
        <f t="shared" si="51"/>
        <v/>
      </c>
      <c r="AH78" s="25"/>
      <c r="AI78" s="44" t="str">
        <f t="shared" si="52"/>
        <v/>
      </c>
      <c r="AJ78" s="46">
        <v>0.0</v>
      </c>
      <c r="AK78" s="33"/>
      <c r="AL78" s="22"/>
      <c r="AM78" s="23"/>
      <c r="AN78" s="44" t="str">
        <f t="shared" si="67"/>
        <v/>
      </c>
      <c r="AO78" s="25"/>
      <c r="AP78" s="44" t="str">
        <f t="shared" si="70"/>
        <v/>
      </c>
      <c r="AQ78" s="29" t="str">
        <f t="shared" si="14"/>
        <v/>
      </c>
      <c r="AR78" s="29">
        <f t="shared" si="15"/>
        <v>0</v>
      </c>
      <c r="AS78" s="29">
        <f t="shared" si="16"/>
        <v>0</v>
      </c>
      <c r="AT78" s="22" t="str">
        <f t="shared" si="17"/>
        <v/>
      </c>
      <c r="AU78" s="23"/>
      <c r="AV78" s="44" t="str">
        <f t="shared" si="18"/>
        <v/>
      </c>
      <c r="AW78" s="25"/>
      <c r="AX78" s="44" t="str">
        <f t="shared" si="19"/>
        <v/>
      </c>
      <c r="AY78" s="54"/>
      <c r="AZ78" s="22" t="str">
        <f t="shared" si="20"/>
        <v/>
      </c>
      <c r="BA78" s="23"/>
      <c r="BB78" s="44" t="str">
        <f t="shared" si="21"/>
        <v/>
      </c>
      <c r="BC78" s="25"/>
      <c r="BD78" s="44" t="str">
        <f t="shared" si="22"/>
        <v/>
      </c>
      <c r="BE78" s="54"/>
      <c r="BF78" s="22" t="str">
        <f t="shared" si="23"/>
        <v/>
      </c>
      <c r="BG78" s="23"/>
      <c r="BH78" s="44" t="str">
        <f t="shared" si="68"/>
        <v/>
      </c>
      <c r="BI78" s="25"/>
      <c r="BJ78" s="44" t="str">
        <f t="shared" si="69"/>
        <v/>
      </c>
      <c r="BK78" s="46">
        <v>0.0</v>
      </c>
      <c r="BL78" s="33"/>
      <c r="BM78" s="22" t="str">
        <f t="shared" si="24"/>
        <v/>
      </c>
      <c r="BN78" s="23"/>
      <c r="BO78" s="44" t="str">
        <f t="shared" si="25"/>
        <v/>
      </c>
      <c r="BP78" s="25"/>
      <c r="BQ78" s="44" t="str">
        <f t="shared" si="26"/>
        <v/>
      </c>
      <c r="BR78" s="29" t="str">
        <f t="shared" si="27"/>
        <v/>
      </c>
      <c r="BS78" s="29">
        <f t="shared" si="28"/>
        <v>0</v>
      </c>
      <c r="BT78" s="29">
        <f t="shared" si="29"/>
        <v>0</v>
      </c>
      <c r="BU78" s="22" t="str">
        <f t="shared" si="30"/>
        <v/>
      </c>
      <c r="BV78" s="23"/>
      <c r="BW78" s="44" t="str">
        <f t="shared" si="31"/>
        <v/>
      </c>
      <c r="BX78" s="25"/>
      <c r="BY78" s="44" t="str">
        <f t="shared" si="32"/>
        <v/>
      </c>
      <c r="BZ78" s="54"/>
      <c r="CA78" s="22" t="str">
        <f t="shared" si="33"/>
        <v/>
      </c>
      <c r="CB78" s="23"/>
      <c r="CC78" s="44" t="str">
        <f t="shared" si="34"/>
        <v/>
      </c>
      <c r="CD78" s="25"/>
      <c r="CE78" s="44" t="str">
        <f t="shared" si="35"/>
        <v/>
      </c>
      <c r="CF78" s="54"/>
      <c r="CG78" s="22" t="str">
        <f t="shared" si="5"/>
        <v/>
      </c>
      <c r="CH78" s="26"/>
      <c r="CI78" s="91"/>
      <c r="CJ78" s="26"/>
      <c r="CK78" s="91"/>
      <c r="CL78" s="26"/>
    </row>
    <row r="79">
      <c r="A79" s="26">
        <f t="shared" si="58"/>
        <v>77</v>
      </c>
      <c r="B79" s="27" t="s">
        <v>356</v>
      </c>
      <c r="C79" s="27" t="s">
        <v>357</v>
      </c>
      <c r="D79" s="27"/>
      <c r="E79" s="26"/>
      <c r="F79" s="26"/>
      <c r="G79" s="20">
        <v>2.0</v>
      </c>
      <c r="H79" s="20">
        <v>1.0</v>
      </c>
      <c r="I79" s="23" t="s">
        <v>72</v>
      </c>
      <c r="J79" s="33"/>
      <c r="K79" s="22">
        <f t="shared" si="53"/>
        <v>2</v>
      </c>
      <c r="L79" s="23" t="s">
        <v>225</v>
      </c>
      <c r="M79" s="44">
        <f t="shared" si="71"/>
        <v>46310.54941</v>
      </c>
      <c r="N79" s="25" t="s">
        <v>69</v>
      </c>
      <c r="O79" s="44">
        <f t="shared" si="72"/>
        <v>46310.66879</v>
      </c>
      <c r="P79" s="29">
        <f t="shared" si="8"/>
        <v>171.9040667</v>
      </c>
      <c r="Q79" s="29">
        <f t="shared" si="9"/>
        <v>0</v>
      </c>
      <c r="R79" s="29">
        <f t="shared" si="10"/>
        <v>2.865067778</v>
      </c>
      <c r="S79" s="22" t="str">
        <f t="shared" si="11"/>
        <v/>
      </c>
      <c r="T79" s="23"/>
      <c r="U79" s="44" t="str">
        <f t="shared" si="49"/>
        <v/>
      </c>
      <c r="V79" s="25"/>
      <c r="W79" s="44" t="str">
        <f t="shared" si="50"/>
        <v/>
      </c>
      <c r="X79" s="54"/>
      <c r="Y79" s="22" t="str">
        <f t="shared" si="12"/>
        <v/>
      </c>
      <c r="Z79" s="23"/>
      <c r="AA79" s="44" t="str">
        <f t="shared" si="40"/>
        <v/>
      </c>
      <c r="AB79" s="25"/>
      <c r="AC79" s="44" t="str">
        <f t="shared" si="41"/>
        <v/>
      </c>
      <c r="AD79" s="54"/>
      <c r="AE79" s="22" t="str">
        <f t="shared" si="13"/>
        <v/>
      </c>
      <c r="AF79" s="23"/>
      <c r="AG79" s="44" t="str">
        <f t="shared" si="51"/>
        <v/>
      </c>
      <c r="AH79" s="25"/>
      <c r="AI79" s="44" t="str">
        <f t="shared" si="52"/>
        <v/>
      </c>
      <c r="AJ79" s="46">
        <v>0.0</v>
      </c>
      <c r="AK79" s="33"/>
      <c r="AL79" s="22">
        <v>1.0</v>
      </c>
      <c r="AM79" s="23" t="s">
        <v>225</v>
      </c>
      <c r="AN79" s="44">
        <f t="shared" si="67"/>
        <v>46310.67408</v>
      </c>
      <c r="AO79" s="25" t="s">
        <v>69</v>
      </c>
      <c r="AP79" s="44">
        <f t="shared" si="70"/>
        <v>46311.43533</v>
      </c>
      <c r="AQ79" s="29">
        <f t="shared" si="14"/>
        <v>1096.195833</v>
      </c>
      <c r="AR79" s="29">
        <f t="shared" si="15"/>
        <v>960</v>
      </c>
      <c r="AS79" s="29">
        <f t="shared" si="16"/>
        <v>2.269930556</v>
      </c>
      <c r="AT79" s="22" t="str">
        <f t="shared" si="17"/>
        <v/>
      </c>
      <c r="AU79" s="23"/>
      <c r="AV79" s="44" t="str">
        <f t="shared" si="18"/>
        <v/>
      </c>
      <c r="AW79" s="25"/>
      <c r="AX79" s="44" t="str">
        <f t="shared" si="19"/>
        <v/>
      </c>
      <c r="AY79" s="54"/>
      <c r="AZ79" s="22" t="str">
        <f t="shared" si="20"/>
        <v/>
      </c>
      <c r="BA79" s="23"/>
      <c r="BB79" s="44" t="str">
        <f t="shared" si="21"/>
        <v/>
      </c>
      <c r="BC79" s="25"/>
      <c r="BD79" s="44" t="str">
        <f t="shared" si="22"/>
        <v/>
      </c>
      <c r="BE79" s="54"/>
      <c r="BF79" s="22" t="str">
        <f t="shared" si="23"/>
        <v/>
      </c>
      <c r="BG79" s="23"/>
      <c r="BH79" s="44" t="str">
        <f t="shared" si="68"/>
        <v/>
      </c>
      <c r="BI79" s="25"/>
      <c r="BJ79" s="44" t="str">
        <f t="shared" si="69"/>
        <v/>
      </c>
      <c r="BK79" s="46">
        <v>0.0</v>
      </c>
      <c r="BL79" s="33"/>
      <c r="BM79" s="22" t="str">
        <f t="shared" si="24"/>
        <v/>
      </c>
      <c r="BN79" s="23"/>
      <c r="BO79" s="44" t="str">
        <f t="shared" si="25"/>
        <v/>
      </c>
      <c r="BP79" s="25"/>
      <c r="BQ79" s="44" t="str">
        <f t="shared" si="26"/>
        <v/>
      </c>
      <c r="BR79" s="29" t="str">
        <f t="shared" si="27"/>
        <v/>
      </c>
      <c r="BS79" s="29">
        <f t="shared" si="28"/>
        <v>0</v>
      </c>
      <c r="BT79" s="29">
        <f t="shared" si="29"/>
        <v>0</v>
      </c>
      <c r="BU79" s="22" t="str">
        <f t="shared" si="30"/>
        <v/>
      </c>
      <c r="BV79" s="23"/>
      <c r="BW79" s="44" t="str">
        <f t="shared" si="31"/>
        <v/>
      </c>
      <c r="BX79" s="25"/>
      <c r="BY79" s="44" t="str">
        <f t="shared" si="32"/>
        <v/>
      </c>
      <c r="BZ79" s="54"/>
      <c r="CA79" s="22" t="str">
        <f t="shared" si="33"/>
        <v/>
      </c>
      <c r="CB79" s="23"/>
      <c r="CC79" s="44" t="str">
        <f t="shared" si="34"/>
        <v/>
      </c>
      <c r="CD79" s="25"/>
      <c r="CE79" s="44" t="str">
        <f t="shared" si="35"/>
        <v/>
      </c>
      <c r="CF79" s="54"/>
      <c r="CG79" s="22" t="str">
        <f t="shared" si="5"/>
        <v/>
      </c>
      <c r="CH79" s="26"/>
      <c r="CI79" s="91"/>
      <c r="CJ79" s="26"/>
      <c r="CK79" s="91"/>
      <c r="CL79" s="26"/>
    </row>
    <row r="80" ht="151.5" customHeight="1">
      <c r="A80" s="26">
        <f t="shared" si="58"/>
        <v>78</v>
      </c>
      <c r="B80" s="27" t="s">
        <v>356</v>
      </c>
      <c r="C80" s="27" t="s">
        <v>358</v>
      </c>
      <c r="D80" s="27"/>
      <c r="F80" s="26"/>
      <c r="G80" s="20">
        <v>1.0</v>
      </c>
      <c r="H80" s="20">
        <v>1.0</v>
      </c>
      <c r="I80" s="23" t="s">
        <v>72</v>
      </c>
      <c r="J80" s="33"/>
      <c r="K80" s="22">
        <f t="shared" si="53"/>
        <v>1</v>
      </c>
      <c r="L80" s="23" t="s">
        <v>210</v>
      </c>
      <c r="M80" s="34">
        <v>46304.45774570602</v>
      </c>
      <c r="N80" s="25" t="s">
        <v>69</v>
      </c>
      <c r="O80" s="34">
        <v>46304.553224884265</v>
      </c>
      <c r="P80" s="29">
        <f t="shared" si="8"/>
        <v>137.4900167</v>
      </c>
      <c r="Q80" s="29">
        <f t="shared" si="9"/>
        <v>60</v>
      </c>
      <c r="R80" s="29">
        <f t="shared" si="10"/>
        <v>1.291500278</v>
      </c>
      <c r="S80" s="22" t="str">
        <f t="shared" si="11"/>
        <v/>
      </c>
      <c r="T80" s="23"/>
      <c r="U80" s="44" t="str">
        <f t="shared" si="49"/>
        <v/>
      </c>
      <c r="V80" s="25"/>
      <c r="W80" s="44" t="str">
        <f t="shared" si="50"/>
        <v/>
      </c>
      <c r="X80" s="54"/>
      <c r="Y80" s="22" t="str">
        <f t="shared" si="12"/>
        <v/>
      </c>
      <c r="Z80" s="23"/>
      <c r="AA80" s="44" t="str">
        <f t="shared" si="40"/>
        <v/>
      </c>
      <c r="AB80" s="25"/>
      <c r="AC80" s="44" t="str">
        <f t="shared" si="41"/>
        <v/>
      </c>
      <c r="AD80" s="54"/>
      <c r="AE80" s="22" t="str">
        <f t="shared" si="13"/>
        <v/>
      </c>
      <c r="AF80" s="23"/>
      <c r="AG80" s="44" t="str">
        <f t="shared" si="51"/>
        <v/>
      </c>
      <c r="AH80" s="25"/>
      <c r="AI80" s="44" t="str">
        <f t="shared" si="52"/>
        <v/>
      </c>
      <c r="AJ80" s="46">
        <v>0.0</v>
      </c>
      <c r="AK80" s="33"/>
      <c r="AL80" s="22">
        <v>1.0</v>
      </c>
      <c r="AM80" s="23" t="s">
        <v>186</v>
      </c>
      <c r="AN80" s="34">
        <v>46308.47962174768</v>
      </c>
      <c r="AO80" s="25" t="s">
        <v>69</v>
      </c>
      <c r="AP80" s="34">
        <v>46308.55258462963</v>
      </c>
      <c r="AQ80" s="29">
        <f t="shared" si="14"/>
        <v>105.06655</v>
      </c>
      <c r="AR80" s="29">
        <f t="shared" si="15"/>
        <v>60</v>
      </c>
      <c r="AS80" s="29">
        <f t="shared" si="16"/>
        <v>0.7511091667</v>
      </c>
      <c r="AT80" s="22" t="str">
        <f t="shared" si="17"/>
        <v/>
      </c>
      <c r="AU80" s="23"/>
      <c r="AV80" s="44" t="str">
        <f t="shared" si="18"/>
        <v/>
      </c>
      <c r="AW80" s="25"/>
      <c r="AX80" s="44" t="str">
        <f t="shared" si="19"/>
        <v/>
      </c>
      <c r="AY80" s="54"/>
      <c r="AZ80" s="22" t="str">
        <f t="shared" si="20"/>
        <v/>
      </c>
      <c r="BA80" s="23"/>
      <c r="BB80" s="44" t="str">
        <f t="shared" si="21"/>
        <v/>
      </c>
      <c r="BC80" s="25"/>
      <c r="BD80" s="44" t="str">
        <f t="shared" si="22"/>
        <v/>
      </c>
      <c r="BE80" s="54"/>
      <c r="BF80" s="22" t="str">
        <f t="shared" si="23"/>
        <v>Done</v>
      </c>
      <c r="BG80" s="23" t="s">
        <v>77</v>
      </c>
      <c r="BH80" s="34">
        <v>46309.44465842593</v>
      </c>
      <c r="BI80" s="25" t="s">
        <v>69</v>
      </c>
      <c r="BJ80" s="34">
        <v>46309.4472594213</v>
      </c>
      <c r="BK80" s="46">
        <v>1.0</v>
      </c>
      <c r="BL80" s="33"/>
      <c r="BM80" s="22" t="str">
        <f t="shared" si="24"/>
        <v>Done</v>
      </c>
      <c r="BN80" s="23"/>
      <c r="BO80" s="44" t="str">
        <f t="shared" si="25"/>
        <v/>
      </c>
      <c r="BP80" s="25"/>
      <c r="BQ80" s="44" t="str">
        <f t="shared" si="26"/>
        <v/>
      </c>
      <c r="BR80" s="29" t="str">
        <f t="shared" si="27"/>
        <v/>
      </c>
      <c r="BS80" s="29">
        <f t="shared" si="28"/>
        <v>0</v>
      </c>
      <c r="BT80" s="29">
        <f t="shared" si="29"/>
        <v>0</v>
      </c>
      <c r="BU80" s="22" t="str">
        <f t="shared" si="30"/>
        <v/>
      </c>
      <c r="BV80" s="23"/>
      <c r="BW80" s="44" t="str">
        <f t="shared" si="31"/>
        <v/>
      </c>
      <c r="BX80" s="25"/>
      <c r="BY80" s="44" t="str">
        <f t="shared" si="32"/>
        <v/>
      </c>
      <c r="BZ80" s="54"/>
      <c r="CA80" s="22" t="str">
        <f t="shared" si="33"/>
        <v/>
      </c>
      <c r="CB80" s="23"/>
      <c r="CC80" s="44" t="str">
        <f t="shared" si="34"/>
        <v/>
      </c>
      <c r="CD80" s="25"/>
      <c r="CE80" s="44" t="str">
        <f t="shared" si="35"/>
        <v/>
      </c>
      <c r="CF80" s="54"/>
      <c r="CG80" s="22" t="str">
        <f t="shared" si="5"/>
        <v/>
      </c>
      <c r="CH80" s="26"/>
      <c r="CI80" s="91"/>
      <c r="CJ80" s="26"/>
      <c r="CK80" s="91"/>
      <c r="CL80" s="26"/>
    </row>
    <row r="81">
      <c r="A81" s="26">
        <f t="shared" si="58"/>
        <v>79</v>
      </c>
      <c r="B81" s="27" t="s">
        <v>359</v>
      </c>
      <c r="C81" s="27" t="s">
        <v>360</v>
      </c>
      <c r="D81" s="27"/>
      <c r="E81" s="26"/>
      <c r="F81" s="26"/>
      <c r="G81" s="20">
        <v>1.0</v>
      </c>
      <c r="H81" s="20">
        <v>1.0</v>
      </c>
      <c r="I81" s="23" t="s">
        <v>72</v>
      </c>
      <c r="J81" s="33"/>
      <c r="K81" s="22">
        <f t="shared" si="53"/>
        <v>1</v>
      </c>
      <c r="L81" s="23"/>
      <c r="M81" s="44" t="str">
        <f>if(L81&lt;&gt;"", if(M81="",NOW(),M81),"")</f>
        <v/>
      </c>
      <c r="N81" s="25"/>
      <c r="O81" s="44" t="str">
        <f>if(N81="Done", if(O81="",NOW(),O81),"")</f>
        <v/>
      </c>
      <c r="P81" s="29" t="str">
        <f t="shared" si="8"/>
        <v/>
      </c>
      <c r="Q81" s="29">
        <f t="shared" si="9"/>
        <v>0</v>
      </c>
      <c r="R81" s="29">
        <f t="shared" si="10"/>
        <v>0</v>
      </c>
      <c r="S81" s="22" t="str">
        <f t="shared" si="11"/>
        <v/>
      </c>
      <c r="T81" s="23"/>
      <c r="U81" s="44" t="str">
        <f t="shared" si="49"/>
        <v/>
      </c>
      <c r="V81" s="25"/>
      <c r="W81" s="44" t="str">
        <f t="shared" si="50"/>
        <v/>
      </c>
      <c r="X81" s="54"/>
      <c r="Y81" s="22" t="str">
        <f t="shared" si="12"/>
        <v/>
      </c>
      <c r="Z81" s="23"/>
      <c r="AA81" s="44" t="str">
        <f t="shared" si="40"/>
        <v/>
      </c>
      <c r="AB81" s="25"/>
      <c r="AC81" s="44" t="str">
        <f t="shared" si="41"/>
        <v/>
      </c>
      <c r="AD81" s="54"/>
      <c r="AE81" s="22" t="str">
        <f t="shared" si="13"/>
        <v/>
      </c>
      <c r="AF81" s="23"/>
      <c r="AG81" s="44" t="str">
        <f t="shared" si="51"/>
        <v/>
      </c>
      <c r="AH81" s="25"/>
      <c r="AI81" s="44" t="str">
        <f t="shared" si="52"/>
        <v/>
      </c>
      <c r="AJ81" s="46">
        <v>0.0</v>
      </c>
      <c r="AK81" s="33"/>
      <c r="AL81" s="22">
        <v>1.0</v>
      </c>
      <c r="AM81" s="23"/>
      <c r="AN81" s="44" t="str">
        <f>if(AM81&lt;&gt;"", if(AN81="",NOW(),AN81),"")</f>
        <v/>
      </c>
      <c r="AO81" s="25"/>
      <c r="AP81" s="44" t="str">
        <f>if(AO81="Done", if(AP81="",NOW(),AP81),"")</f>
        <v/>
      </c>
      <c r="AQ81" s="29" t="str">
        <f t="shared" si="14"/>
        <v/>
      </c>
      <c r="AR81" s="29">
        <f t="shared" si="15"/>
        <v>0</v>
      </c>
      <c r="AS81" s="29">
        <f t="shared" si="16"/>
        <v>0</v>
      </c>
      <c r="AT81" s="22" t="str">
        <f t="shared" si="17"/>
        <v/>
      </c>
      <c r="AU81" s="23"/>
      <c r="AV81" s="44" t="str">
        <f t="shared" si="18"/>
        <v/>
      </c>
      <c r="AW81" s="25"/>
      <c r="AX81" s="44" t="str">
        <f t="shared" si="19"/>
        <v/>
      </c>
      <c r="AY81" s="54"/>
      <c r="AZ81" s="22" t="str">
        <f t="shared" si="20"/>
        <v/>
      </c>
      <c r="BA81" s="23"/>
      <c r="BB81" s="44" t="str">
        <f t="shared" si="21"/>
        <v/>
      </c>
      <c r="BC81" s="25"/>
      <c r="BD81" s="44" t="str">
        <f t="shared" si="22"/>
        <v/>
      </c>
      <c r="BE81" s="54"/>
      <c r="BF81" s="22" t="str">
        <f t="shared" si="23"/>
        <v/>
      </c>
      <c r="BG81" s="23"/>
      <c r="BH81" s="44" t="str">
        <f>if(BG81&lt;&gt;"", if(BH81="",NOW(),BH81),"")</f>
        <v/>
      </c>
      <c r="BI81" s="25"/>
      <c r="BJ81" s="44" t="str">
        <f>if(BI81="Done", if(BJ81="",NOW(),BJ81),"")</f>
        <v/>
      </c>
      <c r="BK81" s="46">
        <v>0.0</v>
      </c>
      <c r="BL81" s="33"/>
      <c r="BM81" s="22" t="str">
        <f t="shared" si="24"/>
        <v/>
      </c>
      <c r="BN81" s="23"/>
      <c r="BO81" s="44" t="str">
        <f t="shared" si="25"/>
        <v/>
      </c>
      <c r="BP81" s="25"/>
      <c r="BQ81" s="44" t="str">
        <f t="shared" si="26"/>
        <v/>
      </c>
      <c r="BR81" s="29" t="str">
        <f t="shared" si="27"/>
        <v/>
      </c>
      <c r="BS81" s="29">
        <f t="shared" si="28"/>
        <v>0</v>
      </c>
      <c r="BT81" s="29">
        <f t="shared" si="29"/>
        <v>0</v>
      </c>
      <c r="BU81" s="22" t="str">
        <f t="shared" si="30"/>
        <v/>
      </c>
      <c r="BV81" s="23"/>
      <c r="BW81" s="44" t="str">
        <f t="shared" si="31"/>
        <v/>
      </c>
      <c r="BX81" s="25"/>
      <c r="BY81" s="44" t="str">
        <f t="shared" si="32"/>
        <v/>
      </c>
      <c r="BZ81" s="54"/>
      <c r="CA81" s="22" t="str">
        <f t="shared" si="33"/>
        <v/>
      </c>
      <c r="CB81" s="23"/>
      <c r="CC81" s="44" t="str">
        <f t="shared" si="34"/>
        <v/>
      </c>
      <c r="CD81" s="25"/>
      <c r="CE81" s="44" t="str">
        <f t="shared" si="35"/>
        <v/>
      </c>
      <c r="CF81" s="54"/>
      <c r="CG81" s="22" t="str">
        <f t="shared" si="5"/>
        <v/>
      </c>
      <c r="CH81" s="26"/>
      <c r="CI81" s="91"/>
      <c r="CJ81" s="26"/>
      <c r="CK81" s="91"/>
      <c r="CL81" s="26"/>
    </row>
    <row r="82" ht="79.5" customHeight="1">
      <c r="A82" s="26">
        <f t="shared" si="58"/>
        <v>80</v>
      </c>
      <c r="B82" s="27" t="s">
        <v>359</v>
      </c>
      <c r="C82" s="27" t="s">
        <v>361</v>
      </c>
      <c r="D82" s="27"/>
      <c r="E82" s="26"/>
      <c r="F82" s="26"/>
      <c r="G82" s="20">
        <v>2.0</v>
      </c>
      <c r="H82" s="20">
        <v>1.0</v>
      </c>
      <c r="I82" s="23" t="s">
        <v>72</v>
      </c>
      <c r="J82" s="33"/>
      <c r="K82" s="22">
        <f t="shared" si="53"/>
        <v>2</v>
      </c>
      <c r="L82" s="23" t="s">
        <v>210</v>
      </c>
      <c r="M82" s="34">
        <v>46304.5626924074</v>
      </c>
      <c r="N82" s="25" t="s">
        <v>69</v>
      </c>
      <c r="O82" s="34">
        <v>46304.58588939815</v>
      </c>
      <c r="P82" s="29">
        <f t="shared" si="8"/>
        <v>33.40366668</v>
      </c>
      <c r="Q82" s="29">
        <f t="shared" si="9"/>
        <v>0</v>
      </c>
      <c r="R82" s="29">
        <f t="shared" si="10"/>
        <v>0.5567277779</v>
      </c>
      <c r="S82" s="22" t="str">
        <f t="shared" si="11"/>
        <v/>
      </c>
      <c r="T82" s="23"/>
      <c r="U82" s="44" t="str">
        <f t="shared" si="49"/>
        <v/>
      </c>
      <c r="V82" s="25"/>
      <c r="W82" s="44" t="str">
        <f t="shared" si="50"/>
        <v/>
      </c>
      <c r="X82" s="54"/>
      <c r="Y82" s="22" t="str">
        <f t="shared" si="12"/>
        <v/>
      </c>
      <c r="Z82" s="23"/>
      <c r="AA82" s="44" t="str">
        <f t="shared" si="40"/>
        <v/>
      </c>
      <c r="AB82" s="25"/>
      <c r="AC82" s="44" t="str">
        <f t="shared" si="41"/>
        <v/>
      </c>
      <c r="AD82" s="54"/>
      <c r="AE82" s="22" t="str">
        <f t="shared" si="13"/>
        <v/>
      </c>
      <c r="AF82" s="23"/>
      <c r="AG82" s="44" t="str">
        <f t="shared" si="51"/>
        <v/>
      </c>
      <c r="AH82" s="25"/>
      <c r="AI82" s="44" t="str">
        <f t="shared" si="52"/>
        <v/>
      </c>
      <c r="AJ82" s="46">
        <v>0.0</v>
      </c>
      <c r="AK82" s="33"/>
      <c r="AL82" s="22">
        <v>1.0</v>
      </c>
      <c r="AM82" s="23" t="s">
        <v>186</v>
      </c>
      <c r="AN82" s="34">
        <v>46307.55201006944</v>
      </c>
      <c r="AO82" s="25" t="s">
        <v>69</v>
      </c>
      <c r="AP82" s="34">
        <v>46307.5871812963</v>
      </c>
      <c r="AQ82" s="29">
        <f t="shared" si="14"/>
        <v>50.64656668</v>
      </c>
      <c r="AR82" s="29">
        <f t="shared" si="15"/>
        <v>0</v>
      </c>
      <c r="AS82" s="29">
        <f t="shared" si="16"/>
        <v>0.8441094446</v>
      </c>
      <c r="AT82" s="22" t="str">
        <f t="shared" si="17"/>
        <v/>
      </c>
      <c r="AU82" s="23"/>
      <c r="AV82" s="44" t="str">
        <f t="shared" si="18"/>
        <v/>
      </c>
      <c r="AW82" s="25"/>
      <c r="AX82" s="44" t="str">
        <f t="shared" si="19"/>
        <v/>
      </c>
      <c r="AY82" s="54"/>
      <c r="AZ82" s="22" t="str">
        <f t="shared" si="20"/>
        <v/>
      </c>
      <c r="BA82" s="23"/>
      <c r="BB82" s="44" t="str">
        <f t="shared" si="21"/>
        <v/>
      </c>
      <c r="BC82" s="25"/>
      <c r="BD82" s="44" t="str">
        <f t="shared" si="22"/>
        <v/>
      </c>
      <c r="BE82" s="54"/>
      <c r="BF82" s="22" t="str">
        <f t="shared" si="23"/>
        <v>Done</v>
      </c>
      <c r="BG82" s="23" t="s">
        <v>77</v>
      </c>
      <c r="BH82" s="34">
        <v>46309.44218222222</v>
      </c>
      <c r="BI82" s="25" t="s">
        <v>69</v>
      </c>
      <c r="BJ82" s="34">
        <v>46309.443497615735</v>
      </c>
      <c r="BK82" s="46">
        <v>1.0</v>
      </c>
      <c r="BL82" s="33"/>
      <c r="BM82" s="22" t="str">
        <f t="shared" si="24"/>
        <v>Done</v>
      </c>
      <c r="BN82" s="23"/>
      <c r="BO82" s="44" t="str">
        <f t="shared" si="25"/>
        <v/>
      </c>
      <c r="BP82" s="25"/>
      <c r="BQ82" s="44" t="str">
        <f t="shared" si="26"/>
        <v/>
      </c>
      <c r="BR82" s="29" t="str">
        <f t="shared" si="27"/>
        <v/>
      </c>
      <c r="BS82" s="29">
        <f t="shared" si="28"/>
        <v>0</v>
      </c>
      <c r="BT82" s="29">
        <f t="shared" si="29"/>
        <v>0</v>
      </c>
      <c r="BU82" s="22" t="str">
        <f t="shared" si="30"/>
        <v/>
      </c>
      <c r="BV82" s="23"/>
      <c r="BW82" s="44" t="str">
        <f t="shared" si="31"/>
        <v/>
      </c>
      <c r="BX82" s="25"/>
      <c r="BY82" s="44" t="str">
        <f t="shared" si="32"/>
        <v/>
      </c>
      <c r="BZ82" s="54"/>
      <c r="CA82" s="22" t="str">
        <f t="shared" si="33"/>
        <v/>
      </c>
      <c r="CB82" s="23"/>
      <c r="CC82" s="44" t="str">
        <f t="shared" si="34"/>
        <v/>
      </c>
      <c r="CD82" s="25"/>
      <c r="CE82" s="44" t="str">
        <f t="shared" si="35"/>
        <v/>
      </c>
      <c r="CF82" s="54"/>
      <c r="CG82" s="22" t="str">
        <f t="shared" si="5"/>
        <v/>
      </c>
      <c r="CH82" s="26"/>
      <c r="CI82" s="91"/>
      <c r="CJ82" s="26"/>
      <c r="CK82" s="91"/>
      <c r="CL82" s="26"/>
    </row>
    <row r="83" ht="109.5" customHeight="1">
      <c r="A83" s="26">
        <f t="shared" si="58"/>
        <v>81</v>
      </c>
      <c r="B83" s="27" t="s">
        <v>359</v>
      </c>
      <c r="C83" s="27" t="s">
        <v>365</v>
      </c>
      <c r="D83" s="27"/>
      <c r="E83" s="26"/>
      <c r="F83" s="26"/>
      <c r="G83" s="20">
        <v>1.0</v>
      </c>
      <c r="H83" s="20">
        <v>1.0</v>
      </c>
      <c r="I83" s="23" t="s">
        <v>72</v>
      </c>
      <c r="J83" s="33"/>
      <c r="K83" s="22">
        <f t="shared" si="53"/>
        <v>1</v>
      </c>
      <c r="L83" s="23" t="s">
        <v>210</v>
      </c>
      <c r="M83" s="34">
        <v>46307.65766344908</v>
      </c>
      <c r="N83" s="25" t="s">
        <v>69</v>
      </c>
      <c r="O83" s="34">
        <v>46307.672088611114</v>
      </c>
      <c r="P83" s="29">
        <f t="shared" si="8"/>
        <v>20.77223333</v>
      </c>
      <c r="Q83" s="29">
        <f t="shared" si="9"/>
        <v>0</v>
      </c>
      <c r="R83" s="29">
        <f t="shared" si="10"/>
        <v>0.3462038889</v>
      </c>
      <c r="S83" s="22" t="str">
        <f t="shared" si="11"/>
        <v/>
      </c>
      <c r="T83" s="23"/>
      <c r="U83" s="44" t="str">
        <f t="shared" si="49"/>
        <v/>
      </c>
      <c r="V83" s="25"/>
      <c r="W83" s="44" t="str">
        <f t="shared" si="50"/>
        <v/>
      </c>
      <c r="X83" s="54"/>
      <c r="Y83" s="22" t="str">
        <f t="shared" si="12"/>
        <v/>
      </c>
      <c r="Z83" s="23"/>
      <c r="AA83" s="44" t="str">
        <f t="shared" si="40"/>
        <v/>
      </c>
      <c r="AB83" s="25"/>
      <c r="AC83" s="44" t="str">
        <f t="shared" si="41"/>
        <v/>
      </c>
      <c r="AD83" s="54"/>
      <c r="AE83" s="22" t="str">
        <f t="shared" si="13"/>
        <v/>
      </c>
      <c r="AF83" s="23"/>
      <c r="AG83" s="44" t="str">
        <f t="shared" si="51"/>
        <v/>
      </c>
      <c r="AH83" s="25"/>
      <c r="AI83" s="44" t="str">
        <f t="shared" si="52"/>
        <v/>
      </c>
      <c r="AJ83" s="46">
        <v>0.0</v>
      </c>
      <c r="AK83" s="33"/>
      <c r="AL83" s="22">
        <v>1.0</v>
      </c>
      <c r="AM83" s="23" t="s">
        <v>210</v>
      </c>
      <c r="AN83" s="44">
        <f t="shared" ref="AN83:AN86" si="73">if(AM83&lt;&gt;"", if(AN83="",NOW(),AN83),"")</f>
        <v>46310.61676</v>
      </c>
      <c r="AO83" s="25" t="s">
        <v>69</v>
      </c>
      <c r="AP83" s="34">
        <v>46310.674189826386</v>
      </c>
      <c r="AQ83" s="29">
        <f t="shared" si="14"/>
        <v>82.69476667</v>
      </c>
      <c r="AR83" s="29">
        <f t="shared" si="15"/>
        <v>0</v>
      </c>
      <c r="AS83" s="29">
        <f t="shared" si="16"/>
        <v>1.378246111</v>
      </c>
      <c r="AT83" s="22" t="str">
        <f t="shared" si="17"/>
        <v/>
      </c>
      <c r="AU83" s="23"/>
      <c r="AV83" s="44" t="str">
        <f t="shared" si="18"/>
        <v/>
      </c>
      <c r="AW83" s="25"/>
      <c r="AX83" s="44" t="str">
        <f t="shared" si="19"/>
        <v/>
      </c>
      <c r="AY83" s="54"/>
      <c r="AZ83" s="22" t="str">
        <f t="shared" si="20"/>
        <v/>
      </c>
      <c r="BA83" s="23"/>
      <c r="BB83" s="44" t="str">
        <f t="shared" si="21"/>
        <v/>
      </c>
      <c r="BC83" s="25"/>
      <c r="BD83" s="44" t="str">
        <f t="shared" si="22"/>
        <v/>
      </c>
      <c r="BE83" s="54"/>
      <c r="BF83" s="22" t="str">
        <f t="shared" si="23"/>
        <v/>
      </c>
      <c r="BG83" s="23"/>
      <c r="BH83" s="34"/>
      <c r="BI83" s="25"/>
      <c r="BJ83" s="34"/>
      <c r="BK83" s="46">
        <v>0.0</v>
      </c>
      <c r="BL83" s="33"/>
      <c r="BM83" s="22" t="str">
        <f t="shared" si="24"/>
        <v/>
      </c>
      <c r="BN83" s="23"/>
      <c r="BO83" s="44" t="str">
        <f t="shared" si="25"/>
        <v/>
      </c>
      <c r="BP83" s="25"/>
      <c r="BQ83" s="44" t="str">
        <f t="shared" si="26"/>
        <v/>
      </c>
      <c r="BR83" s="29" t="str">
        <f t="shared" si="27"/>
        <v/>
      </c>
      <c r="BS83" s="29">
        <f t="shared" si="28"/>
        <v>0</v>
      </c>
      <c r="BT83" s="29">
        <f t="shared" si="29"/>
        <v>0</v>
      </c>
      <c r="BU83" s="22" t="str">
        <f t="shared" si="30"/>
        <v/>
      </c>
      <c r="BV83" s="23"/>
      <c r="BW83" s="44" t="str">
        <f t="shared" si="31"/>
        <v/>
      </c>
      <c r="BX83" s="25"/>
      <c r="BY83" s="44" t="str">
        <f t="shared" si="32"/>
        <v/>
      </c>
      <c r="BZ83" s="54"/>
      <c r="CA83" s="22" t="str">
        <f t="shared" si="33"/>
        <v/>
      </c>
      <c r="CB83" s="23"/>
      <c r="CC83" s="44" t="str">
        <f t="shared" si="34"/>
        <v/>
      </c>
      <c r="CD83" s="25"/>
      <c r="CE83" s="44" t="str">
        <f t="shared" si="35"/>
        <v/>
      </c>
      <c r="CF83" s="54"/>
      <c r="CG83" s="22" t="str">
        <f t="shared" si="5"/>
        <v/>
      </c>
      <c r="CH83" s="26"/>
      <c r="CI83" s="91"/>
      <c r="CJ83" s="26"/>
      <c r="CK83" s="91"/>
      <c r="CL83" s="26"/>
    </row>
    <row r="84" ht="117.75" customHeight="1">
      <c r="A84" s="26">
        <f t="shared" si="58"/>
        <v>82</v>
      </c>
      <c r="B84" s="27" t="s">
        <v>359</v>
      </c>
      <c r="C84" s="27" t="s">
        <v>368</v>
      </c>
      <c r="D84" s="27"/>
      <c r="E84" s="26"/>
      <c r="F84" s="26"/>
      <c r="G84" s="20">
        <v>1.0</v>
      </c>
      <c r="H84" s="20">
        <v>1.0</v>
      </c>
      <c r="I84" s="23" t="s">
        <v>72</v>
      </c>
      <c r="J84" s="33"/>
      <c r="K84" s="22">
        <f t="shared" si="53"/>
        <v>1</v>
      </c>
      <c r="L84" s="23"/>
      <c r="M84" s="34"/>
      <c r="N84" s="25"/>
      <c r="O84" s="34"/>
      <c r="P84" s="29" t="str">
        <f t="shared" si="8"/>
        <v/>
      </c>
      <c r="Q84" s="29">
        <f t="shared" si="9"/>
        <v>0</v>
      </c>
      <c r="R84" s="29">
        <f t="shared" si="10"/>
        <v>0</v>
      </c>
      <c r="S84" s="22" t="str">
        <f t="shared" si="11"/>
        <v/>
      </c>
      <c r="T84" s="23"/>
      <c r="U84" s="44" t="str">
        <f t="shared" si="49"/>
        <v/>
      </c>
      <c r="V84" s="25"/>
      <c r="W84" s="44" t="str">
        <f t="shared" si="50"/>
        <v/>
      </c>
      <c r="X84" s="54"/>
      <c r="Y84" s="22" t="str">
        <f t="shared" si="12"/>
        <v/>
      </c>
      <c r="Z84" s="23"/>
      <c r="AA84" s="44" t="str">
        <f t="shared" si="40"/>
        <v/>
      </c>
      <c r="AB84" s="25"/>
      <c r="AC84" s="44" t="str">
        <f t="shared" si="41"/>
        <v/>
      </c>
      <c r="AD84" s="54"/>
      <c r="AE84" s="22" t="str">
        <f t="shared" si="13"/>
        <v/>
      </c>
      <c r="AF84" s="23"/>
      <c r="AG84" s="44" t="str">
        <f t="shared" si="51"/>
        <v/>
      </c>
      <c r="AH84" s="25"/>
      <c r="AI84" s="44" t="str">
        <f t="shared" si="52"/>
        <v/>
      </c>
      <c r="AJ84" s="46">
        <v>0.0</v>
      </c>
      <c r="AK84" s="33"/>
      <c r="AL84" s="22">
        <v>1.0</v>
      </c>
      <c r="AM84" s="23"/>
      <c r="AN84" s="44" t="str">
        <f t="shared" si="73"/>
        <v/>
      </c>
      <c r="AO84" s="25"/>
      <c r="AP84" s="44" t="str">
        <f>if(AO84="Done", if(AP84="",NOW(),AP84),"")</f>
        <v/>
      </c>
      <c r="AQ84" s="29" t="str">
        <f t="shared" si="14"/>
        <v/>
      </c>
      <c r="AR84" s="29">
        <f t="shared" si="15"/>
        <v>0</v>
      </c>
      <c r="AS84" s="29">
        <f t="shared" si="16"/>
        <v>0</v>
      </c>
      <c r="AT84" s="22" t="str">
        <f t="shared" si="17"/>
        <v/>
      </c>
      <c r="AU84" s="23"/>
      <c r="AV84" s="44" t="str">
        <f t="shared" si="18"/>
        <v/>
      </c>
      <c r="AW84" s="25"/>
      <c r="AX84" s="44" t="str">
        <f t="shared" si="19"/>
        <v/>
      </c>
      <c r="AY84" s="54"/>
      <c r="AZ84" s="22" t="str">
        <f t="shared" si="20"/>
        <v/>
      </c>
      <c r="BA84" s="23"/>
      <c r="BB84" s="44" t="str">
        <f t="shared" si="21"/>
        <v/>
      </c>
      <c r="BC84" s="25"/>
      <c r="BD84" s="44" t="str">
        <f t="shared" si="22"/>
        <v/>
      </c>
      <c r="BE84" s="54"/>
      <c r="BF84" s="22" t="str">
        <f t="shared" si="23"/>
        <v/>
      </c>
      <c r="BG84" s="23"/>
      <c r="BH84" s="44" t="str">
        <f t="shared" ref="BH84:BH91" si="74">if(BG84&lt;&gt;"", if(BH84="",NOW(),BH84),"")</f>
        <v/>
      </c>
      <c r="BI84" s="25"/>
      <c r="BJ84" s="44" t="str">
        <f t="shared" ref="BJ84:BJ91" si="75">if(BI84="Done", if(BJ84="",NOW(),BJ84),"")</f>
        <v/>
      </c>
      <c r="BK84" s="46">
        <v>0.0</v>
      </c>
      <c r="BL84" s="33"/>
      <c r="BM84" s="22" t="str">
        <f t="shared" si="24"/>
        <v/>
      </c>
      <c r="BN84" s="23"/>
      <c r="BO84" s="44" t="str">
        <f t="shared" si="25"/>
        <v/>
      </c>
      <c r="BP84" s="25"/>
      <c r="BQ84" s="44" t="str">
        <f t="shared" si="26"/>
        <v/>
      </c>
      <c r="BR84" s="29" t="str">
        <f t="shared" si="27"/>
        <v/>
      </c>
      <c r="BS84" s="29">
        <f t="shared" si="28"/>
        <v>0</v>
      </c>
      <c r="BT84" s="29">
        <f t="shared" si="29"/>
        <v>0</v>
      </c>
      <c r="BU84" s="22" t="str">
        <f t="shared" si="30"/>
        <v/>
      </c>
      <c r="BV84" s="23"/>
      <c r="BW84" s="44" t="str">
        <f t="shared" si="31"/>
        <v/>
      </c>
      <c r="BX84" s="25"/>
      <c r="BY84" s="44" t="str">
        <f t="shared" si="32"/>
        <v/>
      </c>
      <c r="BZ84" s="54"/>
      <c r="CA84" s="22" t="str">
        <f t="shared" si="33"/>
        <v/>
      </c>
      <c r="CB84" s="23"/>
      <c r="CC84" s="44" t="str">
        <f t="shared" si="34"/>
        <v/>
      </c>
      <c r="CD84" s="25"/>
      <c r="CE84" s="44" t="str">
        <f t="shared" si="35"/>
        <v/>
      </c>
      <c r="CF84" s="54"/>
      <c r="CG84" s="22" t="str">
        <f t="shared" si="5"/>
        <v/>
      </c>
      <c r="CH84" s="26"/>
      <c r="CI84" s="91"/>
      <c r="CJ84" s="26"/>
      <c r="CK84" s="91"/>
      <c r="CL84" s="26"/>
    </row>
    <row r="85" ht="63.75" customHeight="1">
      <c r="A85" s="26">
        <f t="shared" si="58"/>
        <v>83</v>
      </c>
      <c r="B85" s="27" t="s">
        <v>371</v>
      </c>
      <c r="C85" s="27" t="s">
        <v>372</v>
      </c>
      <c r="D85" s="27"/>
      <c r="E85" s="26"/>
      <c r="F85" s="26"/>
      <c r="G85" s="20">
        <v>3.0</v>
      </c>
      <c r="H85" s="20">
        <v>1.0</v>
      </c>
      <c r="I85" s="23" t="s">
        <v>72</v>
      </c>
      <c r="J85" s="33"/>
      <c r="K85" s="22">
        <f t="shared" si="53"/>
        <v>3</v>
      </c>
      <c r="L85" s="23" t="s">
        <v>373</v>
      </c>
      <c r="M85" s="34">
        <v>46309.404898356486</v>
      </c>
      <c r="N85" s="25" t="s">
        <v>69</v>
      </c>
      <c r="O85" s="34">
        <v>46309.6729012963</v>
      </c>
      <c r="P85" s="29">
        <f t="shared" si="8"/>
        <v>385.9242333</v>
      </c>
      <c r="Q85" s="29">
        <f t="shared" si="9"/>
        <v>60</v>
      </c>
      <c r="R85" s="29">
        <f t="shared" si="10"/>
        <v>5.432070555</v>
      </c>
      <c r="S85" s="22" t="str">
        <f t="shared" si="11"/>
        <v/>
      </c>
      <c r="T85" s="23"/>
      <c r="U85" s="44" t="str">
        <f t="shared" si="49"/>
        <v/>
      </c>
      <c r="V85" s="25"/>
      <c r="W85" s="44" t="str">
        <f t="shared" si="50"/>
        <v/>
      </c>
      <c r="X85" s="54"/>
      <c r="Y85" s="22" t="str">
        <f t="shared" si="12"/>
        <v/>
      </c>
      <c r="Z85" s="23"/>
      <c r="AA85" s="44" t="str">
        <f t="shared" si="40"/>
        <v/>
      </c>
      <c r="AB85" s="25"/>
      <c r="AC85" s="44" t="str">
        <f t="shared" si="41"/>
        <v/>
      </c>
      <c r="AD85" s="54"/>
      <c r="AE85" s="22" t="str">
        <f t="shared" si="13"/>
        <v/>
      </c>
      <c r="AF85" s="23"/>
      <c r="AG85" s="44" t="str">
        <f t="shared" si="51"/>
        <v/>
      </c>
      <c r="AH85" s="25"/>
      <c r="AI85" s="44" t="str">
        <f t="shared" si="52"/>
        <v/>
      </c>
      <c r="AJ85" s="46">
        <v>0.0</v>
      </c>
      <c r="AK85" s="33"/>
      <c r="AL85" s="22">
        <v>1.0</v>
      </c>
      <c r="AM85" s="23" t="s">
        <v>186</v>
      </c>
      <c r="AN85" s="44">
        <f t="shared" si="73"/>
        <v>46310.65274</v>
      </c>
      <c r="AO85" s="25" t="s">
        <v>69</v>
      </c>
      <c r="AP85" s="34">
        <v>46310.68577324074</v>
      </c>
      <c r="AQ85" s="29">
        <f t="shared" si="14"/>
        <v>47.56435</v>
      </c>
      <c r="AR85" s="29">
        <f t="shared" si="15"/>
        <v>0</v>
      </c>
      <c r="AS85" s="29">
        <f t="shared" si="16"/>
        <v>0.7927391666</v>
      </c>
      <c r="AT85" s="22" t="str">
        <f t="shared" si="17"/>
        <v/>
      </c>
      <c r="AU85" s="23"/>
      <c r="AV85" s="44" t="str">
        <f t="shared" si="18"/>
        <v/>
      </c>
      <c r="AW85" s="25"/>
      <c r="AX85" s="44" t="str">
        <f t="shared" si="19"/>
        <v/>
      </c>
      <c r="AY85" s="54"/>
      <c r="AZ85" s="22" t="str">
        <f t="shared" si="20"/>
        <v/>
      </c>
      <c r="BA85" s="23"/>
      <c r="BB85" s="44" t="str">
        <f t="shared" si="21"/>
        <v/>
      </c>
      <c r="BC85" s="25"/>
      <c r="BD85" s="44" t="str">
        <f t="shared" si="22"/>
        <v/>
      </c>
      <c r="BE85" s="54"/>
      <c r="BF85" s="22" t="str">
        <f t="shared" si="23"/>
        <v/>
      </c>
      <c r="BG85" s="23"/>
      <c r="BH85" s="44" t="str">
        <f t="shared" si="74"/>
        <v/>
      </c>
      <c r="BI85" s="25"/>
      <c r="BJ85" s="44" t="str">
        <f t="shared" si="75"/>
        <v/>
      </c>
      <c r="BK85" s="46">
        <v>0.0</v>
      </c>
      <c r="BL85" s="33"/>
      <c r="BM85" s="22" t="str">
        <f t="shared" si="24"/>
        <v/>
      </c>
      <c r="BN85" s="23"/>
      <c r="BO85" s="44" t="str">
        <f t="shared" si="25"/>
        <v/>
      </c>
      <c r="BP85" s="25"/>
      <c r="BQ85" s="44" t="str">
        <f t="shared" si="26"/>
        <v/>
      </c>
      <c r="BR85" s="29" t="str">
        <f t="shared" si="27"/>
        <v/>
      </c>
      <c r="BS85" s="29">
        <f t="shared" si="28"/>
        <v>0</v>
      </c>
      <c r="BT85" s="29">
        <f t="shared" si="29"/>
        <v>0</v>
      </c>
      <c r="BU85" s="22" t="str">
        <f t="shared" si="30"/>
        <v/>
      </c>
      <c r="BV85" s="23"/>
      <c r="BW85" s="44" t="str">
        <f t="shared" si="31"/>
        <v/>
      </c>
      <c r="BX85" s="25"/>
      <c r="BY85" s="44" t="str">
        <f t="shared" si="32"/>
        <v/>
      </c>
      <c r="BZ85" s="54"/>
      <c r="CA85" s="22" t="str">
        <f t="shared" si="33"/>
        <v/>
      </c>
      <c r="CB85" s="23"/>
      <c r="CC85" s="44" t="str">
        <f t="shared" si="34"/>
        <v/>
      </c>
      <c r="CD85" s="25"/>
      <c r="CE85" s="44" t="str">
        <f t="shared" si="35"/>
        <v/>
      </c>
      <c r="CF85" s="54"/>
      <c r="CG85" s="22" t="str">
        <f t="shared" si="5"/>
        <v/>
      </c>
      <c r="CH85" s="26"/>
      <c r="CI85" s="91"/>
      <c r="CJ85" s="26"/>
      <c r="CK85" s="91"/>
      <c r="CL85" s="26"/>
    </row>
    <row r="86" ht="120.0" customHeight="1">
      <c r="A86" s="26">
        <f t="shared" si="58"/>
        <v>84</v>
      </c>
      <c r="B86" s="27" t="s">
        <v>371</v>
      </c>
      <c r="C86" s="27" t="s">
        <v>374</v>
      </c>
      <c r="D86" s="27"/>
      <c r="E86" s="26"/>
      <c r="F86" s="26"/>
      <c r="G86" s="20">
        <v>2.0</v>
      </c>
      <c r="H86" s="20">
        <v>2.0</v>
      </c>
      <c r="I86" s="23" t="s">
        <v>72</v>
      </c>
      <c r="J86" s="33"/>
      <c r="K86" s="22">
        <f t="shared" si="53"/>
        <v>2</v>
      </c>
      <c r="L86" s="23" t="s">
        <v>210</v>
      </c>
      <c r="M86" s="34">
        <v>46307.691717407404</v>
      </c>
      <c r="N86" s="25" t="s">
        <v>69</v>
      </c>
      <c r="O86" s="34">
        <v>46308.43262258102</v>
      </c>
      <c r="P86" s="29">
        <f t="shared" si="8"/>
        <v>1066.90345</v>
      </c>
      <c r="Q86" s="29">
        <f t="shared" si="9"/>
        <v>960</v>
      </c>
      <c r="R86" s="29">
        <f t="shared" si="10"/>
        <v>1.781724167</v>
      </c>
      <c r="S86" s="22" t="str">
        <f t="shared" si="11"/>
        <v/>
      </c>
      <c r="T86" s="23"/>
      <c r="U86" s="44" t="str">
        <f t="shared" si="49"/>
        <v/>
      </c>
      <c r="V86" s="25"/>
      <c r="W86" s="44" t="str">
        <f t="shared" si="50"/>
        <v/>
      </c>
      <c r="X86" s="54"/>
      <c r="Y86" s="22" t="str">
        <f t="shared" si="12"/>
        <v/>
      </c>
      <c r="Z86" s="23"/>
      <c r="AA86" s="44" t="str">
        <f t="shared" si="40"/>
        <v/>
      </c>
      <c r="AB86" s="25"/>
      <c r="AC86" s="44" t="str">
        <f t="shared" si="41"/>
        <v/>
      </c>
      <c r="AD86" s="54"/>
      <c r="AE86" s="22" t="str">
        <f t="shared" si="13"/>
        <v/>
      </c>
      <c r="AF86" s="23"/>
      <c r="AG86" s="44" t="str">
        <f t="shared" si="51"/>
        <v/>
      </c>
      <c r="AH86" s="25"/>
      <c r="AI86" s="44" t="str">
        <f t="shared" si="52"/>
        <v/>
      </c>
      <c r="AJ86" s="46">
        <v>0.0</v>
      </c>
      <c r="AK86" s="33"/>
      <c r="AL86" s="22">
        <v>2.0</v>
      </c>
      <c r="AM86" s="23" t="s">
        <v>210</v>
      </c>
      <c r="AN86" s="44">
        <f t="shared" si="73"/>
        <v>46310.89199</v>
      </c>
      <c r="AO86" s="25" t="s">
        <v>69</v>
      </c>
      <c r="AP86" s="44">
        <f>if(AO86="Done", if(AP86="",NOW(),AP86),"")</f>
        <v>46310.89199</v>
      </c>
      <c r="AQ86" s="29">
        <f t="shared" si="14"/>
        <v>0</v>
      </c>
      <c r="AR86" s="29">
        <f t="shared" si="15"/>
        <v>0</v>
      </c>
      <c r="AS86" s="29">
        <f t="shared" si="16"/>
        <v>0</v>
      </c>
      <c r="AT86" s="22" t="str">
        <f t="shared" si="17"/>
        <v/>
      </c>
      <c r="AU86" s="23"/>
      <c r="AV86" s="44" t="str">
        <f t="shared" si="18"/>
        <v/>
      </c>
      <c r="AW86" s="25"/>
      <c r="AX86" s="44" t="str">
        <f t="shared" si="19"/>
        <v/>
      </c>
      <c r="AY86" s="54"/>
      <c r="AZ86" s="22" t="str">
        <f t="shared" si="20"/>
        <v/>
      </c>
      <c r="BA86" s="23"/>
      <c r="BB86" s="44" t="str">
        <f t="shared" si="21"/>
        <v/>
      </c>
      <c r="BC86" s="25"/>
      <c r="BD86" s="44" t="str">
        <f t="shared" si="22"/>
        <v/>
      </c>
      <c r="BE86" s="54"/>
      <c r="BF86" s="22" t="str">
        <f t="shared" si="23"/>
        <v/>
      </c>
      <c r="BG86" s="23"/>
      <c r="BH86" s="44" t="str">
        <f t="shared" si="74"/>
        <v/>
      </c>
      <c r="BI86" s="25"/>
      <c r="BJ86" s="44" t="str">
        <f t="shared" si="75"/>
        <v/>
      </c>
      <c r="BK86" s="46">
        <v>0.0</v>
      </c>
      <c r="BL86" s="33"/>
      <c r="BM86" s="22" t="str">
        <f t="shared" si="24"/>
        <v/>
      </c>
      <c r="BN86" s="23"/>
      <c r="BO86" s="44" t="str">
        <f t="shared" si="25"/>
        <v/>
      </c>
      <c r="BP86" s="25"/>
      <c r="BQ86" s="44" t="str">
        <f t="shared" si="26"/>
        <v/>
      </c>
      <c r="BR86" s="29" t="str">
        <f t="shared" si="27"/>
        <v/>
      </c>
      <c r="BS86" s="29">
        <f t="shared" si="28"/>
        <v>0</v>
      </c>
      <c r="BT86" s="29">
        <f t="shared" si="29"/>
        <v>0</v>
      </c>
      <c r="BU86" s="22" t="str">
        <f t="shared" si="30"/>
        <v/>
      </c>
      <c r="BV86" s="23"/>
      <c r="BW86" s="44" t="str">
        <f t="shared" si="31"/>
        <v/>
      </c>
      <c r="BX86" s="25"/>
      <c r="BY86" s="44" t="str">
        <f t="shared" si="32"/>
        <v/>
      </c>
      <c r="BZ86" s="54"/>
      <c r="CA86" s="22" t="str">
        <f t="shared" si="33"/>
        <v/>
      </c>
      <c r="CB86" s="23"/>
      <c r="CC86" s="44" t="str">
        <f t="shared" si="34"/>
        <v/>
      </c>
      <c r="CD86" s="25"/>
      <c r="CE86" s="44" t="str">
        <f t="shared" si="35"/>
        <v/>
      </c>
      <c r="CF86" s="54"/>
      <c r="CG86" s="22" t="str">
        <f t="shared" si="5"/>
        <v/>
      </c>
      <c r="CH86" s="26"/>
      <c r="CI86" s="91"/>
      <c r="CJ86" s="26"/>
      <c r="CK86" s="91"/>
      <c r="CL86" s="26"/>
    </row>
    <row r="87" ht="127.5" customHeight="1">
      <c r="A87" s="26">
        <f t="shared" si="58"/>
        <v>85</v>
      </c>
      <c r="B87" s="27" t="s">
        <v>371</v>
      </c>
      <c r="C87" s="27" t="s">
        <v>375</v>
      </c>
      <c r="D87" s="27"/>
      <c r="E87" s="26"/>
      <c r="F87" s="26"/>
      <c r="G87" s="20">
        <v>2.0</v>
      </c>
      <c r="H87" s="20">
        <v>1.0</v>
      </c>
      <c r="I87" s="23" t="s">
        <v>72</v>
      </c>
      <c r="J87" s="33"/>
      <c r="K87" s="22">
        <f t="shared" si="53"/>
        <v>2</v>
      </c>
      <c r="L87" s="23" t="s">
        <v>180</v>
      </c>
      <c r="M87" s="34">
        <v>46309.65112259259</v>
      </c>
      <c r="N87" s="25" t="s">
        <v>69</v>
      </c>
      <c r="O87" s="34">
        <v>46310.416816365745</v>
      </c>
      <c r="P87" s="29">
        <f t="shared" si="8"/>
        <v>1102.599033</v>
      </c>
      <c r="Q87" s="29">
        <f t="shared" si="9"/>
        <v>960</v>
      </c>
      <c r="R87" s="29">
        <f t="shared" si="10"/>
        <v>2.376650556</v>
      </c>
      <c r="S87" s="22" t="str">
        <f t="shared" si="11"/>
        <v/>
      </c>
      <c r="T87" s="23"/>
      <c r="U87" s="44" t="str">
        <f t="shared" si="49"/>
        <v/>
      </c>
      <c r="V87" s="25"/>
      <c r="W87" s="44" t="str">
        <f t="shared" si="50"/>
        <v/>
      </c>
      <c r="X87" s="54"/>
      <c r="Y87" s="22" t="str">
        <f t="shared" si="12"/>
        <v/>
      </c>
      <c r="Z87" s="23"/>
      <c r="AA87" s="44" t="str">
        <f t="shared" si="40"/>
        <v/>
      </c>
      <c r="AB87" s="25"/>
      <c r="AC87" s="44" t="str">
        <f t="shared" si="41"/>
        <v/>
      </c>
      <c r="AD87" s="54"/>
      <c r="AE87" s="22" t="str">
        <f t="shared" si="13"/>
        <v/>
      </c>
      <c r="AF87" s="23"/>
      <c r="AG87" s="44" t="str">
        <f t="shared" si="51"/>
        <v/>
      </c>
      <c r="AH87" s="25"/>
      <c r="AI87" s="44" t="str">
        <f t="shared" si="52"/>
        <v/>
      </c>
      <c r="AJ87" s="46">
        <v>0.0</v>
      </c>
      <c r="AK87" s="33"/>
      <c r="AL87" s="22">
        <v>1.0</v>
      </c>
      <c r="AM87" s="23" t="s">
        <v>180</v>
      </c>
      <c r="AN87" s="34">
        <v>46310.43002078704</v>
      </c>
      <c r="AO87" s="25" t="s">
        <v>69</v>
      </c>
      <c r="AP87" s="34">
        <v>46310.47219134259</v>
      </c>
      <c r="AQ87" s="29">
        <f t="shared" si="14"/>
        <v>60.72559999</v>
      </c>
      <c r="AR87" s="29">
        <f t="shared" si="15"/>
        <v>0</v>
      </c>
      <c r="AS87" s="29">
        <f t="shared" si="16"/>
        <v>1.012093333</v>
      </c>
      <c r="AT87" s="22" t="str">
        <f t="shared" si="17"/>
        <v/>
      </c>
      <c r="AU87" s="23"/>
      <c r="AV87" s="44" t="str">
        <f t="shared" si="18"/>
        <v/>
      </c>
      <c r="AW87" s="25"/>
      <c r="AX87" s="44" t="str">
        <f t="shared" si="19"/>
        <v/>
      </c>
      <c r="AY87" s="54"/>
      <c r="AZ87" s="22" t="str">
        <f t="shared" si="20"/>
        <v/>
      </c>
      <c r="BA87" s="23"/>
      <c r="BB87" s="44" t="str">
        <f t="shared" si="21"/>
        <v/>
      </c>
      <c r="BC87" s="25"/>
      <c r="BD87" s="44" t="str">
        <f t="shared" si="22"/>
        <v/>
      </c>
      <c r="BE87" s="54"/>
      <c r="BF87" s="22" t="str">
        <f t="shared" si="23"/>
        <v/>
      </c>
      <c r="BG87" s="23"/>
      <c r="BH87" s="44" t="str">
        <f t="shared" si="74"/>
        <v/>
      </c>
      <c r="BI87" s="25"/>
      <c r="BJ87" s="44" t="str">
        <f t="shared" si="75"/>
        <v/>
      </c>
      <c r="BK87" s="46">
        <v>0.0</v>
      </c>
      <c r="BL87" s="33"/>
      <c r="BM87" s="22" t="str">
        <f t="shared" si="24"/>
        <v/>
      </c>
      <c r="BN87" s="23"/>
      <c r="BO87" s="44" t="str">
        <f t="shared" si="25"/>
        <v/>
      </c>
      <c r="BP87" s="25"/>
      <c r="BQ87" s="44" t="str">
        <f t="shared" si="26"/>
        <v/>
      </c>
      <c r="BR87" s="29" t="str">
        <f t="shared" si="27"/>
        <v/>
      </c>
      <c r="BS87" s="29">
        <f t="shared" si="28"/>
        <v>0</v>
      </c>
      <c r="BT87" s="29">
        <f t="shared" si="29"/>
        <v>0</v>
      </c>
      <c r="BU87" s="22" t="str">
        <f t="shared" si="30"/>
        <v/>
      </c>
      <c r="BV87" s="23"/>
      <c r="BW87" s="44" t="str">
        <f t="shared" si="31"/>
        <v/>
      </c>
      <c r="BX87" s="25"/>
      <c r="BY87" s="44" t="str">
        <f t="shared" si="32"/>
        <v/>
      </c>
      <c r="BZ87" s="54"/>
      <c r="CA87" s="22" t="str">
        <f t="shared" si="33"/>
        <v/>
      </c>
      <c r="CB87" s="23"/>
      <c r="CC87" s="44" t="str">
        <f t="shared" si="34"/>
        <v/>
      </c>
      <c r="CD87" s="25"/>
      <c r="CE87" s="44" t="str">
        <f t="shared" si="35"/>
        <v/>
      </c>
      <c r="CF87" s="54"/>
      <c r="CG87" s="22" t="str">
        <f t="shared" si="5"/>
        <v/>
      </c>
      <c r="CH87" s="26"/>
      <c r="CI87" s="91"/>
      <c r="CJ87" s="26"/>
      <c r="CK87" s="91"/>
      <c r="CL87" s="26"/>
    </row>
    <row r="88" ht="103.5" customHeight="1">
      <c r="A88" s="26">
        <f t="shared" si="58"/>
        <v>86</v>
      </c>
      <c r="B88" s="27" t="s">
        <v>371</v>
      </c>
      <c r="C88" s="27" t="s">
        <v>376</v>
      </c>
      <c r="D88" s="27"/>
      <c r="E88" s="26"/>
      <c r="F88" s="26"/>
      <c r="G88" s="20">
        <v>2.0</v>
      </c>
      <c r="H88" s="20">
        <v>2.0</v>
      </c>
      <c r="I88" s="23" t="s">
        <v>72</v>
      </c>
      <c r="J88" s="33"/>
      <c r="K88" s="22">
        <f t="shared" si="53"/>
        <v>2</v>
      </c>
      <c r="L88" s="23" t="s">
        <v>210</v>
      </c>
      <c r="M88" s="34">
        <v>46308.585975752314</v>
      </c>
      <c r="N88" s="25" t="s">
        <v>69</v>
      </c>
      <c r="O88" s="34">
        <v>46308.68188138889</v>
      </c>
      <c r="P88" s="29">
        <f t="shared" si="8"/>
        <v>138.1041167</v>
      </c>
      <c r="Q88" s="29">
        <f t="shared" si="9"/>
        <v>0</v>
      </c>
      <c r="R88" s="29">
        <f t="shared" si="10"/>
        <v>2.301735278</v>
      </c>
      <c r="S88" s="22" t="str">
        <f t="shared" si="11"/>
        <v/>
      </c>
      <c r="T88" s="23"/>
      <c r="U88" s="44" t="str">
        <f t="shared" si="49"/>
        <v/>
      </c>
      <c r="V88" s="25"/>
      <c r="W88" s="44" t="str">
        <f t="shared" si="50"/>
        <v/>
      </c>
      <c r="X88" s="54"/>
      <c r="Y88" s="22" t="str">
        <f t="shared" si="12"/>
        <v/>
      </c>
      <c r="Z88" s="23"/>
      <c r="AA88" s="44" t="str">
        <f t="shared" si="40"/>
        <v/>
      </c>
      <c r="AB88" s="25"/>
      <c r="AC88" s="44" t="str">
        <f t="shared" si="41"/>
        <v/>
      </c>
      <c r="AD88" s="54"/>
      <c r="AE88" s="22" t="str">
        <f t="shared" si="13"/>
        <v/>
      </c>
      <c r="AF88" s="23"/>
      <c r="AG88" s="44" t="str">
        <f t="shared" si="51"/>
        <v/>
      </c>
      <c r="AH88" s="25"/>
      <c r="AI88" s="44" t="str">
        <f t="shared" si="52"/>
        <v/>
      </c>
      <c r="AJ88" s="46">
        <v>0.0</v>
      </c>
      <c r="AK88" s="33"/>
      <c r="AL88" s="22">
        <v>2.0</v>
      </c>
      <c r="AM88" s="23" t="s">
        <v>210</v>
      </c>
      <c r="AN88" s="44">
        <f>if(AM88&lt;&gt;"", if(AN88="",NOW(),AN88),"")</f>
        <v>46310.5704</v>
      </c>
      <c r="AO88" s="25" t="s">
        <v>69</v>
      </c>
      <c r="AP88" s="34">
        <v>46310.584535671296</v>
      </c>
      <c r="AQ88" s="29">
        <f t="shared" si="14"/>
        <v>20.3545</v>
      </c>
      <c r="AR88" s="29">
        <f t="shared" si="15"/>
        <v>0</v>
      </c>
      <c r="AS88" s="29">
        <f t="shared" si="16"/>
        <v>0.3392416667</v>
      </c>
      <c r="AT88" s="22" t="str">
        <f t="shared" si="17"/>
        <v/>
      </c>
      <c r="AU88" s="23"/>
      <c r="AV88" s="44" t="str">
        <f t="shared" si="18"/>
        <v/>
      </c>
      <c r="AW88" s="25"/>
      <c r="AX88" s="44" t="str">
        <f t="shared" si="19"/>
        <v/>
      </c>
      <c r="AY88" s="54"/>
      <c r="AZ88" s="22" t="str">
        <f t="shared" si="20"/>
        <v/>
      </c>
      <c r="BA88" s="23"/>
      <c r="BB88" s="44" t="str">
        <f t="shared" si="21"/>
        <v/>
      </c>
      <c r="BC88" s="25"/>
      <c r="BD88" s="44" t="str">
        <f t="shared" si="22"/>
        <v/>
      </c>
      <c r="BE88" s="54"/>
      <c r="BF88" s="22" t="str">
        <f t="shared" si="23"/>
        <v/>
      </c>
      <c r="BG88" s="23"/>
      <c r="BH88" s="44" t="str">
        <f t="shared" si="74"/>
        <v/>
      </c>
      <c r="BI88" s="25"/>
      <c r="BJ88" s="44" t="str">
        <f t="shared" si="75"/>
        <v/>
      </c>
      <c r="BK88" s="46">
        <v>0.0</v>
      </c>
      <c r="BL88" s="33"/>
      <c r="BM88" s="22" t="str">
        <f t="shared" si="24"/>
        <v/>
      </c>
      <c r="BN88" s="23"/>
      <c r="BO88" s="44" t="str">
        <f t="shared" si="25"/>
        <v/>
      </c>
      <c r="BP88" s="25"/>
      <c r="BQ88" s="44" t="str">
        <f t="shared" si="26"/>
        <v/>
      </c>
      <c r="BR88" s="29" t="str">
        <f t="shared" si="27"/>
        <v/>
      </c>
      <c r="BS88" s="29">
        <f t="shared" si="28"/>
        <v>0</v>
      </c>
      <c r="BT88" s="29">
        <f t="shared" si="29"/>
        <v>0</v>
      </c>
      <c r="BU88" s="22" t="str">
        <f t="shared" si="30"/>
        <v/>
      </c>
      <c r="BV88" s="23"/>
      <c r="BW88" s="44" t="str">
        <f t="shared" si="31"/>
        <v/>
      </c>
      <c r="BX88" s="25"/>
      <c r="BY88" s="44" t="str">
        <f t="shared" si="32"/>
        <v/>
      </c>
      <c r="BZ88" s="54"/>
      <c r="CA88" s="22" t="str">
        <f t="shared" si="33"/>
        <v/>
      </c>
      <c r="CB88" s="23"/>
      <c r="CC88" s="44" t="str">
        <f t="shared" si="34"/>
        <v/>
      </c>
      <c r="CD88" s="25"/>
      <c r="CE88" s="44" t="str">
        <f t="shared" si="35"/>
        <v/>
      </c>
      <c r="CF88" s="54"/>
      <c r="CG88" s="22" t="str">
        <f t="shared" si="5"/>
        <v/>
      </c>
      <c r="CH88" s="26"/>
      <c r="CI88" s="91"/>
      <c r="CJ88" s="26"/>
      <c r="CK88" s="91"/>
      <c r="CL88" s="26"/>
    </row>
    <row r="89">
      <c r="A89" s="26">
        <f t="shared" si="58"/>
        <v>87</v>
      </c>
      <c r="B89" s="27" t="s">
        <v>371</v>
      </c>
      <c r="C89" s="27" t="s">
        <v>378</v>
      </c>
      <c r="D89" s="27"/>
      <c r="E89" s="26"/>
      <c r="F89" s="26"/>
      <c r="G89" s="20">
        <v>1.0</v>
      </c>
      <c r="H89" s="20">
        <v>2.0</v>
      </c>
      <c r="I89" s="23" t="s">
        <v>72</v>
      </c>
      <c r="J89" s="33"/>
      <c r="K89" s="22">
        <f t="shared" si="53"/>
        <v>1</v>
      </c>
      <c r="L89" s="23" t="s">
        <v>210</v>
      </c>
      <c r="M89" s="34">
        <v>46308.455141134255</v>
      </c>
      <c r="N89" s="25" t="s">
        <v>69</v>
      </c>
      <c r="O89" s="34">
        <v>46308.462748935184</v>
      </c>
      <c r="P89" s="29">
        <f t="shared" si="8"/>
        <v>10.95523334</v>
      </c>
      <c r="Q89" s="29">
        <f t="shared" si="9"/>
        <v>0</v>
      </c>
      <c r="R89" s="29">
        <f t="shared" si="10"/>
        <v>0.1825872223</v>
      </c>
      <c r="S89" s="22" t="str">
        <f t="shared" si="11"/>
        <v/>
      </c>
      <c r="T89" s="23"/>
      <c r="U89" s="44" t="str">
        <f t="shared" si="49"/>
        <v/>
      </c>
      <c r="V89" s="25"/>
      <c r="W89" s="44" t="str">
        <f t="shared" si="50"/>
        <v/>
      </c>
      <c r="X89" s="54"/>
      <c r="Y89" s="22" t="str">
        <f t="shared" si="12"/>
        <v/>
      </c>
      <c r="Z89" s="23"/>
      <c r="AA89" s="44" t="str">
        <f t="shared" si="40"/>
        <v/>
      </c>
      <c r="AB89" s="25"/>
      <c r="AC89" s="44" t="str">
        <f t="shared" si="41"/>
        <v/>
      </c>
      <c r="AD89" s="54"/>
      <c r="AE89" s="22" t="str">
        <f t="shared" si="13"/>
        <v/>
      </c>
      <c r="AF89" s="23"/>
      <c r="AG89" s="44" t="str">
        <f t="shared" si="51"/>
        <v/>
      </c>
      <c r="AH89" s="25"/>
      <c r="AI89" s="44" t="str">
        <f t="shared" si="52"/>
        <v/>
      </c>
      <c r="AJ89" s="46">
        <v>0.0</v>
      </c>
      <c r="AK89" s="33"/>
      <c r="AL89" s="22">
        <v>2.0</v>
      </c>
      <c r="AM89" s="23" t="s">
        <v>186</v>
      </c>
      <c r="AN89" s="34">
        <v>46309.64622908564</v>
      </c>
      <c r="AO89" s="25" t="s">
        <v>69</v>
      </c>
      <c r="AP89" s="34">
        <v>46309.69664601852</v>
      </c>
      <c r="AQ89" s="29">
        <f t="shared" si="14"/>
        <v>72.60038334</v>
      </c>
      <c r="AR89" s="29">
        <f t="shared" si="15"/>
        <v>0</v>
      </c>
      <c r="AS89" s="29">
        <f t="shared" si="16"/>
        <v>1.210006389</v>
      </c>
      <c r="AT89" s="22" t="str">
        <f t="shared" si="17"/>
        <v/>
      </c>
      <c r="AU89" s="23"/>
      <c r="AV89" s="44" t="str">
        <f t="shared" si="18"/>
        <v/>
      </c>
      <c r="AW89" s="25"/>
      <c r="AX89" s="44" t="str">
        <f t="shared" si="19"/>
        <v/>
      </c>
      <c r="AY89" s="54"/>
      <c r="AZ89" s="22" t="str">
        <f t="shared" si="20"/>
        <v/>
      </c>
      <c r="BA89" s="23"/>
      <c r="BB89" s="44" t="str">
        <f t="shared" si="21"/>
        <v/>
      </c>
      <c r="BC89" s="25"/>
      <c r="BD89" s="44" t="str">
        <f t="shared" si="22"/>
        <v/>
      </c>
      <c r="BE89" s="54"/>
      <c r="BF89" s="22" t="str">
        <f t="shared" si="23"/>
        <v/>
      </c>
      <c r="BG89" s="23"/>
      <c r="BH89" s="44" t="str">
        <f t="shared" si="74"/>
        <v/>
      </c>
      <c r="BI89" s="25"/>
      <c r="BJ89" s="44" t="str">
        <f t="shared" si="75"/>
        <v/>
      </c>
      <c r="BK89" s="46">
        <v>0.0</v>
      </c>
      <c r="BL89" s="33"/>
      <c r="BM89" s="22" t="str">
        <f t="shared" si="24"/>
        <v/>
      </c>
      <c r="BN89" s="23"/>
      <c r="BO89" s="44" t="str">
        <f t="shared" si="25"/>
        <v/>
      </c>
      <c r="BP89" s="25"/>
      <c r="BQ89" s="44" t="str">
        <f t="shared" si="26"/>
        <v/>
      </c>
      <c r="BR89" s="29" t="str">
        <f t="shared" si="27"/>
        <v/>
      </c>
      <c r="BS89" s="29">
        <f t="shared" si="28"/>
        <v>0</v>
      </c>
      <c r="BT89" s="29">
        <f t="shared" si="29"/>
        <v>0</v>
      </c>
      <c r="BU89" s="22" t="str">
        <f t="shared" si="30"/>
        <v/>
      </c>
      <c r="BV89" s="23"/>
      <c r="BW89" s="44" t="str">
        <f t="shared" si="31"/>
        <v/>
      </c>
      <c r="BX89" s="25"/>
      <c r="BY89" s="44" t="str">
        <f t="shared" si="32"/>
        <v/>
      </c>
      <c r="BZ89" s="54"/>
      <c r="CA89" s="22" t="str">
        <f t="shared" si="33"/>
        <v/>
      </c>
      <c r="CB89" s="23"/>
      <c r="CC89" s="44" t="str">
        <f t="shared" si="34"/>
        <v/>
      </c>
      <c r="CD89" s="25"/>
      <c r="CE89" s="44" t="str">
        <f t="shared" si="35"/>
        <v/>
      </c>
      <c r="CF89" s="54"/>
      <c r="CG89" s="22" t="str">
        <f t="shared" si="5"/>
        <v/>
      </c>
      <c r="CH89" s="26"/>
      <c r="CI89" s="91"/>
      <c r="CJ89" s="26"/>
      <c r="CK89" s="91"/>
      <c r="CL89" s="26"/>
    </row>
    <row r="90" ht="120.0" customHeight="1">
      <c r="A90" s="26">
        <f t="shared" si="58"/>
        <v>88</v>
      </c>
      <c r="B90" s="27" t="s">
        <v>371</v>
      </c>
      <c r="C90" s="27" t="s">
        <v>380</v>
      </c>
      <c r="D90" s="27"/>
      <c r="E90" s="26"/>
      <c r="F90" s="26"/>
      <c r="G90" s="20">
        <v>4.0</v>
      </c>
      <c r="H90" s="20">
        <v>3.0</v>
      </c>
      <c r="I90" s="23" t="s">
        <v>72</v>
      </c>
      <c r="J90" s="33"/>
      <c r="K90" s="22">
        <f t="shared" si="53"/>
        <v>4</v>
      </c>
      <c r="L90" s="23" t="s">
        <v>373</v>
      </c>
      <c r="M90" s="34">
        <v>46309.69874537037</v>
      </c>
      <c r="N90" s="25" t="s">
        <v>69</v>
      </c>
      <c r="O90" s="34">
        <v>46310.70203814815</v>
      </c>
      <c r="P90" s="29">
        <f t="shared" si="8"/>
        <v>1444.7416</v>
      </c>
      <c r="Q90" s="29">
        <f t="shared" si="9"/>
        <v>1020</v>
      </c>
      <c r="R90" s="29">
        <f t="shared" si="10"/>
        <v>7.079026667</v>
      </c>
      <c r="S90" s="22" t="str">
        <f t="shared" si="11"/>
        <v/>
      </c>
      <c r="T90" s="23"/>
      <c r="U90" s="44" t="str">
        <f t="shared" si="49"/>
        <v/>
      </c>
      <c r="V90" s="25"/>
      <c r="W90" s="44" t="str">
        <f t="shared" si="50"/>
        <v/>
      </c>
      <c r="X90" s="54"/>
      <c r="Y90" s="22" t="str">
        <f t="shared" si="12"/>
        <v/>
      </c>
      <c r="Z90" s="23"/>
      <c r="AA90" s="44" t="str">
        <f t="shared" si="40"/>
        <v/>
      </c>
      <c r="AB90" s="25"/>
      <c r="AC90" s="44" t="str">
        <f t="shared" si="41"/>
        <v/>
      </c>
      <c r="AD90" s="54"/>
      <c r="AE90" s="22" t="str">
        <f t="shared" si="13"/>
        <v/>
      </c>
      <c r="AF90" s="23"/>
      <c r="AG90" s="44" t="str">
        <f t="shared" si="51"/>
        <v/>
      </c>
      <c r="AH90" s="25"/>
      <c r="AI90" s="44" t="str">
        <f t="shared" si="52"/>
        <v/>
      </c>
      <c r="AJ90" s="46">
        <v>0.0</v>
      </c>
      <c r="AK90" s="33"/>
      <c r="AL90" s="22">
        <v>3.0</v>
      </c>
      <c r="AM90" s="23" t="s">
        <v>373</v>
      </c>
      <c r="AN90" s="44">
        <f t="shared" ref="AN90:AN91" si="76">if(AM90&lt;&gt;"", if(AN90="",NOW(),AN90),"")</f>
        <v>46311.42959</v>
      </c>
      <c r="AO90" s="25" t="s">
        <v>69</v>
      </c>
      <c r="AP90" s="34">
        <v>46311.669007916666</v>
      </c>
      <c r="AQ90" s="29">
        <f t="shared" si="14"/>
        <v>344.7619833</v>
      </c>
      <c r="AR90" s="29">
        <f t="shared" si="15"/>
        <v>60</v>
      </c>
      <c r="AS90" s="29">
        <f t="shared" si="16"/>
        <v>4.746033056</v>
      </c>
      <c r="AT90" s="22" t="str">
        <f t="shared" si="17"/>
        <v/>
      </c>
      <c r="AU90" s="23"/>
      <c r="AV90" s="44" t="str">
        <f t="shared" si="18"/>
        <v/>
      </c>
      <c r="AW90" s="25"/>
      <c r="AX90" s="44" t="str">
        <f t="shared" si="19"/>
        <v/>
      </c>
      <c r="AY90" s="54"/>
      <c r="AZ90" s="22" t="str">
        <f t="shared" si="20"/>
        <v/>
      </c>
      <c r="BA90" s="23"/>
      <c r="BB90" s="44" t="str">
        <f t="shared" si="21"/>
        <v/>
      </c>
      <c r="BC90" s="25"/>
      <c r="BD90" s="44" t="str">
        <f t="shared" si="22"/>
        <v/>
      </c>
      <c r="BE90" s="54"/>
      <c r="BF90" s="22" t="str">
        <f t="shared" si="23"/>
        <v/>
      </c>
      <c r="BG90" s="23"/>
      <c r="BH90" s="44" t="str">
        <f t="shared" si="74"/>
        <v/>
      </c>
      <c r="BI90" s="25"/>
      <c r="BJ90" s="44" t="str">
        <f t="shared" si="75"/>
        <v/>
      </c>
      <c r="BK90" s="46">
        <v>0.0</v>
      </c>
      <c r="BL90" s="33"/>
      <c r="BM90" s="22" t="str">
        <f t="shared" si="24"/>
        <v/>
      </c>
      <c r="BN90" s="23"/>
      <c r="BO90" s="44" t="str">
        <f t="shared" si="25"/>
        <v/>
      </c>
      <c r="BP90" s="25"/>
      <c r="BQ90" s="44" t="str">
        <f t="shared" si="26"/>
        <v/>
      </c>
      <c r="BR90" s="29" t="str">
        <f t="shared" si="27"/>
        <v/>
      </c>
      <c r="BS90" s="29">
        <f t="shared" si="28"/>
        <v>0</v>
      </c>
      <c r="BT90" s="29">
        <f t="shared" si="29"/>
        <v>0</v>
      </c>
      <c r="BU90" s="22" t="str">
        <f t="shared" si="30"/>
        <v/>
      </c>
      <c r="BV90" s="23"/>
      <c r="BW90" s="44" t="str">
        <f t="shared" si="31"/>
        <v/>
      </c>
      <c r="BX90" s="25"/>
      <c r="BY90" s="44" t="str">
        <f t="shared" si="32"/>
        <v/>
      </c>
      <c r="BZ90" s="54"/>
      <c r="CA90" s="22" t="str">
        <f t="shared" si="33"/>
        <v/>
      </c>
      <c r="CB90" s="23"/>
      <c r="CC90" s="44" t="str">
        <f t="shared" si="34"/>
        <v/>
      </c>
      <c r="CD90" s="25"/>
      <c r="CE90" s="44" t="str">
        <f t="shared" si="35"/>
        <v/>
      </c>
      <c r="CF90" s="54"/>
      <c r="CG90" s="22" t="str">
        <f t="shared" si="5"/>
        <v/>
      </c>
      <c r="CH90" s="26"/>
      <c r="CI90" s="91"/>
      <c r="CJ90" s="26"/>
      <c r="CK90" s="91"/>
      <c r="CL90" s="26"/>
    </row>
    <row r="91" ht="29.25" customHeight="1">
      <c r="A91" s="26">
        <f t="shared" si="58"/>
        <v>89</v>
      </c>
      <c r="B91" s="27" t="s">
        <v>381</v>
      </c>
      <c r="C91" s="27" t="s">
        <v>382</v>
      </c>
      <c r="D91" s="27"/>
      <c r="E91" s="26"/>
      <c r="F91" s="26"/>
      <c r="G91" s="20">
        <v>2.0</v>
      </c>
      <c r="H91" s="20">
        <v>2.0</v>
      </c>
      <c r="I91" s="23" t="s">
        <v>72</v>
      </c>
      <c r="J91" s="33"/>
      <c r="K91" s="22">
        <f t="shared" si="53"/>
        <v>2</v>
      </c>
      <c r="L91" s="23" t="s">
        <v>176</v>
      </c>
      <c r="M91" s="34">
        <v>46309.61088399305</v>
      </c>
      <c r="N91" s="25" t="s">
        <v>69</v>
      </c>
      <c r="O91" s="34">
        <v>46310.38550174769</v>
      </c>
      <c r="P91" s="29">
        <f t="shared" si="8"/>
        <v>1115.449567</v>
      </c>
      <c r="Q91" s="29">
        <f t="shared" si="9"/>
        <v>960</v>
      </c>
      <c r="R91" s="29">
        <f t="shared" si="10"/>
        <v>2.590826111</v>
      </c>
      <c r="S91" s="22" t="str">
        <f t="shared" si="11"/>
        <v/>
      </c>
      <c r="T91" s="23"/>
      <c r="U91" s="44" t="str">
        <f t="shared" si="49"/>
        <v/>
      </c>
      <c r="V91" s="25"/>
      <c r="W91" s="44" t="str">
        <f t="shared" si="50"/>
        <v/>
      </c>
      <c r="X91" s="54"/>
      <c r="Y91" s="22" t="str">
        <f t="shared" si="12"/>
        <v/>
      </c>
      <c r="Z91" s="23"/>
      <c r="AA91" s="44" t="str">
        <f t="shared" si="40"/>
        <v/>
      </c>
      <c r="AB91" s="25"/>
      <c r="AC91" s="44" t="str">
        <f t="shared" si="41"/>
        <v/>
      </c>
      <c r="AD91" s="54"/>
      <c r="AE91" s="22" t="str">
        <f t="shared" si="13"/>
        <v/>
      </c>
      <c r="AF91" s="23"/>
      <c r="AG91" s="44" t="str">
        <f t="shared" si="51"/>
        <v/>
      </c>
      <c r="AH91" s="25"/>
      <c r="AI91" s="44" t="str">
        <f t="shared" si="52"/>
        <v/>
      </c>
      <c r="AJ91" s="46">
        <v>0.0</v>
      </c>
      <c r="AK91" s="33"/>
      <c r="AL91" s="22">
        <v>2.0</v>
      </c>
      <c r="AM91" s="23" t="s">
        <v>186</v>
      </c>
      <c r="AN91" s="44">
        <f t="shared" si="76"/>
        <v>46311.57908</v>
      </c>
      <c r="AO91" s="25" t="s">
        <v>69</v>
      </c>
      <c r="AP91" s="34">
        <v>46311.645644351855</v>
      </c>
      <c r="AQ91" s="29">
        <f t="shared" si="14"/>
        <v>95.85731666</v>
      </c>
      <c r="AR91" s="29">
        <f t="shared" si="15"/>
        <v>0</v>
      </c>
      <c r="AS91" s="29">
        <f t="shared" si="16"/>
        <v>1.597621944</v>
      </c>
      <c r="AT91" s="22" t="str">
        <f t="shared" si="17"/>
        <v/>
      </c>
      <c r="AU91" s="23"/>
      <c r="AV91" s="44" t="str">
        <f t="shared" si="18"/>
        <v/>
      </c>
      <c r="AW91" s="25"/>
      <c r="AX91" s="44" t="str">
        <f t="shared" si="19"/>
        <v/>
      </c>
      <c r="AY91" s="54"/>
      <c r="AZ91" s="22" t="str">
        <f t="shared" si="20"/>
        <v/>
      </c>
      <c r="BA91" s="23"/>
      <c r="BB91" s="44" t="str">
        <f t="shared" si="21"/>
        <v/>
      </c>
      <c r="BC91" s="25"/>
      <c r="BD91" s="44" t="str">
        <f t="shared" si="22"/>
        <v/>
      </c>
      <c r="BE91" s="54"/>
      <c r="BF91" s="22" t="str">
        <f t="shared" si="23"/>
        <v/>
      </c>
      <c r="BG91" s="23"/>
      <c r="BH91" s="44" t="str">
        <f t="shared" si="74"/>
        <v/>
      </c>
      <c r="BI91" s="25"/>
      <c r="BJ91" s="44" t="str">
        <f t="shared" si="75"/>
        <v/>
      </c>
      <c r="BK91" s="46">
        <v>0.0</v>
      </c>
      <c r="BL91" s="33"/>
      <c r="BM91" s="22" t="str">
        <f t="shared" si="24"/>
        <v/>
      </c>
      <c r="BN91" s="23"/>
      <c r="BO91" s="44" t="str">
        <f t="shared" si="25"/>
        <v/>
      </c>
      <c r="BP91" s="25"/>
      <c r="BQ91" s="44" t="str">
        <f t="shared" si="26"/>
        <v/>
      </c>
      <c r="BR91" s="29" t="str">
        <f t="shared" si="27"/>
        <v/>
      </c>
      <c r="BS91" s="29">
        <f t="shared" si="28"/>
        <v>0</v>
      </c>
      <c r="BT91" s="29">
        <f t="shared" si="29"/>
        <v>0</v>
      </c>
      <c r="BU91" s="22" t="str">
        <f t="shared" si="30"/>
        <v/>
      </c>
      <c r="BV91" s="23"/>
      <c r="BW91" s="44" t="str">
        <f t="shared" si="31"/>
        <v/>
      </c>
      <c r="BX91" s="25"/>
      <c r="BY91" s="44" t="str">
        <f t="shared" si="32"/>
        <v/>
      </c>
      <c r="BZ91" s="54"/>
      <c r="CA91" s="22" t="str">
        <f t="shared" si="33"/>
        <v/>
      </c>
      <c r="CB91" s="23"/>
      <c r="CC91" s="44" t="str">
        <f t="shared" si="34"/>
        <v/>
      </c>
      <c r="CD91" s="25"/>
      <c r="CE91" s="44" t="str">
        <f t="shared" si="35"/>
        <v/>
      </c>
      <c r="CF91" s="54"/>
      <c r="CG91" s="22" t="str">
        <f t="shared" si="5"/>
        <v/>
      </c>
      <c r="CH91" s="26"/>
      <c r="CI91" s="91"/>
      <c r="CJ91" s="26"/>
      <c r="CK91" s="91"/>
      <c r="CL91" s="26"/>
    </row>
    <row r="92" ht="93.0" customHeight="1">
      <c r="A92" s="26">
        <f t="shared" si="58"/>
        <v>90</v>
      </c>
      <c r="B92" s="27" t="s">
        <v>381</v>
      </c>
      <c r="C92" s="27" t="s">
        <v>383</v>
      </c>
      <c r="D92" s="27"/>
      <c r="E92" s="26"/>
      <c r="F92" s="26"/>
      <c r="G92" s="20">
        <v>1.0</v>
      </c>
      <c r="H92" s="20">
        <v>1.0</v>
      </c>
      <c r="I92" s="23" t="s">
        <v>72</v>
      </c>
      <c r="J92" s="33"/>
      <c r="K92" s="22">
        <f t="shared" si="53"/>
        <v>1</v>
      </c>
      <c r="L92" s="23" t="s">
        <v>210</v>
      </c>
      <c r="M92" s="34">
        <v>46307.54738263889</v>
      </c>
      <c r="N92" s="25" t="s">
        <v>69</v>
      </c>
      <c r="O92" s="34">
        <v>46307.57096899305</v>
      </c>
      <c r="P92" s="29">
        <f t="shared" si="8"/>
        <v>33.96434999</v>
      </c>
      <c r="Q92" s="29">
        <f t="shared" si="9"/>
        <v>0</v>
      </c>
      <c r="R92" s="29">
        <f t="shared" si="10"/>
        <v>0.5660724998</v>
      </c>
      <c r="S92" s="22" t="str">
        <f t="shared" si="11"/>
        <v/>
      </c>
      <c r="T92" s="23"/>
      <c r="U92" s="44" t="str">
        <f t="shared" si="49"/>
        <v/>
      </c>
      <c r="V92" s="25"/>
      <c r="W92" s="44" t="str">
        <f t="shared" si="50"/>
        <v/>
      </c>
      <c r="X92" s="54"/>
      <c r="Y92" s="22" t="str">
        <f t="shared" si="12"/>
        <v/>
      </c>
      <c r="Z92" s="23"/>
      <c r="AA92" s="44" t="str">
        <f t="shared" si="40"/>
        <v/>
      </c>
      <c r="AB92" s="25"/>
      <c r="AC92" s="44" t="str">
        <f t="shared" si="41"/>
        <v/>
      </c>
      <c r="AD92" s="54"/>
      <c r="AE92" s="22" t="str">
        <f t="shared" si="13"/>
        <v/>
      </c>
      <c r="AF92" s="23"/>
      <c r="AG92" s="44" t="str">
        <f t="shared" si="51"/>
        <v/>
      </c>
      <c r="AH92" s="25"/>
      <c r="AI92" s="44" t="str">
        <f t="shared" si="52"/>
        <v/>
      </c>
      <c r="AJ92" s="46">
        <v>0.0</v>
      </c>
      <c r="AK92" s="33"/>
      <c r="AL92" s="22">
        <v>1.0</v>
      </c>
      <c r="AM92" s="23" t="s">
        <v>186</v>
      </c>
      <c r="AN92" s="34">
        <v>46308.58733375</v>
      </c>
      <c r="AO92" s="25" t="s">
        <v>69</v>
      </c>
      <c r="AP92" s="34">
        <v>46308.61020409722</v>
      </c>
      <c r="AQ92" s="29">
        <f t="shared" si="14"/>
        <v>32.93329999</v>
      </c>
      <c r="AR92" s="29">
        <f t="shared" si="15"/>
        <v>0</v>
      </c>
      <c r="AS92" s="29">
        <f t="shared" si="16"/>
        <v>0.5488883332</v>
      </c>
      <c r="AT92" s="22" t="str">
        <f t="shared" si="17"/>
        <v/>
      </c>
      <c r="AU92" s="23"/>
      <c r="AV92" s="44" t="str">
        <f t="shared" si="18"/>
        <v/>
      </c>
      <c r="AW92" s="25"/>
      <c r="AX92" s="44" t="str">
        <f t="shared" si="19"/>
        <v/>
      </c>
      <c r="AY92" s="54"/>
      <c r="AZ92" s="22" t="str">
        <f t="shared" si="20"/>
        <v/>
      </c>
      <c r="BA92" s="23"/>
      <c r="BB92" s="44" t="str">
        <f t="shared" si="21"/>
        <v/>
      </c>
      <c r="BC92" s="25"/>
      <c r="BD92" s="44" t="str">
        <f t="shared" si="22"/>
        <v/>
      </c>
      <c r="BE92" s="54"/>
      <c r="BF92" s="22" t="str">
        <f t="shared" si="23"/>
        <v>Done</v>
      </c>
      <c r="BG92" s="23" t="s">
        <v>77</v>
      </c>
      <c r="BH92" s="34">
        <v>46309.4410396412</v>
      </c>
      <c r="BI92" s="25" t="s">
        <v>69</v>
      </c>
      <c r="BJ92" s="34">
        <v>46309.44170729167</v>
      </c>
      <c r="BK92" s="46">
        <v>1.0</v>
      </c>
      <c r="BL92" s="33"/>
      <c r="BM92" s="22" t="str">
        <f t="shared" si="24"/>
        <v>Done</v>
      </c>
      <c r="BN92" s="23"/>
      <c r="BO92" s="44" t="str">
        <f t="shared" si="25"/>
        <v/>
      </c>
      <c r="BP92" s="25"/>
      <c r="BQ92" s="44" t="str">
        <f t="shared" si="26"/>
        <v/>
      </c>
      <c r="BR92" s="29" t="str">
        <f t="shared" si="27"/>
        <v/>
      </c>
      <c r="BS92" s="29">
        <f t="shared" si="28"/>
        <v>0</v>
      </c>
      <c r="BT92" s="29">
        <f t="shared" si="29"/>
        <v>0</v>
      </c>
      <c r="BU92" s="22" t="str">
        <f t="shared" si="30"/>
        <v/>
      </c>
      <c r="BV92" s="23"/>
      <c r="BW92" s="44" t="str">
        <f t="shared" si="31"/>
        <v/>
      </c>
      <c r="BX92" s="25"/>
      <c r="BY92" s="44" t="str">
        <f t="shared" si="32"/>
        <v/>
      </c>
      <c r="BZ92" s="54"/>
      <c r="CA92" s="22" t="str">
        <f t="shared" si="33"/>
        <v/>
      </c>
      <c r="CB92" s="23"/>
      <c r="CC92" s="44" t="str">
        <f t="shared" si="34"/>
        <v/>
      </c>
      <c r="CD92" s="25"/>
      <c r="CE92" s="44" t="str">
        <f t="shared" si="35"/>
        <v/>
      </c>
      <c r="CF92" s="54"/>
      <c r="CG92" s="22" t="str">
        <f t="shared" si="5"/>
        <v/>
      </c>
      <c r="CH92" s="26"/>
      <c r="CI92" s="91"/>
      <c r="CJ92" s="26"/>
      <c r="CK92" s="91"/>
      <c r="CL92" s="26"/>
    </row>
    <row r="93" ht="102.75" customHeight="1">
      <c r="A93" s="26">
        <f t="shared" si="58"/>
        <v>91</v>
      </c>
      <c r="B93" s="27" t="s">
        <v>381</v>
      </c>
      <c r="C93" s="27" t="s">
        <v>384</v>
      </c>
      <c r="D93" s="27"/>
      <c r="E93" s="26"/>
      <c r="F93" s="26"/>
      <c r="G93" s="20">
        <v>1.0</v>
      </c>
      <c r="H93" s="20">
        <v>2.0</v>
      </c>
      <c r="I93" s="23" t="s">
        <v>72</v>
      </c>
      <c r="J93" s="33"/>
      <c r="K93" s="22">
        <f t="shared" si="53"/>
        <v>1</v>
      </c>
      <c r="L93" s="23" t="s">
        <v>172</v>
      </c>
      <c r="M93" s="34">
        <v>46310.46344075231</v>
      </c>
      <c r="N93" s="25" t="s">
        <v>69</v>
      </c>
      <c r="O93" s="34">
        <v>46310.49218015047</v>
      </c>
      <c r="P93" s="29">
        <f t="shared" si="8"/>
        <v>41.38473334</v>
      </c>
      <c r="Q93" s="29">
        <f t="shared" si="9"/>
        <v>0</v>
      </c>
      <c r="R93" s="29">
        <f t="shared" si="10"/>
        <v>0.6897455557</v>
      </c>
      <c r="S93" s="22" t="str">
        <f t="shared" si="11"/>
        <v/>
      </c>
      <c r="T93" s="23"/>
      <c r="U93" s="44" t="str">
        <f t="shared" si="49"/>
        <v/>
      </c>
      <c r="V93" s="25"/>
      <c r="W93" s="44" t="str">
        <f t="shared" si="50"/>
        <v/>
      </c>
      <c r="X93" s="54"/>
      <c r="Y93" s="22" t="str">
        <f t="shared" si="12"/>
        <v/>
      </c>
      <c r="Z93" s="23"/>
      <c r="AA93" s="44" t="str">
        <f t="shared" si="40"/>
        <v/>
      </c>
      <c r="AB93" s="25"/>
      <c r="AC93" s="44" t="str">
        <f t="shared" si="41"/>
        <v/>
      </c>
      <c r="AD93" s="54"/>
      <c r="AE93" s="22" t="str">
        <f t="shared" si="13"/>
        <v/>
      </c>
      <c r="AF93" s="23"/>
      <c r="AG93" s="44" t="str">
        <f t="shared" si="51"/>
        <v/>
      </c>
      <c r="AH93" s="25"/>
      <c r="AI93" s="44" t="str">
        <f t="shared" si="52"/>
        <v/>
      </c>
      <c r="AJ93" s="46">
        <v>0.0</v>
      </c>
      <c r="AK93" s="33"/>
      <c r="AL93" s="22">
        <v>2.0</v>
      </c>
      <c r="AM93" s="23" t="s">
        <v>212</v>
      </c>
      <c r="AN93" s="44">
        <f t="shared" ref="AN93:AN94" si="77">if(AM93&lt;&gt;"", if(AN93="",NOW(),AN93),"")</f>
        <v>46311.45907</v>
      </c>
      <c r="AO93" s="25" t="s">
        <v>69</v>
      </c>
      <c r="AP93" s="34">
        <v>46311.60171890046</v>
      </c>
      <c r="AQ93" s="29">
        <f t="shared" si="14"/>
        <v>205.4136167</v>
      </c>
      <c r="AR93" s="29">
        <f t="shared" si="15"/>
        <v>60</v>
      </c>
      <c r="AS93" s="29">
        <f t="shared" si="16"/>
        <v>2.423560278</v>
      </c>
      <c r="AT93" s="22" t="str">
        <f t="shared" si="17"/>
        <v/>
      </c>
      <c r="AU93" s="23"/>
      <c r="AV93" s="44" t="str">
        <f t="shared" si="18"/>
        <v/>
      </c>
      <c r="AW93" s="25"/>
      <c r="AX93" s="44" t="str">
        <f t="shared" si="19"/>
        <v/>
      </c>
      <c r="AY93" s="54"/>
      <c r="AZ93" s="22" t="str">
        <f t="shared" si="20"/>
        <v/>
      </c>
      <c r="BA93" s="23"/>
      <c r="BB93" s="44" t="str">
        <f t="shared" si="21"/>
        <v/>
      </c>
      <c r="BC93" s="25"/>
      <c r="BD93" s="44" t="str">
        <f t="shared" si="22"/>
        <v/>
      </c>
      <c r="BE93" s="54"/>
      <c r="BF93" s="22" t="str">
        <f t="shared" si="23"/>
        <v/>
      </c>
      <c r="BG93" s="23"/>
      <c r="BH93" s="44" t="str">
        <f t="shared" ref="BH93:BH94" si="78">if(BG93&lt;&gt;"", if(BH93="",NOW(),BH93),"")</f>
        <v/>
      </c>
      <c r="BI93" s="25"/>
      <c r="BJ93" s="44" t="str">
        <f t="shared" ref="BJ93:BJ94" si="79">if(BI93="Done", if(BJ93="",NOW(),BJ93),"")</f>
        <v/>
      </c>
      <c r="BK93" s="46">
        <v>0.0</v>
      </c>
      <c r="BL93" s="33"/>
      <c r="BM93" s="22" t="str">
        <f t="shared" si="24"/>
        <v/>
      </c>
      <c r="BN93" s="23"/>
      <c r="BO93" s="44" t="str">
        <f t="shared" si="25"/>
        <v/>
      </c>
      <c r="BP93" s="25"/>
      <c r="BQ93" s="44" t="str">
        <f t="shared" si="26"/>
        <v/>
      </c>
      <c r="BR93" s="29" t="str">
        <f t="shared" si="27"/>
        <v/>
      </c>
      <c r="BS93" s="29">
        <f t="shared" si="28"/>
        <v>0</v>
      </c>
      <c r="BT93" s="29">
        <f t="shared" si="29"/>
        <v>0</v>
      </c>
      <c r="BU93" s="22" t="str">
        <f t="shared" si="30"/>
        <v/>
      </c>
      <c r="BV93" s="23"/>
      <c r="BW93" s="44" t="str">
        <f t="shared" si="31"/>
        <v/>
      </c>
      <c r="BX93" s="25"/>
      <c r="BY93" s="44" t="str">
        <f t="shared" si="32"/>
        <v/>
      </c>
      <c r="BZ93" s="54"/>
      <c r="CA93" s="22" t="str">
        <f t="shared" si="33"/>
        <v/>
      </c>
      <c r="CB93" s="23"/>
      <c r="CC93" s="44" t="str">
        <f t="shared" si="34"/>
        <v/>
      </c>
      <c r="CD93" s="25"/>
      <c r="CE93" s="44" t="str">
        <f t="shared" si="35"/>
        <v/>
      </c>
      <c r="CF93" s="54"/>
      <c r="CG93" s="22" t="str">
        <f t="shared" si="5"/>
        <v/>
      </c>
      <c r="CH93" s="26"/>
      <c r="CI93" s="91"/>
      <c r="CJ93" s="26"/>
      <c r="CK93" s="91"/>
      <c r="CL93" s="26"/>
    </row>
    <row r="94" ht="110.25" customHeight="1">
      <c r="A94" s="26">
        <f t="shared" si="58"/>
        <v>92</v>
      </c>
      <c r="B94" s="27" t="s">
        <v>381</v>
      </c>
      <c r="C94" s="27" t="s">
        <v>385</v>
      </c>
      <c r="D94" s="27"/>
      <c r="E94" s="26"/>
      <c r="F94" s="26"/>
      <c r="G94" s="20">
        <v>1.0</v>
      </c>
      <c r="H94" s="20">
        <v>1.0</v>
      </c>
      <c r="I94" s="23" t="s">
        <v>72</v>
      </c>
      <c r="J94" s="33"/>
      <c r="K94" s="22">
        <f t="shared" si="53"/>
        <v>1</v>
      </c>
      <c r="L94" s="23" t="s">
        <v>373</v>
      </c>
      <c r="M94" s="34">
        <v>46308.665022534726</v>
      </c>
      <c r="N94" s="25" t="s">
        <v>69</v>
      </c>
      <c r="O94" s="34">
        <v>46308.68114730324</v>
      </c>
      <c r="P94" s="29">
        <f t="shared" si="8"/>
        <v>23.21966666</v>
      </c>
      <c r="Q94" s="29">
        <f t="shared" si="9"/>
        <v>0</v>
      </c>
      <c r="R94" s="29">
        <f t="shared" si="10"/>
        <v>0.3869944444</v>
      </c>
      <c r="S94" s="22" t="str">
        <f t="shared" si="11"/>
        <v/>
      </c>
      <c r="T94" s="23"/>
      <c r="U94" s="44" t="str">
        <f t="shared" si="49"/>
        <v/>
      </c>
      <c r="V94" s="25"/>
      <c r="W94" s="44" t="str">
        <f t="shared" si="50"/>
        <v/>
      </c>
      <c r="X94" s="54"/>
      <c r="Y94" s="22" t="str">
        <f t="shared" si="12"/>
        <v/>
      </c>
      <c r="Z94" s="23"/>
      <c r="AA94" s="44" t="str">
        <f t="shared" si="40"/>
        <v/>
      </c>
      <c r="AB94" s="25"/>
      <c r="AC94" s="44" t="str">
        <f t="shared" si="41"/>
        <v/>
      </c>
      <c r="AD94" s="54"/>
      <c r="AE94" s="22" t="str">
        <f t="shared" si="13"/>
        <v/>
      </c>
      <c r="AF94" s="23"/>
      <c r="AG94" s="44" t="str">
        <f t="shared" si="51"/>
        <v/>
      </c>
      <c r="AH94" s="25"/>
      <c r="AI94" s="44" t="str">
        <f t="shared" si="52"/>
        <v/>
      </c>
      <c r="AJ94" s="46">
        <v>0.0</v>
      </c>
      <c r="AK94" s="33"/>
      <c r="AL94" s="22">
        <v>1.0</v>
      </c>
      <c r="AM94" s="23" t="s">
        <v>73</v>
      </c>
      <c r="AN94" s="44">
        <f t="shared" si="77"/>
        <v>46310.65117</v>
      </c>
      <c r="AO94" s="25" t="s">
        <v>69</v>
      </c>
      <c r="AP94" s="34">
        <v>46310.69678280092</v>
      </c>
      <c r="AQ94" s="29">
        <f t="shared" si="14"/>
        <v>65.68679999</v>
      </c>
      <c r="AR94" s="29">
        <f t="shared" si="15"/>
        <v>0</v>
      </c>
      <c r="AS94" s="29">
        <f t="shared" si="16"/>
        <v>1.09478</v>
      </c>
      <c r="AT94" s="22" t="str">
        <f t="shared" si="17"/>
        <v/>
      </c>
      <c r="AU94" s="23"/>
      <c r="AV94" s="44" t="str">
        <f t="shared" si="18"/>
        <v/>
      </c>
      <c r="AW94" s="25"/>
      <c r="AX94" s="44" t="str">
        <f t="shared" si="19"/>
        <v/>
      </c>
      <c r="AY94" s="54"/>
      <c r="AZ94" s="22" t="str">
        <f t="shared" si="20"/>
        <v/>
      </c>
      <c r="BA94" s="23"/>
      <c r="BB94" s="44" t="str">
        <f t="shared" si="21"/>
        <v/>
      </c>
      <c r="BC94" s="25"/>
      <c r="BD94" s="44" t="str">
        <f t="shared" si="22"/>
        <v/>
      </c>
      <c r="BE94" s="54"/>
      <c r="BF94" s="22" t="str">
        <f t="shared" si="23"/>
        <v/>
      </c>
      <c r="BG94" s="23"/>
      <c r="BH94" s="44" t="str">
        <f t="shared" si="78"/>
        <v/>
      </c>
      <c r="BI94" s="25"/>
      <c r="BJ94" s="44" t="str">
        <f t="shared" si="79"/>
        <v/>
      </c>
      <c r="BK94" s="46">
        <v>0.0</v>
      </c>
      <c r="BL94" s="33"/>
      <c r="BM94" s="22" t="str">
        <f t="shared" si="24"/>
        <v/>
      </c>
      <c r="BN94" s="23"/>
      <c r="BO94" s="44" t="str">
        <f t="shared" si="25"/>
        <v/>
      </c>
      <c r="BP94" s="25"/>
      <c r="BQ94" s="44" t="str">
        <f t="shared" si="26"/>
        <v/>
      </c>
      <c r="BR94" s="29" t="str">
        <f t="shared" si="27"/>
        <v/>
      </c>
      <c r="BS94" s="29">
        <f t="shared" si="28"/>
        <v>0</v>
      </c>
      <c r="BT94" s="29">
        <f t="shared" si="29"/>
        <v>0</v>
      </c>
      <c r="BU94" s="22" t="str">
        <f t="shared" si="30"/>
        <v/>
      </c>
      <c r="BV94" s="23"/>
      <c r="BW94" s="44" t="str">
        <f t="shared" si="31"/>
        <v/>
      </c>
      <c r="BX94" s="25"/>
      <c r="BY94" s="44" t="str">
        <f t="shared" si="32"/>
        <v/>
      </c>
      <c r="BZ94" s="54"/>
      <c r="CA94" s="22" t="str">
        <f t="shared" si="33"/>
        <v/>
      </c>
      <c r="CB94" s="23"/>
      <c r="CC94" s="44" t="str">
        <f t="shared" si="34"/>
        <v/>
      </c>
      <c r="CD94" s="25"/>
      <c r="CE94" s="44" t="str">
        <f t="shared" si="35"/>
        <v/>
      </c>
      <c r="CF94" s="54"/>
      <c r="CG94" s="22" t="str">
        <f t="shared" si="5"/>
        <v/>
      </c>
      <c r="CH94" s="26"/>
      <c r="CI94" s="91"/>
      <c r="CJ94" s="26"/>
      <c r="CK94" s="91"/>
      <c r="CL94" s="26"/>
    </row>
    <row r="95" ht="102.75" customHeight="1">
      <c r="A95" s="26">
        <f t="shared" si="58"/>
        <v>93</v>
      </c>
      <c r="B95" s="27" t="s">
        <v>386</v>
      </c>
      <c r="C95" s="27" t="s">
        <v>387</v>
      </c>
      <c r="D95" s="27"/>
      <c r="E95" s="26"/>
      <c r="F95" s="26"/>
      <c r="G95" s="20">
        <v>1.0</v>
      </c>
      <c r="H95" s="20">
        <v>1.0</v>
      </c>
      <c r="I95" s="23" t="s">
        <v>72</v>
      </c>
      <c r="J95" s="33"/>
      <c r="K95" s="22">
        <f t="shared" si="53"/>
        <v>1</v>
      </c>
      <c r="L95" s="23"/>
      <c r="M95" s="44"/>
      <c r="N95" s="25"/>
      <c r="O95" s="44"/>
      <c r="P95" s="29" t="str">
        <f t="shared" si="8"/>
        <v/>
      </c>
      <c r="Q95" s="29">
        <f t="shared" si="9"/>
        <v>0</v>
      </c>
      <c r="R95" s="29">
        <f t="shared" si="10"/>
        <v>0</v>
      </c>
      <c r="S95" s="22" t="str">
        <f t="shared" si="11"/>
        <v/>
      </c>
      <c r="T95" s="23"/>
      <c r="U95" s="44" t="str">
        <f t="shared" si="49"/>
        <v/>
      </c>
      <c r="V95" s="25"/>
      <c r="W95" s="44" t="str">
        <f t="shared" si="50"/>
        <v/>
      </c>
      <c r="X95" s="54"/>
      <c r="Y95" s="22" t="str">
        <f t="shared" si="12"/>
        <v/>
      </c>
      <c r="Z95" s="23"/>
      <c r="AA95" s="44" t="str">
        <f t="shared" si="40"/>
        <v/>
      </c>
      <c r="AB95" s="25"/>
      <c r="AC95" s="44" t="str">
        <f t="shared" si="41"/>
        <v/>
      </c>
      <c r="AD95" s="54"/>
      <c r="AE95" s="22" t="str">
        <f t="shared" si="13"/>
        <v/>
      </c>
      <c r="AF95" s="23"/>
      <c r="AG95" s="44" t="str">
        <f t="shared" si="51"/>
        <v/>
      </c>
      <c r="AH95" s="25"/>
      <c r="AI95" s="44" t="str">
        <f t="shared" si="52"/>
        <v/>
      </c>
      <c r="AJ95" s="46">
        <v>0.0</v>
      </c>
      <c r="AK95" s="33"/>
      <c r="AL95" s="22">
        <v>1.0</v>
      </c>
      <c r="AM95" s="23"/>
      <c r="AN95" s="34"/>
      <c r="AO95" s="25"/>
      <c r="AP95" s="34"/>
      <c r="AQ95" s="29" t="str">
        <f t="shared" si="14"/>
        <v/>
      </c>
      <c r="AR95" s="29">
        <f t="shared" si="15"/>
        <v>0</v>
      </c>
      <c r="AS95" s="29">
        <f t="shared" si="16"/>
        <v>0</v>
      </c>
      <c r="AT95" s="22" t="str">
        <f t="shared" si="17"/>
        <v/>
      </c>
      <c r="AU95" s="23"/>
      <c r="AV95" s="44" t="str">
        <f t="shared" si="18"/>
        <v/>
      </c>
      <c r="AW95" s="25"/>
      <c r="AX95" s="44" t="str">
        <f t="shared" si="19"/>
        <v/>
      </c>
      <c r="AY95" s="35"/>
      <c r="AZ95" s="22" t="str">
        <f t="shared" si="20"/>
        <v/>
      </c>
      <c r="BA95" s="23"/>
      <c r="BB95" s="44" t="str">
        <f t="shared" si="21"/>
        <v/>
      </c>
      <c r="BC95" s="25"/>
      <c r="BD95" s="44" t="str">
        <f t="shared" si="22"/>
        <v/>
      </c>
      <c r="BE95" s="54"/>
      <c r="BF95" s="22" t="str">
        <f t="shared" si="23"/>
        <v/>
      </c>
      <c r="BG95" s="23"/>
      <c r="BH95" s="34"/>
      <c r="BI95" s="25"/>
      <c r="BJ95" s="34"/>
      <c r="BK95" s="46">
        <v>0.0</v>
      </c>
      <c r="BL95" s="33"/>
      <c r="BM95" s="22" t="str">
        <f t="shared" si="24"/>
        <v/>
      </c>
      <c r="BN95" s="23"/>
      <c r="BO95" s="44" t="str">
        <f t="shared" si="25"/>
        <v/>
      </c>
      <c r="BP95" s="25"/>
      <c r="BQ95" s="44" t="str">
        <f t="shared" si="26"/>
        <v/>
      </c>
      <c r="BR95" s="29" t="str">
        <f t="shared" si="27"/>
        <v/>
      </c>
      <c r="BS95" s="29">
        <f t="shared" si="28"/>
        <v>0</v>
      </c>
      <c r="BT95" s="29">
        <f t="shared" si="29"/>
        <v>0</v>
      </c>
      <c r="BU95" s="22" t="str">
        <f t="shared" si="30"/>
        <v/>
      </c>
      <c r="BV95" s="23"/>
      <c r="BW95" s="44" t="str">
        <f t="shared" si="31"/>
        <v/>
      </c>
      <c r="BX95" s="25"/>
      <c r="BY95" s="44" t="str">
        <f t="shared" si="32"/>
        <v/>
      </c>
      <c r="BZ95" s="54"/>
      <c r="CA95" s="22" t="str">
        <f t="shared" si="33"/>
        <v/>
      </c>
      <c r="CB95" s="23"/>
      <c r="CC95" s="44" t="str">
        <f t="shared" si="34"/>
        <v/>
      </c>
      <c r="CD95" s="25"/>
      <c r="CE95" s="44" t="str">
        <f t="shared" si="35"/>
        <v/>
      </c>
      <c r="CF95" s="54"/>
      <c r="CG95" s="22" t="str">
        <f t="shared" si="5"/>
        <v/>
      </c>
      <c r="CH95" s="26"/>
      <c r="CI95" s="91"/>
      <c r="CJ95" s="26"/>
      <c r="CK95" s="91"/>
      <c r="CL95" s="26"/>
    </row>
    <row r="96" ht="83.25" customHeight="1">
      <c r="A96" s="26">
        <f t="shared" si="58"/>
        <v>94</v>
      </c>
      <c r="B96" s="27" t="s">
        <v>388</v>
      </c>
      <c r="C96" s="27" t="s">
        <v>389</v>
      </c>
      <c r="D96" s="27"/>
      <c r="E96" s="26"/>
      <c r="F96" s="26"/>
      <c r="G96" s="20">
        <v>2.0</v>
      </c>
      <c r="H96" s="20">
        <v>1.0</v>
      </c>
      <c r="I96" s="23" t="s">
        <v>72</v>
      </c>
      <c r="J96" s="33"/>
      <c r="K96" s="22">
        <f t="shared" si="53"/>
        <v>2</v>
      </c>
      <c r="L96" s="23" t="s">
        <v>210</v>
      </c>
      <c r="M96" s="34">
        <v>46309.65525815972</v>
      </c>
      <c r="N96" s="25" t="s">
        <v>69</v>
      </c>
      <c r="O96" s="34">
        <v>46310.43046018518</v>
      </c>
      <c r="P96" s="29">
        <f t="shared" si="8"/>
        <v>1116.290917</v>
      </c>
      <c r="Q96" s="29">
        <f t="shared" si="9"/>
        <v>960</v>
      </c>
      <c r="R96" s="29">
        <f t="shared" si="10"/>
        <v>2.604848611</v>
      </c>
      <c r="S96" s="22" t="str">
        <f t="shared" si="11"/>
        <v/>
      </c>
      <c r="T96" s="23"/>
      <c r="U96" s="44" t="str">
        <f t="shared" si="49"/>
        <v/>
      </c>
      <c r="V96" s="25"/>
      <c r="W96" s="44" t="str">
        <f t="shared" si="50"/>
        <v/>
      </c>
      <c r="X96" s="54"/>
      <c r="Y96" s="22" t="str">
        <f t="shared" si="12"/>
        <v/>
      </c>
      <c r="Z96" s="23"/>
      <c r="AA96" s="44" t="str">
        <f t="shared" si="40"/>
        <v/>
      </c>
      <c r="AB96" s="25"/>
      <c r="AC96" s="44" t="str">
        <f t="shared" si="41"/>
        <v/>
      </c>
      <c r="AD96" s="54"/>
      <c r="AE96" s="22" t="str">
        <f t="shared" si="13"/>
        <v/>
      </c>
      <c r="AF96" s="23"/>
      <c r="AG96" s="44" t="str">
        <f t="shared" si="51"/>
        <v/>
      </c>
      <c r="AH96" s="25"/>
      <c r="AI96" s="44" t="str">
        <f t="shared" si="52"/>
        <v/>
      </c>
      <c r="AJ96" s="46">
        <v>0.0</v>
      </c>
      <c r="AK96" s="33"/>
      <c r="AL96" s="22">
        <v>1.0</v>
      </c>
      <c r="AM96" s="23" t="s">
        <v>126</v>
      </c>
      <c r="AN96" s="44">
        <f t="shared" ref="AN96:AN99" si="80">if(AM96&lt;&gt;"", if(AN96="",NOW(),AN96),"")</f>
        <v>46310.62573</v>
      </c>
      <c r="AO96" s="25" t="s">
        <v>69</v>
      </c>
      <c r="AP96" s="34">
        <v>46310.67025997685</v>
      </c>
      <c r="AQ96" s="29">
        <f t="shared" si="14"/>
        <v>64.12088332</v>
      </c>
      <c r="AR96" s="29">
        <f t="shared" si="15"/>
        <v>0</v>
      </c>
      <c r="AS96" s="29">
        <f t="shared" si="16"/>
        <v>1.068681389</v>
      </c>
      <c r="AT96" s="22" t="str">
        <f t="shared" si="17"/>
        <v/>
      </c>
      <c r="AU96" s="23"/>
      <c r="AV96" s="44" t="str">
        <f t="shared" si="18"/>
        <v/>
      </c>
      <c r="AW96" s="25"/>
      <c r="AX96" s="44" t="str">
        <f t="shared" si="19"/>
        <v/>
      </c>
      <c r="AY96" s="54"/>
      <c r="AZ96" s="22" t="str">
        <f t="shared" si="20"/>
        <v/>
      </c>
      <c r="BA96" s="23"/>
      <c r="BB96" s="44" t="str">
        <f t="shared" si="21"/>
        <v/>
      </c>
      <c r="BC96" s="25"/>
      <c r="BD96" s="44" t="str">
        <f t="shared" si="22"/>
        <v/>
      </c>
      <c r="BE96" s="54"/>
      <c r="BF96" s="22" t="str">
        <f t="shared" si="23"/>
        <v/>
      </c>
      <c r="BG96" s="23"/>
      <c r="BH96" s="44" t="str">
        <f t="shared" ref="BH96:BH99" si="81">if(BG96&lt;&gt;"", if(BH96="",NOW(),BH96),"")</f>
        <v/>
      </c>
      <c r="BI96" s="25"/>
      <c r="BJ96" s="44" t="str">
        <f t="shared" ref="BJ96:BJ99" si="82">if(BI96="Done", if(BJ96="",NOW(),BJ96),"")</f>
        <v/>
      </c>
      <c r="BK96" s="46">
        <v>0.0</v>
      </c>
      <c r="BL96" s="33"/>
      <c r="BM96" s="22" t="str">
        <f t="shared" si="24"/>
        <v/>
      </c>
      <c r="BN96" s="23"/>
      <c r="BO96" s="44" t="str">
        <f t="shared" si="25"/>
        <v/>
      </c>
      <c r="BP96" s="25"/>
      <c r="BQ96" s="44" t="str">
        <f t="shared" si="26"/>
        <v/>
      </c>
      <c r="BR96" s="29" t="str">
        <f t="shared" si="27"/>
        <v/>
      </c>
      <c r="BS96" s="29">
        <f t="shared" si="28"/>
        <v>0</v>
      </c>
      <c r="BT96" s="29">
        <f t="shared" si="29"/>
        <v>0</v>
      </c>
      <c r="BU96" s="22" t="str">
        <f t="shared" si="30"/>
        <v/>
      </c>
      <c r="BV96" s="23"/>
      <c r="BW96" s="44" t="str">
        <f t="shared" si="31"/>
        <v/>
      </c>
      <c r="BX96" s="25"/>
      <c r="BY96" s="44" t="str">
        <f t="shared" si="32"/>
        <v/>
      </c>
      <c r="BZ96" s="54"/>
      <c r="CA96" s="22" t="str">
        <f t="shared" si="33"/>
        <v/>
      </c>
      <c r="CB96" s="23"/>
      <c r="CC96" s="44" t="str">
        <f t="shared" si="34"/>
        <v/>
      </c>
      <c r="CD96" s="25"/>
      <c r="CE96" s="44" t="str">
        <f t="shared" si="35"/>
        <v/>
      </c>
      <c r="CF96" s="54"/>
      <c r="CG96" s="22" t="str">
        <f t="shared" si="5"/>
        <v/>
      </c>
      <c r="CH96" s="26"/>
      <c r="CI96" s="91"/>
      <c r="CJ96" s="26"/>
      <c r="CK96" s="91"/>
      <c r="CL96" s="26"/>
    </row>
    <row r="97" ht="69.75" customHeight="1">
      <c r="A97" s="26">
        <f t="shared" si="58"/>
        <v>95</v>
      </c>
      <c r="B97" s="27" t="s">
        <v>388</v>
      </c>
      <c r="C97" s="27" t="s">
        <v>390</v>
      </c>
      <c r="D97" s="27"/>
      <c r="E97" s="26"/>
      <c r="F97" s="26"/>
      <c r="G97" s="20">
        <v>2.0</v>
      </c>
      <c r="H97" s="20">
        <v>2.0</v>
      </c>
      <c r="I97" s="23" t="s">
        <v>72</v>
      </c>
      <c r="J97" s="33"/>
      <c r="K97" s="22">
        <f t="shared" si="53"/>
        <v>2</v>
      </c>
      <c r="L97" s="23" t="s">
        <v>126</v>
      </c>
      <c r="M97" s="34">
        <v>46310.40753768518</v>
      </c>
      <c r="N97" s="25" t="s">
        <v>69</v>
      </c>
      <c r="O97" s="34">
        <v>46310.45328956019</v>
      </c>
      <c r="P97" s="29">
        <f t="shared" si="8"/>
        <v>65.88270001</v>
      </c>
      <c r="Q97" s="29">
        <f t="shared" si="9"/>
        <v>0</v>
      </c>
      <c r="R97" s="29">
        <f t="shared" si="10"/>
        <v>1.098045</v>
      </c>
      <c r="S97" s="22" t="str">
        <f t="shared" si="11"/>
        <v/>
      </c>
      <c r="T97" s="23"/>
      <c r="U97" s="44" t="str">
        <f t="shared" si="49"/>
        <v/>
      </c>
      <c r="V97" s="25"/>
      <c r="W97" s="44" t="str">
        <f t="shared" si="50"/>
        <v/>
      </c>
      <c r="X97" s="54"/>
      <c r="Y97" s="22" t="str">
        <f t="shared" si="12"/>
        <v/>
      </c>
      <c r="Z97" s="23"/>
      <c r="AA97" s="44" t="str">
        <f t="shared" si="40"/>
        <v/>
      </c>
      <c r="AB97" s="25"/>
      <c r="AC97" s="44" t="str">
        <f t="shared" si="41"/>
        <v/>
      </c>
      <c r="AD97" s="54"/>
      <c r="AE97" s="22" t="str">
        <f t="shared" si="13"/>
        <v/>
      </c>
      <c r="AF97" s="23"/>
      <c r="AG97" s="44" t="str">
        <f t="shared" si="51"/>
        <v/>
      </c>
      <c r="AH97" s="25"/>
      <c r="AI97" s="44" t="str">
        <f t="shared" si="52"/>
        <v/>
      </c>
      <c r="AJ97" s="46">
        <v>0.0</v>
      </c>
      <c r="AK97" s="33"/>
      <c r="AL97" s="22">
        <v>2.0</v>
      </c>
      <c r="AM97" s="23" t="s">
        <v>212</v>
      </c>
      <c r="AN97" s="44">
        <f t="shared" si="80"/>
        <v>46310.5651</v>
      </c>
      <c r="AO97" s="25" t="s">
        <v>69</v>
      </c>
      <c r="AP97" s="34">
        <v>46310.68203001157</v>
      </c>
      <c r="AQ97" s="29">
        <f t="shared" si="14"/>
        <v>168.3803167</v>
      </c>
      <c r="AR97" s="29">
        <f t="shared" si="15"/>
        <v>0</v>
      </c>
      <c r="AS97" s="29">
        <f t="shared" si="16"/>
        <v>2.806338611</v>
      </c>
      <c r="AT97" s="22" t="str">
        <f t="shared" si="17"/>
        <v/>
      </c>
      <c r="AU97" s="23"/>
      <c r="AV97" s="44" t="str">
        <f t="shared" si="18"/>
        <v/>
      </c>
      <c r="AW97" s="25"/>
      <c r="AX97" s="44" t="str">
        <f t="shared" si="19"/>
        <v/>
      </c>
      <c r="AY97" s="54"/>
      <c r="AZ97" s="22" t="str">
        <f t="shared" si="20"/>
        <v/>
      </c>
      <c r="BA97" s="23"/>
      <c r="BB97" s="44" t="str">
        <f t="shared" si="21"/>
        <v/>
      </c>
      <c r="BC97" s="25"/>
      <c r="BD97" s="44" t="str">
        <f t="shared" si="22"/>
        <v/>
      </c>
      <c r="BE97" s="54"/>
      <c r="BF97" s="22" t="str">
        <f t="shared" si="23"/>
        <v/>
      </c>
      <c r="BG97" s="23"/>
      <c r="BH97" s="44" t="str">
        <f t="shared" si="81"/>
        <v/>
      </c>
      <c r="BI97" s="25"/>
      <c r="BJ97" s="44" t="str">
        <f t="shared" si="82"/>
        <v/>
      </c>
      <c r="BK97" s="46">
        <v>0.0</v>
      </c>
      <c r="BL97" s="33"/>
      <c r="BM97" s="22" t="str">
        <f t="shared" si="24"/>
        <v/>
      </c>
      <c r="BN97" s="23"/>
      <c r="BO97" s="44" t="str">
        <f t="shared" si="25"/>
        <v/>
      </c>
      <c r="BP97" s="25"/>
      <c r="BQ97" s="44" t="str">
        <f t="shared" si="26"/>
        <v/>
      </c>
      <c r="BR97" s="29" t="str">
        <f t="shared" si="27"/>
        <v/>
      </c>
      <c r="BS97" s="29">
        <f t="shared" si="28"/>
        <v>0</v>
      </c>
      <c r="BT97" s="29">
        <f t="shared" si="29"/>
        <v>0</v>
      </c>
      <c r="BU97" s="22" t="str">
        <f t="shared" si="30"/>
        <v/>
      </c>
      <c r="BV97" s="23"/>
      <c r="BW97" s="44" t="str">
        <f t="shared" si="31"/>
        <v/>
      </c>
      <c r="BX97" s="25"/>
      <c r="BY97" s="44" t="str">
        <f t="shared" si="32"/>
        <v/>
      </c>
      <c r="BZ97" s="54"/>
      <c r="CA97" s="22" t="str">
        <f t="shared" si="33"/>
        <v/>
      </c>
      <c r="CB97" s="23"/>
      <c r="CC97" s="44" t="str">
        <f t="shared" si="34"/>
        <v/>
      </c>
      <c r="CD97" s="25"/>
      <c r="CE97" s="44" t="str">
        <f t="shared" si="35"/>
        <v/>
      </c>
      <c r="CF97" s="54"/>
      <c r="CG97" s="22" t="str">
        <f t="shared" si="5"/>
        <v/>
      </c>
      <c r="CH97" s="26"/>
      <c r="CI97" s="91"/>
      <c r="CJ97" s="26"/>
      <c r="CK97" s="91"/>
      <c r="CL97" s="26"/>
    </row>
    <row r="98" ht="89.25" customHeight="1">
      <c r="A98" s="26">
        <f t="shared" si="58"/>
        <v>96</v>
      </c>
      <c r="B98" s="27" t="s">
        <v>388</v>
      </c>
      <c r="C98" s="27" t="s">
        <v>391</v>
      </c>
      <c r="D98" s="27"/>
      <c r="E98" s="26"/>
      <c r="F98" s="26"/>
      <c r="G98" s="20">
        <v>1.0</v>
      </c>
      <c r="H98" s="20">
        <v>1.0</v>
      </c>
      <c r="I98" s="23" t="s">
        <v>72</v>
      </c>
      <c r="J98" s="33"/>
      <c r="K98" s="22">
        <f t="shared" si="53"/>
        <v>1</v>
      </c>
      <c r="L98" s="23"/>
      <c r="M98" s="44" t="str">
        <f t="shared" ref="M98:M99" si="83">if(L98&lt;&gt;"", if(M98="",NOW(),M98),"")</f>
        <v/>
      </c>
      <c r="N98" s="25"/>
      <c r="O98" s="44" t="str">
        <f t="shared" ref="O98:O99" si="84">if(N98="Done", if(O98="",NOW(),O98),"")</f>
        <v/>
      </c>
      <c r="P98" s="29" t="str">
        <f t="shared" si="8"/>
        <v/>
      </c>
      <c r="Q98" s="29">
        <f t="shared" si="9"/>
        <v>0</v>
      </c>
      <c r="R98" s="29">
        <f t="shared" si="10"/>
        <v>0</v>
      </c>
      <c r="S98" s="22" t="str">
        <f t="shared" si="11"/>
        <v/>
      </c>
      <c r="T98" s="23"/>
      <c r="U98" s="44" t="str">
        <f t="shared" si="49"/>
        <v/>
      </c>
      <c r="V98" s="25"/>
      <c r="W98" s="44" t="str">
        <f t="shared" si="50"/>
        <v/>
      </c>
      <c r="X98" s="54"/>
      <c r="Y98" s="22" t="str">
        <f t="shared" si="12"/>
        <v/>
      </c>
      <c r="Z98" s="23"/>
      <c r="AA98" s="44" t="str">
        <f t="shared" si="40"/>
        <v/>
      </c>
      <c r="AB98" s="25"/>
      <c r="AC98" s="44" t="str">
        <f t="shared" si="41"/>
        <v/>
      </c>
      <c r="AD98" s="54"/>
      <c r="AE98" s="22" t="str">
        <f t="shared" si="13"/>
        <v/>
      </c>
      <c r="AF98" s="23"/>
      <c r="AG98" s="44" t="str">
        <f t="shared" si="51"/>
        <v/>
      </c>
      <c r="AH98" s="25"/>
      <c r="AI98" s="44" t="str">
        <f t="shared" si="52"/>
        <v/>
      </c>
      <c r="AJ98" s="46">
        <v>0.0</v>
      </c>
      <c r="AK98" s="33"/>
      <c r="AL98" s="22">
        <v>1.0</v>
      </c>
      <c r="AM98" s="23"/>
      <c r="AN98" s="44" t="str">
        <f t="shared" si="80"/>
        <v/>
      </c>
      <c r="AO98" s="25"/>
      <c r="AP98" s="44" t="str">
        <f t="shared" ref="AP98:AP99" si="85">if(AO98="Done", if(AP98="",NOW(),AP98),"")</f>
        <v/>
      </c>
      <c r="AQ98" s="29" t="str">
        <f t="shared" si="14"/>
        <v/>
      </c>
      <c r="AR98" s="29">
        <f t="shared" si="15"/>
        <v>0</v>
      </c>
      <c r="AS98" s="29">
        <f t="shared" si="16"/>
        <v>0</v>
      </c>
      <c r="AT98" s="22" t="str">
        <f t="shared" si="17"/>
        <v/>
      </c>
      <c r="AU98" s="23"/>
      <c r="AV98" s="44" t="str">
        <f t="shared" si="18"/>
        <v/>
      </c>
      <c r="AW98" s="25"/>
      <c r="AX98" s="44" t="str">
        <f t="shared" si="19"/>
        <v/>
      </c>
      <c r="AY98" s="54"/>
      <c r="AZ98" s="22" t="str">
        <f t="shared" si="20"/>
        <v/>
      </c>
      <c r="BA98" s="23"/>
      <c r="BB98" s="44" t="str">
        <f t="shared" si="21"/>
        <v/>
      </c>
      <c r="BC98" s="25"/>
      <c r="BD98" s="44" t="str">
        <f t="shared" si="22"/>
        <v/>
      </c>
      <c r="BE98" s="54"/>
      <c r="BF98" s="22" t="str">
        <f t="shared" si="23"/>
        <v/>
      </c>
      <c r="BG98" s="23"/>
      <c r="BH98" s="44" t="str">
        <f t="shared" si="81"/>
        <v/>
      </c>
      <c r="BI98" s="25"/>
      <c r="BJ98" s="44" t="str">
        <f t="shared" si="82"/>
        <v/>
      </c>
      <c r="BK98" s="46">
        <v>0.0</v>
      </c>
      <c r="BL98" s="33"/>
      <c r="BM98" s="22" t="str">
        <f t="shared" si="24"/>
        <v/>
      </c>
      <c r="BN98" s="23"/>
      <c r="BO98" s="44" t="str">
        <f t="shared" si="25"/>
        <v/>
      </c>
      <c r="BP98" s="25"/>
      <c r="BQ98" s="44" t="str">
        <f t="shared" si="26"/>
        <v/>
      </c>
      <c r="BR98" s="29" t="str">
        <f t="shared" si="27"/>
        <v/>
      </c>
      <c r="BS98" s="29">
        <f t="shared" si="28"/>
        <v>0</v>
      </c>
      <c r="BT98" s="29">
        <f t="shared" si="29"/>
        <v>0</v>
      </c>
      <c r="BU98" s="22" t="str">
        <f t="shared" si="30"/>
        <v/>
      </c>
      <c r="BV98" s="23"/>
      <c r="BW98" s="44" t="str">
        <f t="shared" si="31"/>
        <v/>
      </c>
      <c r="BX98" s="25"/>
      <c r="BY98" s="44" t="str">
        <f t="shared" si="32"/>
        <v/>
      </c>
      <c r="BZ98" s="54"/>
      <c r="CA98" s="22" t="str">
        <f t="shared" si="33"/>
        <v/>
      </c>
      <c r="CB98" s="23"/>
      <c r="CC98" s="44" t="str">
        <f t="shared" si="34"/>
        <v/>
      </c>
      <c r="CD98" s="25"/>
      <c r="CE98" s="44" t="str">
        <f t="shared" si="35"/>
        <v/>
      </c>
      <c r="CF98" s="54"/>
      <c r="CG98" s="22" t="str">
        <f t="shared" si="5"/>
        <v/>
      </c>
      <c r="CH98" s="26"/>
      <c r="CI98" s="91"/>
      <c r="CJ98" s="26"/>
      <c r="CK98" s="91"/>
      <c r="CL98" s="26"/>
    </row>
    <row r="99" ht="84.0" customHeight="1">
      <c r="A99" s="26">
        <f t="shared" si="58"/>
        <v>97</v>
      </c>
      <c r="B99" s="27" t="s">
        <v>388</v>
      </c>
      <c r="C99" s="27" t="s">
        <v>392</v>
      </c>
      <c r="D99" s="27"/>
      <c r="E99" s="26"/>
      <c r="F99" s="26"/>
      <c r="G99" s="20">
        <v>1.0</v>
      </c>
      <c r="H99" s="20">
        <v>1.0</v>
      </c>
      <c r="I99" s="23" t="s">
        <v>72</v>
      </c>
      <c r="J99" s="33"/>
      <c r="K99" s="22">
        <f t="shared" si="53"/>
        <v>1</v>
      </c>
      <c r="L99" s="23"/>
      <c r="M99" s="44" t="str">
        <f t="shared" si="83"/>
        <v/>
      </c>
      <c r="N99" s="25"/>
      <c r="O99" s="44" t="str">
        <f t="shared" si="84"/>
        <v/>
      </c>
      <c r="P99" s="29" t="str">
        <f t="shared" si="8"/>
        <v/>
      </c>
      <c r="Q99" s="29">
        <f t="shared" si="9"/>
        <v>0</v>
      </c>
      <c r="R99" s="29">
        <f t="shared" si="10"/>
        <v>0</v>
      </c>
      <c r="S99" s="22" t="str">
        <f t="shared" si="11"/>
        <v/>
      </c>
      <c r="T99" s="23"/>
      <c r="U99" s="44" t="str">
        <f t="shared" si="49"/>
        <v/>
      </c>
      <c r="V99" s="25"/>
      <c r="W99" s="44" t="str">
        <f t="shared" si="50"/>
        <v/>
      </c>
      <c r="X99" s="54"/>
      <c r="Y99" s="22" t="str">
        <f t="shared" si="12"/>
        <v/>
      </c>
      <c r="Z99" s="23"/>
      <c r="AA99" s="44" t="str">
        <f t="shared" si="40"/>
        <v/>
      </c>
      <c r="AB99" s="25"/>
      <c r="AC99" s="44" t="str">
        <f t="shared" si="41"/>
        <v/>
      </c>
      <c r="AD99" s="54"/>
      <c r="AE99" s="22" t="str">
        <f t="shared" si="13"/>
        <v/>
      </c>
      <c r="AF99" s="23"/>
      <c r="AG99" s="44" t="str">
        <f t="shared" si="51"/>
        <v/>
      </c>
      <c r="AH99" s="25"/>
      <c r="AI99" s="44" t="str">
        <f t="shared" si="52"/>
        <v/>
      </c>
      <c r="AJ99" s="46">
        <v>0.0</v>
      </c>
      <c r="AK99" s="33"/>
      <c r="AL99" s="22">
        <v>1.0</v>
      </c>
      <c r="AM99" s="23"/>
      <c r="AN99" s="44" t="str">
        <f t="shared" si="80"/>
        <v/>
      </c>
      <c r="AO99" s="25"/>
      <c r="AP99" s="44" t="str">
        <f t="shared" si="85"/>
        <v/>
      </c>
      <c r="AQ99" s="29" t="str">
        <f t="shared" si="14"/>
        <v/>
      </c>
      <c r="AR99" s="29">
        <f t="shared" si="15"/>
        <v>0</v>
      </c>
      <c r="AS99" s="29">
        <f t="shared" si="16"/>
        <v>0</v>
      </c>
      <c r="AT99" s="22" t="str">
        <f t="shared" si="17"/>
        <v/>
      </c>
      <c r="AU99" s="23"/>
      <c r="AV99" s="44" t="str">
        <f t="shared" si="18"/>
        <v/>
      </c>
      <c r="AW99" s="25"/>
      <c r="AX99" s="44" t="str">
        <f t="shared" si="19"/>
        <v/>
      </c>
      <c r="AY99" s="54"/>
      <c r="AZ99" s="22" t="str">
        <f t="shared" si="20"/>
        <v/>
      </c>
      <c r="BA99" s="23"/>
      <c r="BB99" s="44" t="str">
        <f t="shared" si="21"/>
        <v/>
      </c>
      <c r="BC99" s="25"/>
      <c r="BD99" s="44" t="str">
        <f t="shared" si="22"/>
        <v/>
      </c>
      <c r="BE99" s="54"/>
      <c r="BF99" s="22" t="str">
        <f t="shared" si="23"/>
        <v/>
      </c>
      <c r="BG99" s="23"/>
      <c r="BH99" s="44" t="str">
        <f t="shared" si="81"/>
        <v/>
      </c>
      <c r="BI99" s="25"/>
      <c r="BJ99" s="44" t="str">
        <f t="shared" si="82"/>
        <v/>
      </c>
      <c r="BK99" s="46">
        <v>0.0</v>
      </c>
      <c r="BL99" s="33"/>
      <c r="BM99" s="22" t="str">
        <f t="shared" si="24"/>
        <v/>
      </c>
      <c r="BN99" s="23"/>
      <c r="BO99" s="44" t="str">
        <f t="shared" si="25"/>
        <v/>
      </c>
      <c r="BP99" s="25"/>
      <c r="BQ99" s="44" t="str">
        <f t="shared" si="26"/>
        <v/>
      </c>
      <c r="BR99" s="29" t="str">
        <f t="shared" si="27"/>
        <v/>
      </c>
      <c r="BS99" s="29">
        <f t="shared" si="28"/>
        <v>0</v>
      </c>
      <c r="BT99" s="29">
        <f t="shared" si="29"/>
        <v>0</v>
      </c>
      <c r="BU99" s="22" t="str">
        <f t="shared" si="30"/>
        <v/>
      </c>
      <c r="BV99" s="23"/>
      <c r="BW99" s="44" t="str">
        <f t="shared" si="31"/>
        <v/>
      </c>
      <c r="BX99" s="25"/>
      <c r="BY99" s="44" t="str">
        <f t="shared" si="32"/>
        <v/>
      </c>
      <c r="BZ99" s="54"/>
      <c r="CA99" s="22" t="str">
        <f t="shared" si="33"/>
        <v/>
      </c>
      <c r="CB99" s="23"/>
      <c r="CC99" s="44" t="str">
        <f t="shared" si="34"/>
        <v/>
      </c>
      <c r="CD99" s="25"/>
      <c r="CE99" s="44" t="str">
        <f t="shared" si="35"/>
        <v/>
      </c>
      <c r="CF99" s="54"/>
      <c r="CG99" s="22" t="str">
        <f t="shared" si="5"/>
        <v/>
      </c>
      <c r="CH99" s="26"/>
      <c r="CI99" s="91"/>
      <c r="CJ99" s="26"/>
      <c r="CK99" s="91"/>
      <c r="CL99" s="26"/>
    </row>
    <row r="100" ht="84.0" customHeight="1">
      <c r="A100" s="26">
        <f t="shared" si="58"/>
        <v>98</v>
      </c>
      <c r="B100" s="27" t="s">
        <v>393</v>
      </c>
      <c r="C100" s="27" t="s">
        <v>394</v>
      </c>
      <c r="D100" s="27"/>
      <c r="E100" s="26"/>
      <c r="F100" s="26"/>
      <c r="G100" s="20">
        <v>1.0</v>
      </c>
      <c r="H100" s="20">
        <v>2.0</v>
      </c>
      <c r="I100" s="23" t="s">
        <v>72</v>
      </c>
      <c r="J100" s="33"/>
      <c r="K100" s="22">
        <f t="shared" si="53"/>
        <v>1</v>
      </c>
      <c r="L100" s="23" t="s">
        <v>126</v>
      </c>
      <c r="M100" s="34">
        <v>46308.6308278125</v>
      </c>
      <c r="N100" s="25" t="s">
        <v>69</v>
      </c>
      <c r="O100" s="34">
        <v>46308.67177143518</v>
      </c>
      <c r="P100" s="29">
        <f t="shared" si="8"/>
        <v>58.95881666</v>
      </c>
      <c r="Q100" s="29">
        <f t="shared" si="9"/>
        <v>0</v>
      </c>
      <c r="R100" s="29">
        <f t="shared" si="10"/>
        <v>0.9826469444</v>
      </c>
      <c r="S100" s="22" t="str">
        <f t="shared" si="11"/>
        <v/>
      </c>
      <c r="T100" s="23"/>
      <c r="U100" s="44" t="str">
        <f t="shared" si="49"/>
        <v/>
      </c>
      <c r="V100" s="25"/>
      <c r="W100" s="44" t="str">
        <f t="shared" si="50"/>
        <v/>
      </c>
      <c r="X100" s="54"/>
      <c r="Y100" s="22" t="str">
        <f t="shared" si="12"/>
        <v/>
      </c>
      <c r="Z100" s="23"/>
      <c r="AA100" s="44" t="str">
        <f t="shared" si="40"/>
        <v/>
      </c>
      <c r="AB100" s="25"/>
      <c r="AC100" s="44" t="str">
        <f t="shared" si="41"/>
        <v/>
      </c>
      <c r="AD100" s="54"/>
      <c r="AE100" s="22" t="str">
        <f t="shared" si="13"/>
        <v/>
      </c>
      <c r="AF100" s="23"/>
      <c r="AG100" s="44" t="str">
        <f t="shared" si="51"/>
        <v/>
      </c>
      <c r="AH100" s="25"/>
      <c r="AI100" s="44" t="str">
        <f t="shared" si="52"/>
        <v/>
      </c>
      <c r="AJ100" s="46">
        <v>0.0</v>
      </c>
      <c r="AK100" s="33"/>
      <c r="AL100" s="22">
        <v>2.0</v>
      </c>
      <c r="AM100" s="23" t="s">
        <v>126</v>
      </c>
      <c r="AN100" s="34">
        <v>46308.67620189815</v>
      </c>
      <c r="AO100" s="25" t="s">
        <v>69</v>
      </c>
      <c r="AP100" s="34">
        <v>46309.41441866898</v>
      </c>
      <c r="AQ100" s="29">
        <f t="shared" si="14"/>
        <v>1063.03215</v>
      </c>
      <c r="AR100" s="29">
        <f t="shared" si="15"/>
        <v>960</v>
      </c>
      <c r="AS100" s="29">
        <f t="shared" si="16"/>
        <v>1.7172025</v>
      </c>
      <c r="AT100" s="22" t="str">
        <f t="shared" si="17"/>
        <v>Done</v>
      </c>
      <c r="AU100" s="23" t="s">
        <v>126</v>
      </c>
      <c r="AV100" s="44">
        <f t="shared" si="18"/>
        <v>46311.39985</v>
      </c>
      <c r="AW100" s="25" t="s">
        <v>69</v>
      </c>
      <c r="AX100" s="44">
        <f t="shared" si="19"/>
        <v>46311.40612</v>
      </c>
      <c r="AY100" s="35">
        <v>0.1</v>
      </c>
      <c r="AZ100" s="22" t="str">
        <f t="shared" si="20"/>
        <v/>
      </c>
      <c r="BA100" s="23"/>
      <c r="BB100" s="44" t="str">
        <f t="shared" si="21"/>
        <v/>
      </c>
      <c r="BC100" s="25"/>
      <c r="BD100" s="44" t="str">
        <f t="shared" si="22"/>
        <v/>
      </c>
      <c r="BE100" s="54"/>
      <c r="BF100" s="22" t="str">
        <f t="shared" si="23"/>
        <v>Revision</v>
      </c>
      <c r="BG100" s="23" t="s">
        <v>77</v>
      </c>
      <c r="BH100" s="34">
        <v>46309.43470479167</v>
      </c>
      <c r="BI100" s="25" t="s">
        <v>93</v>
      </c>
      <c r="BJ100" s="34">
        <v>46309.437210625</v>
      </c>
      <c r="BK100" s="46">
        <v>1.0</v>
      </c>
      <c r="BL100" s="33"/>
      <c r="BM100" s="22" t="str">
        <f t="shared" si="24"/>
        <v>Revision</v>
      </c>
      <c r="BN100" s="23"/>
      <c r="BO100" s="44" t="str">
        <f t="shared" si="25"/>
        <v/>
      </c>
      <c r="BP100" s="25"/>
      <c r="BQ100" s="44" t="str">
        <f t="shared" si="26"/>
        <v/>
      </c>
      <c r="BR100" s="29" t="str">
        <f t="shared" si="27"/>
        <v/>
      </c>
      <c r="BS100" s="29">
        <f t="shared" si="28"/>
        <v>0</v>
      </c>
      <c r="BT100" s="29">
        <f t="shared" si="29"/>
        <v>0</v>
      </c>
      <c r="BU100" s="22" t="str">
        <f t="shared" si="30"/>
        <v/>
      </c>
      <c r="BV100" s="23"/>
      <c r="BW100" s="44" t="str">
        <f t="shared" si="31"/>
        <v/>
      </c>
      <c r="BX100" s="25"/>
      <c r="BY100" s="44" t="str">
        <f t="shared" si="32"/>
        <v/>
      </c>
      <c r="BZ100" s="54"/>
      <c r="CA100" s="22" t="str">
        <f t="shared" si="33"/>
        <v/>
      </c>
      <c r="CB100" s="23"/>
      <c r="CC100" s="44" t="str">
        <f t="shared" si="34"/>
        <v/>
      </c>
      <c r="CD100" s="25"/>
      <c r="CE100" s="44" t="str">
        <f t="shared" si="35"/>
        <v/>
      </c>
      <c r="CF100" s="54"/>
      <c r="CG100" s="22" t="str">
        <f t="shared" si="5"/>
        <v/>
      </c>
      <c r="CH100" s="26"/>
      <c r="CI100" s="91"/>
      <c r="CJ100" s="26"/>
      <c r="CK100" s="91"/>
      <c r="CL100" s="26"/>
    </row>
    <row r="101" ht="90.0" customHeight="1">
      <c r="A101" s="26">
        <f t="shared" si="58"/>
        <v>99</v>
      </c>
      <c r="B101" s="27" t="s">
        <v>393</v>
      </c>
      <c r="C101" s="27" t="s">
        <v>395</v>
      </c>
      <c r="D101" s="27"/>
      <c r="E101" s="26"/>
      <c r="F101" s="26"/>
      <c r="G101" s="20">
        <v>3.0</v>
      </c>
      <c r="H101" s="20">
        <v>2.0</v>
      </c>
      <c r="I101" s="23" t="s">
        <v>72</v>
      </c>
      <c r="J101" s="33"/>
      <c r="K101" s="22">
        <f t="shared" si="53"/>
        <v>3</v>
      </c>
      <c r="L101" s="23" t="s">
        <v>212</v>
      </c>
      <c r="M101" s="34">
        <v>46308.43374702546</v>
      </c>
      <c r="N101" s="25" t="s">
        <v>69</v>
      </c>
      <c r="O101" s="34">
        <v>46308.68000984954</v>
      </c>
      <c r="P101" s="29">
        <f t="shared" si="8"/>
        <v>354.6184667</v>
      </c>
      <c r="Q101" s="29">
        <f t="shared" si="9"/>
        <v>60</v>
      </c>
      <c r="R101" s="29">
        <f t="shared" si="10"/>
        <v>4.910307778</v>
      </c>
      <c r="S101" s="22" t="str">
        <f t="shared" si="11"/>
        <v/>
      </c>
      <c r="T101" s="23"/>
      <c r="U101" s="44" t="str">
        <f t="shared" si="49"/>
        <v/>
      </c>
      <c r="V101" s="25"/>
      <c r="W101" s="44" t="str">
        <f t="shared" si="50"/>
        <v/>
      </c>
      <c r="X101" s="54"/>
      <c r="Y101" s="22" t="str">
        <f t="shared" si="12"/>
        <v/>
      </c>
      <c r="Z101" s="23"/>
      <c r="AA101" s="44" t="str">
        <f t="shared" si="40"/>
        <v/>
      </c>
      <c r="AB101" s="25"/>
      <c r="AC101" s="44" t="str">
        <f t="shared" si="41"/>
        <v/>
      </c>
      <c r="AD101" s="54"/>
      <c r="AE101" s="22" t="str">
        <f t="shared" si="13"/>
        <v/>
      </c>
      <c r="AF101" s="23"/>
      <c r="AG101" s="44" t="str">
        <f t="shared" si="51"/>
        <v/>
      </c>
      <c r="AH101" s="25"/>
      <c r="AI101" s="44" t="str">
        <f t="shared" si="52"/>
        <v/>
      </c>
      <c r="AJ101" s="46">
        <v>0.0</v>
      </c>
      <c r="AK101" s="33"/>
      <c r="AL101" s="22">
        <v>2.0</v>
      </c>
      <c r="AM101" s="23" t="s">
        <v>212</v>
      </c>
      <c r="AN101" s="34">
        <v>46308.68370068287</v>
      </c>
      <c r="AO101" s="25" t="s">
        <v>69</v>
      </c>
      <c r="AP101" s="34">
        <v>46309.44051878472</v>
      </c>
      <c r="AQ101" s="29">
        <f t="shared" si="14"/>
        <v>1089.818067</v>
      </c>
      <c r="AR101" s="29">
        <f t="shared" si="15"/>
        <v>960</v>
      </c>
      <c r="AS101" s="29">
        <f t="shared" si="16"/>
        <v>2.163634444</v>
      </c>
      <c r="AT101" s="22" t="str">
        <f t="shared" si="17"/>
        <v/>
      </c>
      <c r="AU101" s="23"/>
      <c r="AV101" s="44" t="str">
        <f t="shared" si="18"/>
        <v/>
      </c>
      <c r="AW101" s="25"/>
      <c r="AX101" s="44" t="str">
        <f t="shared" si="19"/>
        <v/>
      </c>
      <c r="AY101" s="54"/>
      <c r="AZ101" s="22" t="str">
        <f t="shared" si="20"/>
        <v/>
      </c>
      <c r="BA101" s="23"/>
      <c r="BB101" s="44" t="str">
        <f t="shared" si="21"/>
        <v/>
      </c>
      <c r="BC101" s="25"/>
      <c r="BD101" s="44" t="str">
        <f t="shared" si="22"/>
        <v/>
      </c>
      <c r="BE101" s="54"/>
      <c r="BF101" s="22" t="str">
        <f t="shared" si="23"/>
        <v>Done</v>
      </c>
      <c r="BG101" s="23" t="s">
        <v>77</v>
      </c>
      <c r="BH101" s="34">
        <v>46309.44815761574</v>
      </c>
      <c r="BI101" s="25" t="s">
        <v>69</v>
      </c>
      <c r="BJ101" s="34">
        <v>46309.44950732639</v>
      </c>
      <c r="BK101" s="46">
        <v>1.0</v>
      </c>
      <c r="BL101" s="33"/>
      <c r="BM101" s="22" t="str">
        <f t="shared" si="24"/>
        <v>Done</v>
      </c>
      <c r="BN101" s="23"/>
      <c r="BO101" s="44" t="str">
        <f t="shared" si="25"/>
        <v/>
      </c>
      <c r="BP101" s="25"/>
      <c r="BQ101" s="44" t="str">
        <f t="shared" si="26"/>
        <v/>
      </c>
      <c r="BR101" s="29" t="str">
        <f t="shared" si="27"/>
        <v/>
      </c>
      <c r="BS101" s="29">
        <f t="shared" si="28"/>
        <v>0</v>
      </c>
      <c r="BT101" s="29">
        <f t="shared" si="29"/>
        <v>0</v>
      </c>
      <c r="BU101" s="22" t="str">
        <f t="shared" si="30"/>
        <v/>
      </c>
      <c r="BV101" s="23"/>
      <c r="BW101" s="44" t="str">
        <f t="shared" si="31"/>
        <v/>
      </c>
      <c r="BX101" s="25"/>
      <c r="BY101" s="44" t="str">
        <f t="shared" si="32"/>
        <v/>
      </c>
      <c r="BZ101" s="54"/>
      <c r="CA101" s="22" t="str">
        <f t="shared" si="33"/>
        <v/>
      </c>
      <c r="CB101" s="23"/>
      <c r="CC101" s="44" t="str">
        <f t="shared" si="34"/>
        <v/>
      </c>
      <c r="CD101" s="25"/>
      <c r="CE101" s="44" t="str">
        <f t="shared" si="35"/>
        <v/>
      </c>
      <c r="CF101" s="54"/>
      <c r="CG101" s="22" t="str">
        <f t="shared" si="5"/>
        <v/>
      </c>
      <c r="CH101" s="26"/>
      <c r="CI101" s="91"/>
      <c r="CJ101" s="26"/>
      <c r="CK101" s="91"/>
      <c r="CL101" s="26"/>
    </row>
    <row r="102" ht="60.75" customHeight="1">
      <c r="A102" s="26">
        <f t="shared" si="58"/>
        <v>100</v>
      </c>
      <c r="B102" s="27" t="s">
        <v>393</v>
      </c>
      <c r="C102" s="27" t="s">
        <v>396</v>
      </c>
      <c r="D102" s="27"/>
      <c r="E102" s="26"/>
      <c r="F102" s="26"/>
      <c r="G102" s="20">
        <v>2.0</v>
      </c>
      <c r="H102" s="20">
        <v>1.0</v>
      </c>
      <c r="I102" s="23" t="s">
        <v>72</v>
      </c>
      <c r="J102" s="33"/>
      <c r="K102" s="22">
        <f t="shared" si="53"/>
        <v>2</v>
      </c>
      <c r="L102" s="23" t="s">
        <v>172</v>
      </c>
      <c r="M102" s="34">
        <v>46309.45107767361</v>
      </c>
      <c r="N102" s="25" t="s">
        <v>69</v>
      </c>
      <c r="O102" s="34">
        <v>46309.596205243055</v>
      </c>
      <c r="P102" s="29">
        <f t="shared" si="8"/>
        <v>208.9837</v>
      </c>
      <c r="Q102" s="29">
        <f t="shared" si="9"/>
        <v>60</v>
      </c>
      <c r="R102" s="29">
        <f t="shared" si="10"/>
        <v>2.483061667</v>
      </c>
      <c r="S102" s="22" t="str">
        <f t="shared" si="11"/>
        <v/>
      </c>
      <c r="T102" s="23"/>
      <c r="U102" s="44" t="str">
        <f t="shared" si="49"/>
        <v/>
      </c>
      <c r="V102" s="25"/>
      <c r="W102" s="44" t="str">
        <f t="shared" si="50"/>
        <v/>
      </c>
      <c r="X102" s="54"/>
      <c r="Y102" s="22" t="str">
        <f t="shared" si="12"/>
        <v/>
      </c>
      <c r="Z102" s="23"/>
      <c r="AA102" s="44" t="str">
        <f t="shared" si="40"/>
        <v/>
      </c>
      <c r="AB102" s="25"/>
      <c r="AC102" s="44" t="str">
        <f t="shared" si="41"/>
        <v/>
      </c>
      <c r="AD102" s="54"/>
      <c r="AE102" s="22" t="str">
        <f t="shared" si="13"/>
        <v/>
      </c>
      <c r="AF102" s="23"/>
      <c r="AG102" s="44" t="str">
        <f t="shared" si="51"/>
        <v/>
      </c>
      <c r="AH102" s="25"/>
      <c r="AI102" s="44" t="str">
        <f t="shared" si="52"/>
        <v/>
      </c>
      <c r="AJ102" s="46">
        <v>0.0</v>
      </c>
      <c r="AK102" s="33"/>
      <c r="AL102" s="22">
        <v>1.0</v>
      </c>
      <c r="AM102" s="23" t="s">
        <v>172</v>
      </c>
      <c r="AN102" s="34">
        <v>46309.61020789352</v>
      </c>
      <c r="AO102" s="25" t="s">
        <v>69</v>
      </c>
      <c r="AP102" s="34">
        <v>46309.66342030093</v>
      </c>
      <c r="AQ102" s="29">
        <f t="shared" si="14"/>
        <v>76.62586667</v>
      </c>
      <c r="AR102" s="29">
        <f t="shared" si="15"/>
        <v>0</v>
      </c>
      <c r="AS102" s="29">
        <f t="shared" si="16"/>
        <v>1.277097778</v>
      </c>
      <c r="AT102" s="22" t="str">
        <f t="shared" si="17"/>
        <v/>
      </c>
      <c r="AU102" s="23"/>
      <c r="AV102" s="44" t="str">
        <f t="shared" si="18"/>
        <v/>
      </c>
      <c r="AW102" s="25"/>
      <c r="AX102" s="44" t="str">
        <f t="shared" si="19"/>
        <v/>
      </c>
      <c r="AY102" s="54"/>
      <c r="AZ102" s="22" t="str">
        <f t="shared" si="20"/>
        <v/>
      </c>
      <c r="BA102" s="23"/>
      <c r="BB102" s="44" t="str">
        <f t="shared" si="21"/>
        <v/>
      </c>
      <c r="BC102" s="25"/>
      <c r="BD102" s="44" t="str">
        <f t="shared" si="22"/>
        <v/>
      </c>
      <c r="BE102" s="54"/>
      <c r="BF102" s="22" t="str">
        <f t="shared" si="23"/>
        <v/>
      </c>
      <c r="BG102" s="23"/>
      <c r="BH102" s="34"/>
      <c r="BI102" s="25"/>
      <c r="BJ102" s="34"/>
      <c r="BK102" s="46">
        <v>0.0</v>
      </c>
      <c r="BL102" s="33"/>
      <c r="BM102" s="22" t="str">
        <f t="shared" si="24"/>
        <v/>
      </c>
      <c r="BN102" s="23"/>
      <c r="BO102" s="44" t="str">
        <f t="shared" si="25"/>
        <v/>
      </c>
      <c r="BP102" s="25"/>
      <c r="BQ102" s="44" t="str">
        <f t="shared" si="26"/>
        <v/>
      </c>
      <c r="BR102" s="29" t="str">
        <f t="shared" si="27"/>
        <v/>
      </c>
      <c r="BS102" s="29">
        <f t="shared" si="28"/>
        <v>0</v>
      </c>
      <c r="BT102" s="29">
        <f t="shared" si="29"/>
        <v>0</v>
      </c>
      <c r="BU102" s="22" t="str">
        <f t="shared" si="30"/>
        <v/>
      </c>
      <c r="BV102" s="23"/>
      <c r="BW102" s="44" t="str">
        <f t="shared" si="31"/>
        <v/>
      </c>
      <c r="BX102" s="25"/>
      <c r="BY102" s="44" t="str">
        <f t="shared" si="32"/>
        <v/>
      </c>
      <c r="BZ102" s="54"/>
      <c r="CA102" s="22" t="str">
        <f t="shared" si="33"/>
        <v/>
      </c>
      <c r="CB102" s="23"/>
      <c r="CC102" s="44" t="str">
        <f t="shared" si="34"/>
        <v/>
      </c>
      <c r="CD102" s="25"/>
      <c r="CE102" s="44" t="str">
        <f t="shared" si="35"/>
        <v/>
      </c>
      <c r="CF102" s="54"/>
      <c r="CG102" s="22" t="str">
        <f t="shared" si="5"/>
        <v/>
      </c>
      <c r="CH102" s="26"/>
      <c r="CI102" s="91"/>
      <c r="CJ102" s="26"/>
      <c r="CK102" s="91"/>
      <c r="CL102" s="26"/>
    </row>
    <row r="103" ht="85.5" customHeight="1">
      <c r="A103" s="26">
        <f t="shared" si="58"/>
        <v>101</v>
      </c>
      <c r="B103" s="27" t="s">
        <v>397</v>
      </c>
      <c r="C103" s="27" t="s">
        <v>398</v>
      </c>
      <c r="D103" s="27"/>
      <c r="E103" s="26"/>
      <c r="F103" s="26"/>
      <c r="G103" s="20"/>
      <c r="H103" s="20"/>
      <c r="I103" s="23"/>
      <c r="J103" s="33"/>
      <c r="K103" s="22" t="str">
        <f t="shared" si="53"/>
        <v/>
      </c>
      <c r="L103" s="23"/>
      <c r="M103" s="34"/>
      <c r="N103" s="25"/>
      <c r="O103" s="34"/>
      <c r="P103" s="29" t="str">
        <f t="shared" si="8"/>
        <v/>
      </c>
      <c r="Q103" s="29">
        <f t="shared" si="9"/>
        <v>0</v>
      </c>
      <c r="R103" s="29">
        <f t="shared" si="10"/>
        <v>0</v>
      </c>
      <c r="S103" s="22" t="str">
        <f t="shared" si="11"/>
        <v/>
      </c>
      <c r="T103" s="23"/>
      <c r="U103" s="44" t="str">
        <f t="shared" si="49"/>
        <v/>
      </c>
      <c r="V103" s="25"/>
      <c r="W103" s="44" t="str">
        <f t="shared" si="50"/>
        <v/>
      </c>
      <c r="X103" s="54"/>
      <c r="Y103" s="22" t="str">
        <f t="shared" si="12"/>
        <v/>
      </c>
      <c r="Z103" s="23"/>
      <c r="AA103" s="44" t="str">
        <f t="shared" si="40"/>
        <v/>
      </c>
      <c r="AB103" s="25"/>
      <c r="AC103" s="44" t="str">
        <f t="shared" si="41"/>
        <v/>
      </c>
      <c r="AD103" s="54"/>
      <c r="AE103" s="22" t="str">
        <f t="shared" si="13"/>
        <v/>
      </c>
      <c r="AF103" s="23"/>
      <c r="AG103" s="44" t="str">
        <f t="shared" si="51"/>
        <v/>
      </c>
      <c r="AH103" s="25"/>
      <c r="AI103" s="44" t="str">
        <f t="shared" si="52"/>
        <v/>
      </c>
      <c r="AJ103" s="46">
        <v>0.0</v>
      </c>
      <c r="AK103" s="33"/>
      <c r="AL103" s="22"/>
      <c r="AM103" s="23"/>
      <c r="AN103" s="44" t="str">
        <f>if(AM103&lt;&gt;"", if(AN103="",NOW(),AN103),"")</f>
        <v/>
      </c>
      <c r="AO103" s="25"/>
      <c r="AP103" s="44" t="str">
        <f>if(AO103="Done", if(AP103="",NOW(),AP103),"")</f>
        <v/>
      </c>
      <c r="AQ103" s="29" t="str">
        <f t="shared" si="14"/>
        <v/>
      </c>
      <c r="AR103" s="29">
        <f t="shared" si="15"/>
        <v>0</v>
      </c>
      <c r="AS103" s="29">
        <f t="shared" si="16"/>
        <v>0</v>
      </c>
      <c r="AT103" s="22" t="str">
        <f t="shared" si="17"/>
        <v/>
      </c>
      <c r="AU103" s="23"/>
      <c r="AV103" s="44" t="str">
        <f t="shared" si="18"/>
        <v/>
      </c>
      <c r="AW103" s="25"/>
      <c r="AX103" s="44" t="str">
        <f t="shared" si="19"/>
        <v/>
      </c>
      <c r="AY103" s="54"/>
      <c r="AZ103" s="22" t="str">
        <f t="shared" si="20"/>
        <v/>
      </c>
      <c r="BA103" s="23"/>
      <c r="BB103" s="44" t="str">
        <f t="shared" si="21"/>
        <v/>
      </c>
      <c r="BC103" s="25"/>
      <c r="BD103" s="44" t="str">
        <f t="shared" si="22"/>
        <v/>
      </c>
      <c r="BE103" s="54"/>
      <c r="BF103" s="22" t="str">
        <f t="shared" si="23"/>
        <v/>
      </c>
      <c r="BG103" s="23"/>
      <c r="BH103" s="44" t="str">
        <f t="shared" ref="BH103:BH128" si="86">if(BG103&lt;&gt;"", if(BH103="",NOW(),BH103),"")</f>
        <v/>
      </c>
      <c r="BI103" s="25"/>
      <c r="BJ103" s="44" t="str">
        <f t="shared" ref="BJ103:BJ128" si="87">if(BI103="Done", if(BJ103="",NOW(),BJ103),"")</f>
        <v/>
      </c>
      <c r="BK103" s="46">
        <v>0.0</v>
      </c>
      <c r="BL103" s="33"/>
      <c r="BM103" s="22" t="str">
        <f t="shared" si="24"/>
        <v/>
      </c>
      <c r="BN103" s="23"/>
      <c r="BO103" s="44" t="str">
        <f t="shared" si="25"/>
        <v/>
      </c>
      <c r="BP103" s="25"/>
      <c r="BQ103" s="44" t="str">
        <f t="shared" si="26"/>
        <v/>
      </c>
      <c r="BR103" s="29" t="str">
        <f t="shared" si="27"/>
        <v/>
      </c>
      <c r="BS103" s="29">
        <f t="shared" si="28"/>
        <v>0</v>
      </c>
      <c r="BT103" s="29">
        <f t="shared" si="29"/>
        <v>0</v>
      </c>
      <c r="BU103" s="22" t="str">
        <f t="shared" si="30"/>
        <v/>
      </c>
      <c r="BV103" s="23"/>
      <c r="BW103" s="44" t="str">
        <f t="shared" si="31"/>
        <v/>
      </c>
      <c r="BX103" s="25"/>
      <c r="BY103" s="44" t="str">
        <f t="shared" si="32"/>
        <v/>
      </c>
      <c r="BZ103" s="54"/>
      <c r="CA103" s="22" t="str">
        <f t="shared" si="33"/>
        <v/>
      </c>
      <c r="CB103" s="23"/>
      <c r="CC103" s="44" t="str">
        <f t="shared" si="34"/>
        <v/>
      </c>
      <c r="CD103" s="25"/>
      <c r="CE103" s="44" t="str">
        <f t="shared" si="35"/>
        <v/>
      </c>
      <c r="CF103" s="54"/>
      <c r="CG103" s="22" t="str">
        <f t="shared" si="5"/>
        <v/>
      </c>
      <c r="CH103" s="26"/>
      <c r="CI103" s="91"/>
      <c r="CJ103" s="26"/>
      <c r="CK103" s="91"/>
      <c r="CL103" s="26"/>
    </row>
    <row r="104">
      <c r="A104" s="26">
        <f t="shared" si="58"/>
        <v>102</v>
      </c>
      <c r="B104" s="27" t="s">
        <v>399</v>
      </c>
      <c r="C104" s="27" t="s">
        <v>400</v>
      </c>
      <c r="D104" s="27"/>
      <c r="E104" s="26"/>
      <c r="F104" s="26"/>
      <c r="G104" s="20">
        <v>2.0</v>
      </c>
      <c r="H104" s="20">
        <v>2.0</v>
      </c>
      <c r="I104" s="23" t="s">
        <v>72</v>
      </c>
      <c r="J104" s="33"/>
      <c r="K104" s="22">
        <f t="shared" si="53"/>
        <v>2</v>
      </c>
      <c r="L104" s="23" t="s">
        <v>212</v>
      </c>
      <c r="M104" s="34">
        <v>46309.649622233796</v>
      </c>
      <c r="N104" s="25" t="s">
        <v>69</v>
      </c>
      <c r="O104" s="34">
        <v>46310.404915798616</v>
      </c>
      <c r="P104" s="29">
        <f t="shared" si="8"/>
        <v>1087.622733</v>
      </c>
      <c r="Q104" s="29">
        <f t="shared" si="9"/>
        <v>960</v>
      </c>
      <c r="R104" s="29">
        <f t="shared" si="10"/>
        <v>2.127045556</v>
      </c>
      <c r="S104" s="22" t="str">
        <f t="shared" si="11"/>
        <v/>
      </c>
      <c r="T104" s="23"/>
      <c r="U104" s="44" t="str">
        <f t="shared" si="49"/>
        <v/>
      </c>
      <c r="V104" s="25"/>
      <c r="W104" s="44" t="str">
        <f t="shared" si="50"/>
        <v/>
      </c>
      <c r="X104" s="54"/>
      <c r="Y104" s="22" t="str">
        <f t="shared" si="12"/>
        <v/>
      </c>
      <c r="Z104" s="23"/>
      <c r="AA104" s="44" t="str">
        <f t="shared" si="40"/>
        <v/>
      </c>
      <c r="AB104" s="25"/>
      <c r="AC104" s="44" t="str">
        <f t="shared" si="41"/>
        <v/>
      </c>
      <c r="AD104" s="54"/>
      <c r="AE104" s="22" t="str">
        <f t="shared" si="13"/>
        <v/>
      </c>
      <c r="AF104" s="23"/>
      <c r="AG104" s="44" t="str">
        <f t="shared" si="51"/>
        <v/>
      </c>
      <c r="AH104" s="25"/>
      <c r="AI104" s="44" t="str">
        <f t="shared" si="52"/>
        <v/>
      </c>
      <c r="AJ104" s="46">
        <v>0.0</v>
      </c>
      <c r="AK104" s="33"/>
      <c r="AL104" s="22">
        <v>2.0</v>
      </c>
      <c r="AM104" s="23" t="s">
        <v>212</v>
      </c>
      <c r="AN104" s="34">
        <v>46310.40758064815</v>
      </c>
      <c r="AO104" s="25" t="s">
        <v>69</v>
      </c>
      <c r="AP104" s="34">
        <v>46310.556579421296</v>
      </c>
      <c r="AQ104" s="29">
        <f t="shared" si="14"/>
        <v>214.5582333</v>
      </c>
      <c r="AR104" s="29">
        <f t="shared" si="15"/>
        <v>60</v>
      </c>
      <c r="AS104" s="29">
        <f t="shared" si="16"/>
        <v>2.575970556</v>
      </c>
      <c r="AT104" s="22" t="str">
        <f t="shared" si="17"/>
        <v/>
      </c>
      <c r="AU104" s="23"/>
      <c r="AV104" s="44" t="str">
        <f t="shared" si="18"/>
        <v/>
      </c>
      <c r="AW104" s="25"/>
      <c r="AX104" s="44" t="str">
        <f t="shared" si="19"/>
        <v/>
      </c>
      <c r="AY104" s="54"/>
      <c r="AZ104" s="22" t="str">
        <f t="shared" si="20"/>
        <v/>
      </c>
      <c r="BA104" s="23"/>
      <c r="BB104" s="44" t="str">
        <f t="shared" si="21"/>
        <v/>
      </c>
      <c r="BC104" s="25"/>
      <c r="BD104" s="44" t="str">
        <f t="shared" si="22"/>
        <v/>
      </c>
      <c r="BE104" s="54"/>
      <c r="BF104" s="22" t="str">
        <f t="shared" si="23"/>
        <v/>
      </c>
      <c r="BG104" s="23"/>
      <c r="BH104" s="44" t="str">
        <f t="shared" si="86"/>
        <v/>
      </c>
      <c r="BI104" s="25"/>
      <c r="BJ104" s="44" t="str">
        <f t="shared" si="87"/>
        <v/>
      </c>
      <c r="BK104" s="46">
        <v>0.0</v>
      </c>
      <c r="BL104" s="33"/>
      <c r="BM104" s="22" t="str">
        <f t="shared" si="24"/>
        <v/>
      </c>
      <c r="BN104" s="23"/>
      <c r="BO104" s="44" t="str">
        <f t="shared" si="25"/>
        <v/>
      </c>
      <c r="BP104" s="25"/>
      <c r="BQ104" s="44" t="str">
        <f t="shared" si="26"/>
        <v/>
      </c>
      <c r="BR104" s="29" t="str">
        <f t="shared" si="27"/>
        <v/>
      </c>
      <c r="BS104" s="29">
        <f t="shared" si="28"/>
        <v>0</v>
      </c>
      <c r="BT104" s="29">
        <f t="shared" si="29"/>
        <v>0</v>
      </c>
      <c r="BU104" s="22" t="str">
        <f t="shared" si="30"/>
        <v/>
      </c>
      <c r="BV104" s="23"/>
      <c r="BW104" s="44" t="str">
        <f t="shared" si="31"/>
        <v/>
      </c>
      <c r="BX104" s="25"/>
      <c r="BY104" s="44" t="str">
        <f t="shared" si="32"/>
        <v/>
      </c>
      <c r="BZ104" s="54"/>
      <c r="CA104" s="22" t="str">
        <f t="shared" si="33"/>
        <v/>
      </c>
      <c r="CB104" s="23"/>
      <c r="CC104" s="44" t="str">
        <f t="shared" si="34"/>
        <v/>
      </c>
      <c r="CD104" s="25"/>
      <c r="CE104" s="44" t="str">
        <f t="shared" si="35"/>
        <v/>
      </c>
      <c r="CF104" s="54"/>
      <c r="CG104" s="22" t="str">
        <f t="shared" si="5"/>
        <v/>
      </c>
      <c r="CH104" s="26"/>
      <c r="CI104" s="91"/>
      <c r="CJ104" s="26"/>
      <c r="CK104" s="91"/>
      <c r="CL104" s="26"/>
    </row>
    <row r="105">
      <c r="A105" s="26">
        <f t="shared" si="58"/>
        <v>103</v>
      </c>
      <c r="B105" s="27" t="s">
        <v>401</v>
      </c>
      <c r="C105" s="27" t="s">
        <v>402</v>
      </c>
      <c r="D105" s="27"/>
      <c r="E105" s="26"/>
      <c r="F105" s="26"/>
      <c r="G105" s="20">
        <v>3.0</v>
      </c>
      <c r="H105" s="20">
        <v>2.0</v>
      </c>
      <c r="I105" s="23" t="s">
        <v>72</v>
      </c>
      <c r="J105" s="33"/>
      <c r="K105" s="22">
        <f t="shared" si="53"/>
        <v>3</v>
      </c>
      <c r="L105" s="23" t="s">
        <v>210</v>
      </c>
      <c r="M105" s="34">
        <v>46308.54887564815</v>
      </c>
      <c r="N105" s="25" t="s">
        <v>69</v>
      </c>
      <c r="O105" s="34">
        <v>46308.56636920139</v>
      </c>
      <c r="P105" s="29">
        <f t="shared" si="8"/>
        <v>25.19071667</v>
      </c>
      <c r="Q105" s="29">
        <f t="shared" si="9"/>
        <v>0</v>
      </c>
      <c r="R105" s="29">
        <f t="shared" si="10"/>
        <v>0.4198452778</v>
      </c>
      <c r="S105" s="22" t="str">
        <f t="shared" si="11"/>
        <v>Done</v>
      </c>
      <c r="T105" s="23" t="s">
        <v>210</v>
      </c>
      <c r="U105" s="44">
        <f t="shared" si="49"/>
        <v>46311.40895</v>
      </c>
      <c r="V105" s="25" t="s">
        <v>69</v>
      </c>
      <c r="W105" s="44">
        <f t="shared" si="50"/>
        <v>46311.44998</v>
      </c>
      <c r="X105" s="35">
        <v>0.4</v>
      </c>
      <c r="Y105" s="22" t="str">
        <f t="shared" si="12"/>
        <v/>
      </c>
      <c r="Z105" s="23"/>
      <c r="AA105" s="44" t="str">
        <f t="shared" si="40"/>
        <v/>
      </c>
      <c r="AB105" s="25"/>
      <c r="AC105" s="44" t="str">
        <f t="shared" si="41"/>
        <v/>
      </c>
      <c r="AD105" s="54"/>
      <c r="AE105" s="22" t="str">
        <f t="shared" si="13"/>
        <v>Revision</v>
      </c>
      <c r="AF105" s="23" t="s">
        <v>72</v>
      </c>
      <c r="AG105" s="34">
        <v>46308.662206759254</v>
      </c>
      <c r="AH105" s="25" t="s">
        <v>93</v>
      </c>
      <c r="AI105" s="34">
        <v>46308.66338854167</v>
      </c>
      <c r="AJ105" s="46">
        <v>1.0</v>
      </c>
      <c r="AK105" s="33"/>
      <c r="AL105" s="22">
        <v>2.0</v>
      </c>
      <c r="AM105" s="23" t="s">
        <v>210</v>
      </c>
      <c r="AN105" s="44">
        <f>if(AM105&lt;&gt;"", if(AN105="",NOW(),AN105),"")</f>
        <v>46311.64444</v>
      </c>
      <c r="AO105" s="25" t="s">
        <v>69</v>
      </c>
      <c r="AP105" s="34">
        <v>46311.70463096065</v>
      </c>
      <c r="AQ105" s="29">
        <f t="shared" si="14"/>
        <v>86.66881667</v>
      </c>
      <c r="AR105" s="29">
        <f t="shared" si="15"/>
        <v>0</v>
      </c>
      <c r="AS105" s="29">
        <f t="shared" si="16"/>
        <v>1.444480278</v>
      </c>
      <c r="AT105" s="22" t="str">
        <f t="shared" si="17"/>
        <v/>
      </c>
      <c r="AU105" s="23"/>
      <c r="AV105" s="44" t="str">
        <f t="shared" si="18"/>
        <v/>
      </c>
      <c r="AW105" s="25"/>
      <c r="AX105" s="44" t="str">
        <f t="shared" si="19"/>
        <v/>
      </c>
      <c r="AY105" s="54"/>
      <c r="AZ105" s="22" t="str">
        <f t="shared" si="20"/>
        <v/>
      </c>
      <c r="BA105" s="23"/>
      <c r="BB105" s="44" t="str">
        <f t="shared" si="21"/>
        <v/>
      </c>
      <c r="BC105" s="25"/>
      <c r="BD105" s="44" t="str">
        <f t="shared" si="22"/>
        <v/>
      </c>
      <c r="BE105" s="54"/>
      <c r="BF105" s="22" t="str">
        <f t="shared" si="23"/>
        <v/>
      </c>
      <c r="BG105" s="23"/>
      <c r="BH105" s="44" t="str">
        <f t="shared" si="86"/>
        <v/>
      </c>
      <c r="BI105" s="25"/>
      <c r="BJ105" s="44" t="str">
        <f t="shared" si="87"/>
        <v/>
      </c>
      <c r="BK105" s="46">
        <v>0.0</v>
      </c>
      <c r="BL105" s="33"/>
      <c r="BM105" s="22" t="str">
        <f t="shared" si="24"/>
        <v/>
      </c>
      <c r="BN105" s="23"/>
      <c r="BO105" s="44" t="str">
        <f t="shared" si="25"/>
        <v/>
      </c>
      <c r="BP105" s="25"/>
      <c r="BQ105" s="44" t="str">
        <f t="shared" si="26"/>
        <v/>
      </c>
      <c r="BR105" s="29" t="str">
        <f t="shared" si="27"/>
        <v/>
      </c>
      <c r="BS105" s="29">
        <f t="shared" si="28"/>
        <v>0</v>
      </c>
      <c r="BT105" s="29">
        <f t="shared" si="29"/>
        <v>0</v>
      </c>
      <c r="BU105" s="22" t="str">
        <f t="shared" si="30"/>
        <v/>
      </c>
      <c r="BV105" s="23"/>
      <c r="BW105" s="44" t="str">
        <f t="shared" si="31"/>
        <v/>
      </c>
      <c r="BX105" s="25"/>
      <c r="BY105" s="44" t="str">
        <f t="shared" si="32"/>
        <v/>
      </c>
      <c r="BZ105" s="54"/>
      <c r="CA105" s="22" t="str">
        <f t="shared" si="33"/>
        <v/>
      </c>
      <c r="CB105" s="23"/>
      <c r="CC105" s="44" t="str">
        <f t="shared" si="34"/>
        <v/>
      </c>
      <c r="CD105" s="25"/>
      <c r="CE105" s="44" t="str">
        <f t="shared" si="35"/>
        <v/>
      </c>
      <c r="CF105" s="54"/>
      <c r="CG105" s="22" t="str">
        <f t="shared" si="5"/>
        <v/>
      </c>
      <c r="CH105" s="26"/>
      <c r="CI105" s="91"/>
      <c r="CJ105" s="26"/>
      <c r="CK105" s="91"/>
      <c r="CL105" s="26"/>
    </row>
    <row r="106">
      <c r="A106" s="26">
        <f t="shared" si="58"/>
        <v>104</v>
      </c>
      <c r="B106" s="27" t="s">
        <v>401</v>
      </c>
      <c r="C106" s="27" t="s">
        <v>403</v>
      </c>
      <c r="D106" s="27"/>
      <c r="E106" s="26"/>
      <c r="F106" s="26"/>
      <c r="G106" s="20">
        <v>1.0</v>
      </c>
      <c r="H106" s="20">
        <v>1.0</v>
      </c>
      <c r="I106" s="23" t="s">
        <v>72</v>
      </c>
      <c r="J106" s="33"/>
      <c r="K106" s="22">
        <f t="shared" si="53"/>
        <v>1</v>
      </c>
      <c r="L106" s="23" t="s">
        <v>172</v>
      </c>
      <c r="M106" s="34">
        <v>46309.3836558912</v>
      </c>
      <c r="N106" s="25" t="s">
        <v>69</v>
      </c>
      <c r="O106" s="34">
        <v>46309.413926493056</v>
      </c>
      <c r="P106" s="29">
        <f t="shared" si="8"/>
        <v>43.58966667</v>
      </c>
      <c r="Q106" s="29">
        <f t="shared" si="9"/>
        <v>0</v>
      </c>
      <c r="R106" s="29">
        <f t="shared" si="10"/>
        <v>0.7264944445</v>
      </c>
      <c r="S106" s="22" t="str">
        <f t="shared" si="11"/>
        <v/>
      </c>
      <c r="T106" s="23"/>
      <c r="U106" s="44" t="str">
        <f t="shared" si="49"/>
        <v/>
      </c>
      <c r="V106" s="25"/>
      <c r="W106" s="44" t="str">
        <f t="shared" si="50"/>
        <v/>
      </c>
      <c r="X106" s="54"/>
      <c r="Y106" s="22" t="str">
        <f t="shared" si="12"/>
        <v/>
      </c>
      <c r="Z106" s="23"/>
      <c r="AA106" s="44" t="str">
        <f t="shared" si="40"/>
        <v/>
      </c>
      <c r="AB106" s="25"/>
      <c r="AC106" s="44" t="str">
        <f t="shared" si="41"/>
        <v/>
      </c>
      <c r="AD106" s="54"/>
      <c r="AE106" s="22" t="str">
        <f t="shared" si="13"/>
        <v/>
      </c>
      <c r="AF106" s="23"/>
      <c r="AG106" s="44" t="str">
        <f t="shared" ref="AG106:AG128" si="88">if(AF106&lt;&gt;"", if(AG106="",NOW(),AG106),"")</f>
        <v/>
      </c>
      <c r="AH106" s="25"/>
      <c r="AI106" s="44" t="str">
        <f t="shared" ref="AI106:AI128" si="89">if(AH106="Done", if(AI106="",NOW(),AI106),"")</f>
        <v/>
      </c>
      <c r="AJ106" s="46">
        <v>0.0</v>
      </c>
      <c r="AK106" s="33"/>
      <c r="AL106" s="22">
        <v>1.0</v>
      </c>
      <c r="AM106" s="23" t="s">
        <v>172</v>
      </c>
      <c r="AN106" s="34">
        <v>46309.69816210648</v>
      </c>
      <c r="AO106" s="25" t="s">
        <v>69</v>
      </c>
      <c r="AP106" s="34">
        <v>46310.40419878472</v>
      </c>
      <c r="AQ106" s="29">
        <f t="shared" si="14"/>
        <v>1016.692817</v>
      </c>
      <c r="AR106" s="29">
        <f t="shared" si="15"/>
        <v>960</v>
      </c>
      <c r="AS106" s="29">
        <f t="shared" si="16"/>
        <v>0.9448802779</v>
      </c>
      <c r="AT106" s="22" t="str">
        <f t="shared" si="17"/>
        <v/>
      </c>
      <c r="AU106" s="23"/>
      <c r="AV106" s="44" t="str">
        <f t="shared" si="18"/>
        <v/>
      </c>
      <c r="AW106" s="25"/>
      <c r="AX106" s="44" t="str">
        <f t="shared" si="19"/>
        <v/>
      </c>
      <c r="AY106" s="54"/>
      <c r="AZ106" s="22" t="str">
        <f t="shared" si="20"/>
        <v/>
      </c>
      <c r="BA106" s="23"/>
      <c r="BB106" s="44" t="str">
        <f t="shared" si="21"/>
        <v/>
      </c>
      <c r="BC106" s="25"/>
      <c r="BD106" s="44" t="str">
        <f t="shared" si="22"/>
        <v/>
      </c>
      <c r="BE106" s="54"/>
      <c r="BF106" s="22" t="str">
        <f t="shared" si="23"/>
        <v/>
      </c>
      <c r="BG106" s="23"/>
      <c r="BH106" s="44" t="str">
        <f t="shared" si="86"/>
        <v/>
      </c>
      <c r="BI106" s="25"/>
      <c r="BJ106" s="44" t="str">
        <f t="shared" si="87"/>
        <v/>
      </c>
      <c r="BK106" s="46">
        <v>0.0</v>
      </c>
      <c r="BL106" s="33"/>
      <c r="BM106" s="22" t="str">
        <f t="shared" si="24"/>
        <v/>
      </c>
      <c r="BN106" s="23"/>
      <c r="BO106" s="44" t="str">
        <f t="shared" si="25"/>
        <v/>
      </c>
      <c r="BP106" s="25"/>
      <c r="BQ106" s="44" t="str">
        <f t="shared" si="26"/>
        <v/>
      </c>
      <c r="BR106" s="29" t="str">
        <f t="shared" si="27"/>
        <v/>
      </c>
      <c r="BS106" s="29">
        <f t="shared" si="28"/>
        <v>0</v>
      </c>
      <c r="BT106" s="29">
        <f t="shared" si="29"/>
        <v>0</v>
      </c>
      <c r="BU106" s="22" t="str">
        <f t="shared" si="30"/>
        <v/>
      </c>
      <c r="BV106" s="23"/>
      <c r="BW106" s="44" t="str">
        <f t="shared" si="31"/>
        <v/>
      </c>
      <c r="BX106" s="25"/>
      <c r="BY106" s="44" t="str">
        <f t="shared" si="32"/>
        <v/>
      </c>
      <c r="BZ106" s="54"/>
      <c r="CA106" s="22" t="str">
        <f t="shared" si="33"/>
        <v/>
      </c>
      <c r="CB106" s="23"/>
      <c r="CC106" s="44" t="str">
        <f t="shared" si="34"/>
        <v/>
      </c>
      <c r="CD106" s="25"/>
      <c r="CE106" s="44" t="str">
        <f t="shared" si="35"/>
        <v/>
      </c>
      <c r="CF106" s="54"/>
      <c r="CG106" s="22" t="str">
        <f t="shared" si="5"/>
        <v/>
      </c>
      <c r="CH106" s="26"/>
      <c r="CI106" s="91"/>
      <c r="CJ106" s="26"/>
      <c r="CK106" s="91"/>
      <c r="CL106" s="26"/>
    </row>
    <row r="107">
      <c r="A107" s="26">
        <f t="shared" si="58"/>
        <v>105</v>
      </c>
      <c r="B107" s="27" t="s">
        <v>401</v>
      </c>
      <c r="C107" s="27" t="s">
        <v>404</v>
      </c>
      <c r="D107" s="27"/>
      <c r="E107" s="26"/>
      <c r="F107" s="26"/>
      <c r="G107" s="20">
        <v>1.0</v>
      </c>
      <c r="H107" s="20">
        <v>1.0</v>
      </c>
      <c r="I107" s="23" t="s">
        <v>72</v>
      </c>
      <c r="J107" s="33"/>
      <c r="K107" s="22">
        <f t="shared" si="53"/>
        <v>1</v>
      </c>
      <c r="L107" s="23" t="s">
        <v>210</v>
      </c>
      <c r="M107" s="44">
        <f>if(L107&lt;&gt;"", if(M107="",NOW(),M107),"")</f>
        <v>46310.45852</v>
      </c>
      <c r="N107" s="25" t="s">
        <v>69</v>
      </c>
      <c r="O107" s="34">
        <v>46310.47527299769</v>
      </c>
      <c r="P107" s="29">
        <f t="shared" si="8"/>
        <v>24.12551667</v>
      </c>
      <c r="Q107" s="29">
        <f t="shared" si="9"/>
        <v>0</v>
      </c>
      <c r="R107" s="29">
        <f t="shared" si="10"/>
        <v>0.4020919445</v>
      </c>
      <c r="S107" s="22" t="str">
        <f t="shared" si="11"/>
        <v/>
      </c>
      <c r="T107" s="23"/>
      <c r="U107" s="44" t="str">
        <f t="shared" si="49"/>
        <v/>
      </c>
      <c r="V107" s="25"/>
      <c r="W107" s="44" t="str">
        <f t="shared" si="50"/>
        <v/>
      </c>
      <c r="X107" s="54"/>
      <c r="Y107" s="22" t="str">
        <f t="shared" si="12"/>
        <v/>
      </c>
      <c r="Z107" s="23"/>
      <c r="AA107" s="44" t="str">
        <f t="shared" si="40"/>
        <v/>
      </c>
      <c r="AB107" s="25"/>
      <c r="AC107" s="44" t="str">
        <f t="shared" si="41"/>
        <v/>
      </c>
      <c r="AD107" s="54"/>
      <c r="AE107" s="22" t="str">
        <f t="shared" si="13"/>
        <v/>
      </c>
      <c r="AF107" s="23"/>
      <c r="AG107" s="44" t="str">
        <f t="shared" si="88"/>
        <v/>
      </c>
      <c r="AH107" s="25"/>
      <c r="AI107" s="44" t="str">
        <f t="shared" si="89"/>
        <v/>
      </c>
      <c r="AJ107" s="46">
        <v>0.0</v>
      </c>
      <c r="AK107" s="33"/>
      <c r="AL107" s="22">
        <v>1.0</v>
      </c>
      <c r="AM107" s="23" t="s">
        <v>210</v>
      </c>
      <c r="AN107" s="44">
        <f>if(AM107&lt;&gt;"", if(AN107="",NOW(),AN107),"")</f>
        <v>46310.47897</v>
      </c>
      <c r="AO107" s="25" t="s">
        <v>69</v>
      </c>
      <c r="AP107" s="34">
        <v>46310.49259409722</v>
      </c>
      <c r="AQ107" s="29">
        <f t="shared" si="14"/>
        <v>19.61829999</v>
      </c>
      <c r="AR107" s="29">
        <f t="shared" si="15"/>
        <v>0</v>
      </c>
      <c r="AS107" s="29">
        <f t="shared" si="16"/>
        <v>0.3269716665</v>
      </c>
      <c r="AT107" s="22" t="str">
        <f t="shared" si="17"/>
        <v/>
      </c>
      <c r="AU107" s="23"/>
      <c r="AV107" s="44" t="str">
        <f t="shared" si="18"/>
        <v/>
      </c>
      <c r="AW107" s="25"/>
      <c r="AX107" s="44" t="str">
        <f t="shared" si="19"/>
        <v/>
      </c>
      <c r="AY107" s="54"/>
      <c r="AZ107" s="22" t="str">
        <f t="shared" si="20"/>
        <v/>
      </c>
      <c r="BA107" s="23"/>
      <c r="BB107" s="44" t="str">
        <f t="shared" si="21"/>
        <v/>
      </c>
      <c r="BC107" s="25"/>
      <c r="BD107" s="44" t="str">
        <f t="shared" si="22"/>
        <v/>
      </c>
      <c r="BE107" s="54"/>
      <c r="BF107" s="22" t="str">
        <f t="shared" si="23"/>
        <v/>
      </c>
      <c r="BG107" s="23"/>
      <c r="BH107" s="44" t="str">
        <f t="shared" si="86"/>
        <v/>
      </c>
      <c r="BI107" s="25"/>
      <c r="BJ107" s="44" t="str">
        <f t="shared" si="87"/>
        <v/>
      </c>
      <c r="BK107" s="46">
        <v>0.0</v>
      </c>
      <c r="BL107" s="33"/>
      <c r="BM107" s="22" t="str">
        <f t="shared" si="24"/>
        <v/>
      </c>
      <c r="BN107" s="23"/>
      <c r="BO107" s="44" t="str">
        <f t="shared" si="25"/>
        <v/>
      </c>
      <c r="BP107" s="25"/>
      <c r="BQ107" s="44" t="str">
        <f t="shared" si="26"/>
        <v/>
      </c>
      <c r="BR107" s="29" t="str">
        <f t="shared" si="27"/>
        <v/>
      </c>
      <c r="BS107" s="29">
        <f t="shared" si="28"/>
        <v>0</v>
      </c>
      <c r="BT107" s="29">
        <f t="shared" si="29"/>
        <v>0</v>
      </c>
      <c r="BU107" s="22" t="str">
        <f t="shared" si="30"/>
        <v/>
      </c>
      <c r="BV107" s="23"/>
      <c r="BW107" s="44" t="str">
        <f t="shared" si="31"/>
        <v/>
      </c>
      <c r="BX107" s="25"/>
      <c r="BY107" s="44" t="str">
        <f t="shared" si="32"/>
        <v/>
      </c>
      <c r="BZ107" s="54"/>
      <c r="CA107" s="22" t="str">
        <f t="shared" si="33"/>
        <v/>
      </c>
      <c r="CB107" s="23"/>
      <c r="CC107" s="44" t="str">
        <f t="shared" si="34"/>
        <v/>
      </c>
      <c r="CD107" s="25"/>
      <c r="CE107" s="44" t="str">
        <f t="shared" si="35"/>
        <v/>
      </c>
      <c r="CF107" s="54"/>
      <c r="CG107" s="22" t="str">
        <f t="shared" si="5"/>
        <v/>
      </c>
      <c r="CH107" s="26"/>
      <c r="CI107" s="91"/>
      <c r="CJ107" s="26"/>
      <c r="CK107" s="91"/>
      <c r="CL107" s="26"/>
    </row>
    <row r="108">
      <c r="A108" s="26">
        <f t="shared" si="58"/>
        <v>106</v>
      </c>
      <c r="B108" s="27" t="s">
        <v>401</v>
      </c>
      <c r="C108" s="27" t="s">
        <v>405</v>
      </c>
      <c r="D108" s="27"/>
      <c r="E108" s="26"/>
      <c r="F108" s="26"/>
      <c r="G108" s="20">
        <v>1.0</v>
      </c>
      <c r="H108" s="20">
        <v>1.0</v>
      </c>
      <c r="I108" s="23" t="s">
        <v>72</v>
      </c>
      <c r="J108" s="33"/>
      <c r="K108" s="22">
        <f t="shared" si="53"/>
        <v>1</v>
      </c>
      <c r="L108" s="23" t="s">
        <v>172</v>
      </c>
      <c r="M108" s="34">
        <v>46309.422725625</v>
      </c>
      <c r="N108" s="25" t="s">
        <v>69</v>
      </c>
      <c r="O108" s="34">
        <v>46309.44296771991</v>
      </c>
      <c r="P108" s="29">
        <f t="shared" si="8"/>
        <v>29.14861667</v>
      </c>
      <c r="Q108" s="29">
        <f t="shared" si="9"/>
        <v>0</v>
      </c>
      <c r="R108" s="29">
        <f t="shared" si="10"/>
        <v>0.4858102778</v>
      </c>
      <c r="S108" s="22" t="str">
        <f t="shared" si="11"/>
        <v/>
      </c>
      <c r="T108" s="23"/>
      <c r="U108" s="44" t="str">
        <f t="shared" si="49"/>
        <v/>
      </c>
      <c r="V108" s="25"/>
      <c r="W108" s="44" t="str">
        <f t="shared" si="50"/>
        <v/>
      </c>
      <c r="X108" s="54"/>
      <c r="Y108" s="22" t="str">
        <f t="shared" si="12"/>
        <v/>
      </c>
      <c r="Z108" s="23"/>
      <c r="AA108" s="44" t="str">
        <f t="shared" si="40"/>
        <v/>
      </c>
      <c r="AB108" s="25"/>
      <c r="AC108" s="44" t="str">
        <f t="shared" si="41"/>
        <v/>
      </c>
      <c r="AD108" s="54"/>
      <c r="AE108" s="22" t="str">
        <f t="shared" si="13"/>
        <v/>
      </c>
      <c r="AF108" s="23"/>
      <c r="AG108" s="44" t="str">
        <f t="shared" si="88"/>
        <v/>
      </c>
      <c r="AH108" s="25"/>
      <c r="AI108" s="44" t="str">
        <f t="shared" si="89"/>
        <v/>
      </c>
      <c r="AJ108" s="46">
        <v>0.0</v>
      </c>
      <c r="AK108" s="33"/>
      <c r="AL108" s="22">
        <v>1.0</v>
      </c>
      <c r="AM108" s="23" t="s">
        <v>172</v>
      </c>
      <c r="AN108" s="34">
        <v>46309.677989143514</v>
      </c>
      <c r="AO108" s="25" t="s">
        <v>69</v>
      </c>
      <c r="AP108" s="34">
        <v>46309.69580365741</v>
      </c>
      <c r="AQ108" s="29">
        <f t="shared" si="14"/>
        <v>25.65290001</v>
      </c>
      <c r="AR108" s="29">
        <f t="shared" si="15"/>
        <v>0</v>
      </c>
      <c r="AS108" s="29">
        <f t="shared" si="16"/>
        <v>0.4275483334</v>
      </c>
      <c r="AT108" s="22" t="str">
        <f t="shared" si="17"/>
        <v/>
      </c>
      <c r="AU108" s="23"/>
      <c r="AV108" s="44" t="str">
        <f t="shared" si="18"/>
        <v/>
      </c>
      <c r="AW108" s="25"/>
      <c r="AX108" s="44" t="str">
        <f t="shared" si="19"/>
        <v/>
      </c>
      <c r="AY108" s="54"/>
      <c r="AZ108" s="22" t="str">
        <f t="shared" si="20"/>
        <v/>
      </c>
      <c r="BA108" s="23"/>
      <c r="BB108" s="44" t="str">
        <f t="shared" si="21"/>
        <v/>
      </c>
      <c r="BC108" s="25"/>
      <c r="BD108" s="44" t="str">
        <f t="shared" si="22"/>
        <v/>
      </c>
      <c r="BE108" s="54"/>
      <c r="BF108" s="22" t="str">
        <f t="shared" si="23"/>
        <v/>
      </c>
      <c r="BG108" s="23"/>
      <c r="BH108" s="44" t="str">
        <f t="shared" si="86"/>
        <v/>
      </c>
      <c r="BI108" s="25"/>
      <c r="BJ108" s="44" t="str">
        <f t="shared" si="87"/>
        <v/>
      </c>
      <c r="BK108" s="46">
        <v>0.0</v>
      </c>
      <c r="BL108" s="33"/>
      <c r="BM108" s="22" t="str">
        <f t="shared" si="24"/>
        <v/>
      </c>
      <c r="BN108" s="23"/>
      <c r="BO108" s="44" t="str">
        <f t="shared" si="25"/>
        <v/>
      </c>
      <c r="BP108" s="25"/>
      <c r="BQ108" s="44" t="str">
        <f t="shared" si="26"/>
        <v/>
      </c>
      <c r="BR108" s="29" t="str">
        <f t="shared" si="27"/>
        <v/>
      </c>
      <c r="BS108" s="29">
        <f t="shared" si="28"/>
        <v>0</v>
      </c>
      <c r="BT108" s="29">
        <f t="shared" si="29"/>
        <v>0</v>
      </c>
      <c r="BU108" s="22" t="str">
        <f t="shared" si="30"/>
        <v/>
      </c>
      <c r="BV108" s="23"/>
      <c r="BW108" s="44" t="str">
        <f t="shared" si="31"/>
        <v/>
      </c>
      <c r="BX108" s="25"/>
      <c r="BY108" s="44" t="str">
        <f t="shared" si="32"/>
        <v/>
      </c>
      <c r="BZ108" s="54"/>
      <c r="CA108" s="22" t="str">
        <f t="shared" si="33"/>
        <v/>
      </c>
      <c r="CB108" s="23"/>
      <c r="CC108" s="44" t="str">
        <f t="shared" si="34"/>
        <v/>
      </c>
      <c r="CD108" s="25"/>
      <c r="CE108" s="44" t="str">
        <f t="shared" si="35"/>
        <v/>
      </c>
      <c r="CF108" s="54"/>
      <c r="CG108" s="22" t="str">
        <f t="shared" si="5"/>
        <v/>
      </c>
      <c r="CH108" s="26"/>
      <c r="CI108" s="91"/>
      <c r="CJ108" s="26"/>
      <c r="CK108" s="91"/>
      <c r="CL108" s="26"/>
    </row>
    <row r="109">
      <c r="A109" s="26">
        <f t="shared" si="58"/>
        <v>107</v>
      </c>
      <c r="B109" s="27" t="s">
        <v>406</v>
      </c>
      <c r="C109" s="27" t="s">
        <v>407</v>
      </c>
      <c r="D109" s="27"/>
      <c r="E109" s="26"/>
      <c r="F109" s="26"/>
      <c r="G109" s="20">
        <v>4.0</v>
      </c>
      <c r="H109" s="20">
        <v>3.0</v>
      </c>
      <c r="I109" s="23" t="s">
        <v>72</v>
      </c>
      <c r="J109" s="33"/>
      <c r="K109" s="22">
        <f t="shared" si="53"/>
        <v>4</v>
      </c>
      <c r="L109" s="23"/>
      <c r="M109" s="44"/>
      <c r="N109" s="25" t="s">
        <v>69</v>
      </c>
      <c r="O109" s="44"/>
      <c r="P109" s="29" t="str">
        <f t="shared" si="8"/>
        <v/>
      </c>
      <c r="Q109" s="29">
        <f t="shared" si="9"/>
        <v>0</v>
      </c>
      <c r="R109" s="29">
        <f t="shared" si="10"/>
        <v>0</v>
      </c>
      <c r="S109" s="22" t="str">
        <f t="shared" si="11"/>
        <v/>
      </c>
      <c r="T109" s="23"/>
      <c r="U109" s="44" t="str">
        <f t="shared" si="49"/>
        <v/>
      </c>
      <c r="V109" s="25"/>
      <c r="W109" s="44" t="str">
        <f t="shared" si="50"/>
        <v/>
      </c>
      <c r="X109" s="54"/>
      <c r="Y109" s="22" t="str">
        <f t="shared" si="12"/>
        <v/>
      </c>
      <c r="Z109" s="23"/>
      <c r="AA109" s="44" t="str">
        <f t="shared" si="40"/>
        <v/>
      </c>
      <c r="AB109" s="25"/>
      <c r="AC109" s="44" t="str">
        <f t="shared" si="41"/>
        <v/>
      </c>
      <c r="AD109" s="54"/>
      <c r="AE109" s="22" t="str">
        <f t="shared" si="13"/>
        <v/>
      </c>
      <c r="AF109" s="23"/>
      <c r="AG109" s="44" t="str">
        <f t="shared" si="88"/>
        <v/>
      </c>
      <c r="AH109" s="25"/>
      <c r="AI109" s="44" t="str">
        <f t="shared" si="89"/>
        <v/>
      </c>
      <c r="AJ109" s="46">
        <v>0.0</v>
      </c>
      <c r="AK109" s="33"/>
      <c r="AL109" s="22">
        <v>3.0</v>
      </c>
      <c r="AM109" s="23"/>
      <c r="AN109" s="34">
        <v>46310.704760266206</v>
      </c>
      <c r="AO109" s="25" t="s">
        <v>69</v>
      </c>
      <c r="AP109" s="44">
        <f>if(AO109="Done", if(AP109="",NOW(),AP109),"")</f>
        <v>46310.89199</v>
      </c>
      <c r="AQ109" s="29">
        <f t="shared" si="14"/>
        <v>269.6053</v>
      </c>
      <c r="AR109" s="29">
        <f t="shared" si="15"/>
        <v>0</v>
      </c>
      <c r="AS109" s="29">
        <f t="shared" si="16"/>
        <v>4.493421667</v>
      </c>
      <c r="AT109" s="22" t="str">
        <f t="shared" si="17"/>
        <v/>
      </c>
      <c r="AU109" s="23"/>
      <c r="AV109" s="44" t="str">
        <f t="shared" si="18"/>
        <v/>
      </c>
      <c r="AW109" s="25"/>
      <c r="AX109" s="44" t="str">
        <f t="shared" si="19"/>
        <v/>
      </c>
      <c r="AY109" s="54"/>
      <c r="AZ109" s="22" t="str">
        <f t="shared" si="20"/>
        <v/>
      </c>
      <c r="BA109" s="23"/>
      <c r="BB109" s="44" t="str">
        <f t="shared" si="21"/>
        <v/>
      </c>
      <c r="BC109" s="25"/>
      <c r="BD109" s="44" t="str">
        <f t="shared" si="22"/>
        <v/>
      </c>
      <c r="BE109" s="54"/>
      <c r="BF109" s="22" t="str">
        <f t="shared" si="23"/>
        <v/>
      </c>
      <c r="BG109" s="23"/>
      <c r="BH109" s="44" t="str">
        <f t="shared" si="86"/>
        <v/>
      </c>
      <c r="BI109" s="25"/>
      <c r="BJ109" s="44" t="str">
        <f t="shared" si="87"/>
        <v/>
      </c>
      <c r="BK109" s="46">
        <v>0.0</v>
      </c>
      <c r="BL109" s="33"/>
      <c r="BM109" s="22" t="str">
        <f t="shared" si="24"/>
        <v/>
      </c>
      <c r="BN109" s="23"/>
      <c r="BO109" s="44" t="str">
        <f t="shared" si="25"/>
        <v/>
      </c>
      <c r="BP109" s="25"/>
      <c r="BQ109" s="44" t="str">
        <f t="shared" si="26"/>
        <v/>
      </c>
      <c r="BR109" s="29" t="str">
        <f t="shared" si="27"/>
        <v/>
      </c>
      <c r="BS109" s="29">
        <f t="shared" si="28"/>
        <v>0</v>
      </c>
      <c r="BT109" s="29">
        <f t="shared" si="29"/>
        <v>0</v>
      </c>
      <c r="BU109" s="22" t="str">
        <f t="shared" si="30"/>
        <v/>
      </c>
      <c r="BV109" s="23"/>
      <c r="BW109" s="44" t="str">
        <f t="shared" si="31"/>
        <v/>
      </c>
      <c r="BX109" s="25"/>
      <c r="BY109" s="44" t="str">
        <f t="shared" si="32"/>
        <v/>
      </c>
      <c r="BZ109" s="54"/>
      <c r="CA109" s="22" t="str">
        <f t="shared" si="33"/>
        <v/>
      </c>
      <c r="CB109" s="23"/>
      <c r="CC109" s="44" t="str">
        <f t="shared" si="34"/>
        <v/>
      </c>
      <c r="CD109" s="25"/>
      <c r="CE109" s="44" t="str">
        <f t="shared" si="35"/>
        <v/>
      </c>
      <c r="CF109" s="54"/>
      <c r="CG109" s="22" t="str">
        <f t="shared" si="5"/>
        <v/>
      </c>
      <c r="CH109" s="26"/>
      <c r="CI109" s="91"/>
      <c r="CJ109" s="26"/>
      <c r="CK109" s="91"/>
      <c r="CL109" s="26"/>
    </row>
    <row r="110">
      <c r="A110" s="26">
        <f t="shared" si="58"/>
        <v>108</v>
      </c>
      <c r="B110" s="27" t="s">
        <v>406</v>
      </c>
      <c r="C110" s="27" t="s">
        <v>408</v>
      </c>
      <c r="D110" s="27"/>
      <c r="E110" s="26"/>
      <c r="F110" s="26"/>
      <c r="G110" s="20">
        <v>1.0</v>
      </c>
      <c r="H110" s="20">
        <v>1.0</v>
      </c>
      <c r="I110" s="23" t="s">
        <v>72</v>
      </c>
      <c r="J110" s="33"/>
      <c r="K110" s="22">
        <f t="shared" si="53"/>
        <v>1</v>
      </c>
      <c r="L110" s="23" t="s">
        <v>373</v>
      </c>
      <c r="M110" s="34">
        <v>46308.60585368055</v>
      </c>
      <c r="N110" s="25" t="s">
        <v>69</v>
      </c>
      <c r="O110" s="34">
        <v>46308.645803935186</v>
      </c>
      <c r="P110" s="29">
        <f t="shared" si="8"/>
        <v>57.52836667</v>
      </c>
      <c r="Q110" s="29">
        <f t="shared" si="9"/>
        <v>0</v>
      </c>
      <c r="R110" s="29">
        <f t="shared" si="10"/>
        <v>0.9588061112</v>
      </c>
      <c r="S110" s="22" t="str">
        <f t="shared" si="11"/>
        <v/>
      </c>
      <c r="T110" s="23"/>
      <c r="U110" s="44" t="str">
        <f t="shared" si="49"/>
        <v/>
      </c>
      <c r="V110" s="25"/>
      <c r="W110" s="44" t="str">
        <f t="shared" si="50"/>
        <v/>
      </c>
      <c r="X110" s="54"/>
      <c r="Y110" s="22" t="str">
        <f t="shared" si="12"/>
        <v/>
      </c>
      <c r="Z110" s="23"/>
      <c r="AA110" s="44" t="str">
        <f t="shared" si="40"/>
        <v/>
      </c>
      <c r="AB110" s="25"/>
      <c r="AC110" s="44" t="str">
        <f t="shared" si="41"/>
        <v/>
      </c>
      <c r="AD110" s="54"/>
      <c r="AE110" s="22" t="str">
        <f t="shared" si="13"/>
        <v/>
      </c>
      <c r="AF110" s="23"/>
      <c r="AG110" s="44" t="str">
        <f t="shared" si="88"/>
        <v/>
      </c>
      <c r="AH110" s="25"/>
      <c r="AI110" s="44" t="str">
        <f t="shared" si="89"/>
        <v/>
      </c>
      <c r="AJ110" s="46">
        <v>0.0</v>
      </c>
      <c r="AK110" s="33"/>
      <c r="AL110" s="22">
        <v>1.0</v>
      </c>
      <c r="AM110" s="23" t="s">
        <v>212</v>
      </c>
      <c r="AN110" s="44">
        <f t="shared" ref="AN110:AN114" si="90">if(AM110&lt;&gt;"", if(AN110="",NOW(),AN110),"")</f>
        <v>46310.89199</v>
      </c>
      <c r="AO110" s="25" t="s">
        <v>69</v>
      </c>
      <c r="AP110" s="34">
        <v>46311.4333656713</v>
      </c>
      <c r="AQ110" s="29">
        <f t="shared" si="14"/>
        <v>779.5864833</v>
      </c>
      <c r="AR110" s="29">
        <f t="shared" si="15"/>
        <v>960</v>
      </c>
      <c r="AS110" s="29">
        <f t="shared" si="16"/>
        <v>-3.006891944</v>
      </c>
      <c r="AT110" s="22" t="str">
        <f t="shared" si="17"/>
        <v/>
      </c>
      <c r="AU110" s="23"/>
      <c r="AV110" s="44" t="str">
        <f t="shared" si="18"/>
        <v/>
      </c>
      <c r="AW110" s="25"/>
      <c r="AX110" s="44" t="str">
        <f t="shared" si="19"/>
        <v/>
      </c>
      <c r="AY110" s="54"/>
      <c r="AZ110" s="22" t="str">
        <f t="shared" si="20"/>
        <v/>
      </c>
      <c r="BA110" s="23"/>
      <c r="BB110" s="44" t="str">
        <f t="shared" si="21"/>
        <v/>
      </c>
      <c r="BC110" s="25"/>
      <c r="BD110" s="44" t="str">
        <f t="shared" si="22"/>
        <v/>
      </c>
      <c r="BE110" s="54"/>
      <c r="BF110" s="22" t="str">
        <f t="shared" si="23"/>
        <v/>
      </c>
      <c r="BG110" s="23"/>
      <c r="BH110" s="44" t="str">
        <f t="shared" si="86"/>
        <v/>
      </c>
      <c r="BI110" s="25"/>
      <c r="BJ110" s="44" t="str">
        <f t="shared" si="87"/>
        <v/>
      </c>
      <c r="BK110" s="46">
        <v>0.0</v>
      </c>
      <c r="BL110" s="33"/>
      <c r="BM110" s="22" t="str">
        <f t="shared" si="24"/>
        <v/>
      </c>
      <c r="BN110" s="23"/>
      <c r="BO110" s="44" t="str">
        <f t="shared" si="25"/>
        <v/>
      </c>
      <c r="BP110" s="25"/>
      <c r="BQ110" s="44" t="str">
        <f t="shared" si="26"/>
        <v/>
      </c>
      <c r="BR110" s="29" t="str">
        <f t="shared" si="27"/>
        <v/>
      </c>
      <c r="BS110" s="29">
        <f t="shared" si="28"/>
        <v>0</v>
      </c>
      <c r="BT110" s="29">
        <f t="shared" si="29"/>
        <v>0</v>
      </c>
      <c r="BU110" s="22" t="str">
        <f t="shared" si="30"/>
        <v/>
      </c>
      <c r="BV110" s="23"/>
      <c r="BW110" s="44" t="str">
        <f t="shared" si="31"/>
        <v/>
      </c>
      <c r="BX110" s="25"/>
      <c r="BY110" s="44" t="str">
        <f t="shared" si="32"/>
        <v/>
      </c>
      <c r="BZ110" s="54"/>
      <c r="CA110" s="22" t="str">
        <f t="shared" si="33"/>
        <v/>
      </c>
      <c r="CB110" s="23"/>
      <c r="CC110" s="44" t="str">
        <f t="shared" si="34"/>
        <v/>
      </c>
      <c r="CD110" s="25"/>
      <c r="CE110" s="44" t="str">
        <f t="shared" si="35"/>
        <v/>
      </c>
      <c r="CF110" s="54"/>
      <c r="CG110" s="22" t="str">
        <f t="shared" si="5"/>
        <v/>
      </c>
      <c r="CH110" s="26"/>
      <c r="CI110" s="91"/>
      <c r="CJ110" s="26"/>
      <c r="CK110" s="91"/>
      <c r="CL110" s="26"/>
    </row>
    <row r="111">
      <c r="A111" s="26">
        <f t="shared" si="58"/>
        <v>109</v>
      </c>
      <c r="B111" s="27" t="s">
        <v>409</v>
      </c>
      <c r="C111" s="27" t="s">
        <v>410</v>
      </c>
      <c r="D111" s="27"/>
      <c r="E111" s="26"/>
      <c r="F111" s="26"/>
      <c r="G111" s="20">
        <v>1.0</v>
      </c>
      <c r="H111" s="20">
        <v>1.0</v>
      </c>
      <c r="I111" s="23" t="s">
        <v>72</v>
      </c>
      <c r="J111" s="33"/>
      <c r="K111" s="22">
        <f t="shared" si="53"/>
        <v>1</v>
      </c>
      <c r="L111" s="23" t="s">
        <v>73</v>
      </c>
      <c r="M111" s="34">
        <v>46308.486419884255</v>
      </c>
      <c r="N111" s="25" t="s">
        <v>69</v>
      </c>
      <c r="O111" s="34">
        <v>46308.55877071759</v>
      </c>
      <c r="P111" s="29">
        <f t="shared" si="8"/>
        <v>104.1852</v>
      </c>
      <c r="Q111" s="29">
        <f t="shared" si="9"/>
        <v>60</v>
      </c>
      <c r="R111" s="29">
        <f t="shared" si="10"/>
        <v>0.73642</v>
      </c>
      <c r="S111" s="22" t="str">
        <f t="shared" si="11"/>
        <v/>
      </c>
      <c r="T111" s="23"/>
      <c r="U111" s="44" t="str">
        <f t="shared" si="49"/>
        <v/>
      </c>
      <c r="V111" s="25"/>
      <c r="W111" s="44" t="str">
        <f t="shared" si="50"/>
        <v/>
      </c>
      <c r="X111" s="54"/>
      <c r="Y111" s="22" t="str">
        <f t="shared" si="12"/>
        <v/>
      </c>
      <c r="Z111" s="23"/>
      <c r="AA111" s="44" t="str">
        <f t="shared" si="40"/>
        <v/>
      </c>
      <c r="AB111" s="25"/>
      <c r="AC111" s="44" t="str">
        <f t="shared" si="41"/>
        <v/>
      </c>
      <c r="AD111" s="54"/>
      <c r="AE111" s="22" t="str">
        <f t="shared" si="13"/>
        <v/>
      </c>
      <c r="AF111" s="23"/>
      <c r="AG111" s="44" t="str">
        <f t="shared" si="88"/>
        <v/>
      </c>
      <c r="AH111" s="25"/>
      <c r="AI111" s="44" t="str">
        <f t="shared" si="89"/>
        <v/>
      </c>
      <c r="AJ111" s="46">
        <v>0.0</v>
      </c>
      <c r="AK111" s="33"/>
      <c r="AL111" s="22">
        <v>1.0</v>
      </c>
      <c r="AM111" s="23"/>
      <c r="AN111" s="44" t="str">
        <f t="shared" si="90"/>
        <v/>
      </c>
      <c r="AO111" s="25"/>
      <c r="AP111" s="44" t="str">
        <f>if(AO111="Done", if(AP111="",NOW(),AP111),"")</f>
        <v/>
      </c>
      <c r="AQ111" s="29" t="str">
        <f t="shared" si="14"/>
        <v/>
      </c>
      <c r="AR111" s="29">
        <f t="shared" si="15"/>
        <v>0</v>
      </c>
      <c r="AS111" s="29">
        <f t="shared" si="16"/>
        <v>0</v>
      </c>
      <c r="AT111" s="22" t="str">
        <f t="shared" si="17"/>
        <v/>
      </c>
      <c r="AU111" s="23"/>
      <c r="AV111" s="44" t="str">
        <f t="shared" si="18"/>
        <v/>
      </c>
      <c r="AW111" s="25"/>
      <c r="AX111" s="44" t="str">
        <f t="shared" si="19"/>
        <v/>
      </c>
      <c r="AY111" s="54"/>
      <c r="AZ111" s="22" t="str">
        <f t="shared" si="20"/>
        <v/>
      </c>
      <c r="BA111" s="23"/>
      <c r="BB111" s="44" t="str">
        <f t="shared" si="21"/>
        <v/>
      </c>
      <c r="BC111" s="25"/>
      <c r="BD111" s="44" t="str">
        <f t="shared" si="22"/>
        <v/>
      </c>
      <c r="BE111" s="54"/>
      <c r="BF111" s="22" t="str">
        <f t="shared" si="23"/>
        <v/>
      </c>
      <c r="BG111" s="23"/>
      <c r="BH111" s="44" t="str">
        <f t="shared" si="86"/>
        <v/>
      </c>
      <c r="BI111" s="25"/>
      <c r="BJ111" s="44" t="str">
        <f t="shared" si="87"/>
        <v/>
      </c>
      <c r="BK111" s="46">
        <v>0.0</v>
      </c>
      <c r="BL111" s="33"/>
      <c r="BM111" s="22" t="str">
        <f t="shared" si="24"/>
        <v/>
      </c>
      <c r="BN111" s="23"/>
      <c r="BO111" s="44" t="str">
        <f t="shared" si="25"/>
        <v/>
      </c>
      <c r="BP111" s="25"/>
      <c r="BQ111" s="44" t="str">
        <f t="shared" si="26"/>
        <v/>
      </c>
      <c r="BR111" s="29" t="str">
        <f t="shared" si="27"/>
        <v/>
      </c>
      <c r="BS111" s="29">
        <f t="shared" si="28"/>
        <v>0</v>
      </c>
      <c r="BT111" s="29">
        <f t="shared" si="29"/>
        <v>0</v>
      </c>
      <c r="BU111" s="22" t="str">
        <f t="shared" si="30"/>
        <v/>
      </c>
      <c r="BV111" s="23"/>
      <c r="BW111" s="44" t="str">
        <f t="shared" si="31"/>
        <v/>
      </c>
      <c r="BX111" s="25"/>
      <c r="BY111" s="44" t="str">
        <f t="shared" si="32"/>
        <v/>
      </c>
      <c r="BZ111" s="54"/>
      <c r="CA111" s="22" t="str">
        <f t="shared" si="33"/>
        <v/>
      </c>
      <c r="CB111" s="23"/>
      <c r="CC111" s="44" t="str">
        <f t="shared" si="34"/>
        <v/>
      </c>
      <c r="CD111" s="25"/>
      <c r="CE111" s="44" t="str">
        <f t="shared" si="35"/>
        <v/>
      </c>
      <c r="CF111" s="54"/>
      <c r="CG111" s="22" t="str">
        <f t="shared" si="5"/>
        <v/>
      </c>
      <c r="CH111" s="26"/>
      <c r="CI111" s="91"/>
      <c r="CJ111" s="26"/>
      <c r="CK111" s="91"/>
      <c r="CL111" s="26"/>
    </row>
    <row r="112">
      <c r="A112" s="26">
        <f t="shared" si="58"/>
        <v>110</v>
      </c>
      <c r="B112" s="27" t="s">
        <v>409</v>
      </c>
      <c r="C112" s="27" t="s">
        <v>411</v>
      </c>
      <c r="D112" s="27"/>
      <c r="E112" s="26"/>
      <c r="F112" s="26"/>
      <c r="G112" s="20">
        <v>2.0</v>
      </c>
      <c r="H112" s="20">
        <v>2.0</v>
      </c>
      <c r="I112" s="23" t="s">
        <v>72</v>
      </c>
      <c r="J112" s="33"/>
      <c r="K112" s="22">
        <f t="shared" si="53"/>
        <v>2</v>
      </c>
      <c r="L112" s="23" t="s">
        <v>176</v>
      </c>
      <c r="M112" s="34">
        <v>46309.39524081019</v>
      </c>
      <c r="N112" s="25" t="s">
        <v>69</v>
      </c>
      <c r="O112" s="34">
        <v>46309.5466590625</v>
      </c>
      <c r="P112" s="29">
        <f t="shared" si="8"/>
        <v>218.0422833</v>
      </c>
      <c r="Q112" s="29">
        <f t="shared" si="9"/>
        <v>60</v>
      </c>
      <c r="R112" s="29">
        <f t="shared" si="10"/>
        <v>2.634038055</v>
      </c>
      <c r="S112" s="22" t="str">
        <f t="shared" si="11"/>
        <v/>
      </c>
      <c r="T112" s="23"/>
      <c r="U112" s="44" t="str">
        <f t="shared" si="49"/>
        <v/>
      </c>
      <c r="V112" s="25"/>
      <c r="W112" s="44" t="str">
        <f t="shared" si="50"/>
        <v/>
      </c>
      <c r="X112" s="54"/>
      <c r="Y112" s="22" t="str">
        <f t="shared" si="12"/>
        <v/>
      </c>
      <c r="Z112" s="23"/>
      <c r="AA112" s="44" t="str">
        <f t="shared" si="40"/>
        <v/>
      </c>
      <c r="AB112" s="25"/>
      <c r="AC112" s="44" t="str">
        <f t="shared" si="41"/>
        <v/>
      </c>
      <c r="AD112" s="54"/>
      <c r="AE112" s="22" t="str">
        <f t="shared" si="13"/>
        <v/>
      </c>
      <c r="AF112" s="23"/>
      <c r="AG112" s="44" t="str">
        <f t="shared" si="88"/>
        <v/>
      </c>
      <c r="AH112" s="25"/>
      <c r="AI112" s="44" t="str">
        <f t="shared" si="89"/>
        <v/>
      </c>
      <c r="AJ112" s="46">
        <v>0.0</v>
      </c>
      <c r="AK112" s="33"/>
      <c r="AL112" s="22">
        <v>2.0</v>
      </c>
      <c r="AM112" s="23" t="s">
        <v>289</v>
      </c>
      <c r="AN112" s="44">
        <f t="shared" si="90"/>
        <v>46311.65274</v>
      </c>
      <c r="AO112" s="25" t="s">
        <v>69</v>
      </c>
      <c r="AP112" s="34">
        <v>46311.69937833333</v>
      </c>
      <c r="AQ112" s="29">
        <f t="shared" si="14"/>
        <v>67.15363334</v>
      </c>
      <c r="AR112" s="29">
        <f t="shared" si="15"/>
        <v>0</v>
      </c>
      <c r="AS112" s="29">
        <f t="shared" si="16"/>
        <v>1.119227222</v>
      </c>
      <c r="AT112" s="22" t="str">
        <f t="shared" si="17"/>
        <v/>
      </c>
      <c r="AU112" s="23"/>
      <c r="AV112" s="44" t="str">
        <f t="shared" si="18"/>
        <v/>
      </c>
      <c r="AW112" s="25"/>
      <c r="AX112" s="44" t="str">
        <f t="shared" si="19"/>
        <v/>
      </c>
      <c r="AY112" s="54"/>
      <c r="AZ112" s="22" t="str">
        <f t="shared" si="20"/>
        <v/>
      </c>
      <c r="BA112" s="23"/>
      <c r="BB112" s="44" t="str">
        <f t="shared" si="21"/>
        <v/>
      </c>
      <c r="BC112" s="25"/>
      <c r="BD112" s="44" t="str">
        <f t="shared" si="22"/>
        <v/>
      </c>
      <c r="BE112" s="54"/>
      <c r="BF112" s="22" t="str">
        <f t="shared" si="23"/>
        <v/>
      </c>
      <c r="BG112" s="23"/>
      <c r="BH112" s="44" t="str">
        <f t="shared" si="86"/>
        <v/>
      </c>
      <c r="BI112" s="25"/>
      <c r="BJ112" s="44" t="str">
        <f t="shared" si="87"/>
        <v/>
      </c>
      <c r="BK112" s="46">
        <v>0.0</v>
      </c>
      <c r="BL112" s="33"/>
      <c r="BM112" s="22" t="str">
        <f t="shared" si="24"/>
        <v/>
      </c>
      <c r="BN112" s="23"/>
      <c r="BO112" s="44" t="str">
        <f t="shared" si="25"/>
        <v/>
      </c>
      <c r="BP112" s="25"/>
      <c r="BQ112" s="44" t="str">
        <f t="shared" si="26"/>
        <v/>
      </c>
      <c r="BR112" s="29" t="str">
        <f t="shared" si="27"/>
        <v/>
      </c>
      <c r="BS112" s="29">
        <f t="shared" si="28"/>
        <v>0</v>
      </c>
      <c r="BT112" s="29">
        <f t="shared" si="29"/>
        <v>0</v>
      </c>
      <c r="BU112" s="22" t="str">
        <f t="shared" si="30"/>
        <v/>
      </c>
      <c r="BV112" s="23"/>
      <c r="BW112" s="44" t="str">
        <f t="shared" si="31"/>
        <v/>
      </c>
      <c r="BX112" s="25"/>
      <c r="BY112" s="44" t="str">
        <f t="shared" si="32"/>
        <v/>
      </c>
      <c r="BZ112" s="54"/>
      <c r="CA112" s="22" t="str">
        <f t="shared" si="33"/>
        <v/>
      </c>
      <c r="CB112" s="23"/>
      <c r="CC112" s="44" t="str">
        <f t="shared" si="34"/>
        <v/>
      </c>
      <c r="CD112" s="25"/>
      <c r="CE112" s="44" t="str">
        <f t="shared" si="35"/>
        <v/>
      </c>
      <c r="CF112" s="54"/>
      <c r="CG112" s="22" t="str">
        <f t="shared" si="5"/>
        <v/>
      </c>
      <c r="CH112" s="26"/>
      <c r="CI112" s="91"/>
      <c r="CJ112" s="26"/>
      <c r="CK112" s="91"/>
      <c r="CL112" s="26"/>
    </row>
    <row r="113">
      <c r="A113" s="26">
        <f t="shared" si="58"/>
        <v>111</v>
      </c>
      <c r="B113" s="27" t="s">
        <v>409</v>
      </c>
      <c r="C113" s="27" t="s">
        <v>412</v>
      </c>
      <c r="D113" s="27"/>
      <c r="E113" s="26"/>
      <c r="F113" s="26"/>
      <c r="G113" s="20">
        <v>1.0</v>
      </c>
      <c r="H113" s="20">
        <v>1.0</v>
      </c>
      <c r="I113" s="23" t="s">
        <v>72</v>
      </c>
      <c r="J113" s="33"/>
      <c r="K113" s="22">
        <f t="shared" si="53"/>
        <v>1</v>
      </c>
      <c r="L113" s="23" t="s">
        <v>176</v>
      </c>
      <c r="M113" s="34">
        <v>46309.56487369213</v>
      </c>
      <c r="N113" s="25" t="s">
        <v>69</v>
      </c>
      <c r="O113" s="34">
        <v>46309.58978873843</v>
      </c>
      <c r="P113" s="29">
        <f t="shared" si="8"/>
        <v>35.87766667</v>
      </c>
      <c r="Q113" s="29">
        <f t="shared" si="9"/>
        <v>0</v>
      </c>
      <c r="R113" s="29">
        <f t="shared" si="10"/>
        <v>0.5979611112</v>
      </c>
      <c r="S113" s="22" t="str">
        <f t="shared" si="11"/>
        <v/>
      </c>
      <c r="T113" s="23"/>
      <c r="U113" s="44" t="str">
        <f t="shared" si="49"/>
        <v/>
      </c>
      <c r="V113" s="25"/>
      <c r="W113" s="44" t="str">
        <f t="shared" si="50"/>
        <v/>
      </c>
      <c r="X113" s="54"/>
      <c r="Y113" s="22" t="str">
        <f t="shared" si="12"/>
        <v/>
      </c>
      <c r="Z113" s="23"/>
      <c r="AA113" s="44" t="str">
        <f t="shared" si="40"/>
        <v/>
      </c>
      <c r="AB113" s="25"/>
      <c r="AC113" s="44" t="str">
        <f t="shared" si="41"/>
        <v/>
      </c>
      <c r="AD113" s="54"/>
      <c r="AE113" s="22" t="str">
        <f t="shared" si="13"/>
        <v/>
      </c>
      <c r="AF113" s="23"/>
      <c r="AG113" s="44" t="str">
        <f t="shared" si="88"/>
        <v/>
      </c>
      <c r="AH113" s="25"/>
      <c r="AI113" s="44" t="str">
        <f t="shared" si="89"/>
        <v/>
      </c>
      <c r="AJ113" s="46">
        <v>0.0</v>
      </c>
      <c r="AK113" s="33"/>
      <c r="AL113" s="22">
        <v>1.0</v>
      </c>
      <c r="AM113" s="23" t="s">
        <v>289</v>
      </c>
      <c r="AN113" s="44">
        <f t="shared" si="90"/>
        <v>46311.5609</v>
      </c>
      <c r="AO113" s="25" t="s">
        <v>69</v>
      </c>
      <c r="AP113" s="34">
        <v>46311.57792571759</v>
      </c>
      <c r="AQ113" s="29">
        <f t="shared" si="14"/>
        <v>24.52371666</v>
      </c>
      <c r="AR113" s="29">
        <f t="shared" si="15"/>
        <v>0</v>
      </c>
      <c r="AS113" s="29">
        <f t="shared" si="16"/>
        <v>0.4087286111</v>
      </c>
      <c r="AT113" s="22" t="str">
        <f t="shared" si="17"/>
        <v/>
      </c>
      <c r="AU113" s="23"/>
      <c r="AV113" s="44" t="str">
        <f t="shared" si="18"/>
        <v/>
      </c>
      <c r="AW113" s="25"/>
      <c r="AX113" s="44" t="str">
        <f t="shared" si="19"/>
        <v/>
      </c>
      <c r="AY113" s="54"/>
      <c r="AZ113" s="22" t="str">
        <f t="shared" si="20"/>
        <v/>
      </c>
      <c r="BA113" s="23"/>
      <c r="BB113" s="44" t="str">
        <f t="shared" si="21"/>
        <v/>
      </c>
      <c r="BC113" s="25"/>
      <c r="BD113" s="44" t="str">
        <f t="shared" si="22"/>
        <v/>
      </c>
      <c r="BE113" s="54"/>
      <c r="BF113" s="22" t="str">
        <f t="shared" si="23"/>
        <v/>
      </c>
      <c r="BG113" s="23"/>
      <c r="BH113" s="44" t="str">
        <f t="shared" si="86"/>
        <v/>
      </c>
      <c r="BI113" s="25"/>
      <c r="BJ113" s="44" t="str">
        <f t="shared" si="87"/>
        <v/>
      </c>
      <c r="BK113" s="46">
        <v>0.0</v>
      </c>
      <c r="BL113" s="33"/>
      <c r="BM113" s="22" t="str">
        <f t="shared" si="24"/>
        <v/>
      </c>
      <c r="BN113" s="23"/>
      <c r="BO113" s="44" t="str">
        <f t="shared" si="25"/>
        <v/>
      </c>
      <c r="BP113" s="25"/>
      <c r="BQ113" s="44" t="str">
        <f t="shared" si="26"/>
        <v/>
      </c>
      <c r="BR113" s="29" t="str">
        <f t="shared" si="27"/>
        <v/>
      </c>
      <c r="BS113" s="29">
        <f t="shared" si="28"/>
        <v>0</v>
      </c>
      <c r="BT113" s="29">
        <f t="shared" si="29"/>
        <v>0</v>
      </c>
      <c r="BU113" s="22" t="str">
        <f t="shared" si="30"/>
        <v/>
      </c>
      <c r="BV113" s="23"/>
      <c r="BW113" s="44" t="str">
        <f t="shared" si="31"/>
        <v/>
      </c>
      <c r="BX113" s="25"/>
      <c r="BY113" s="44" t="str">
        <f t="shared" si="32"/>
        <v/>
      </c>
      <c r="BZ113" s="54"/>
      <c r="CA113" s="22" t="str">
        <f t="shared" si="33"/>
        <v/>
      </c>
      <c r="CB113" s="23"/>
      <c r="CC113" s="44" t="str">
        <f t="shared" si="34"/>
        <v/>
      </c>
      <c r="CD113" s="25"/>
      <c r="CE113" s="44" t="str">
        <f t="shared" si="35"/>
        <v/>
      </c>
      <c r="CF113" s="54"/>
      <c r="CG113" s="22" t="str">
        <f t="shared" si="5"/>
        <v/>
      </c>
      <c r="CH113" s="26"/>
      <c r="CI113" s="91"/>
      <c r="CJ113" s="26"/>
      <c r="CK113" s="91"/>
      <c r="CL113" s="26"/>
    </row>
    <row r="114">
      <c r="A114" s="26">
        <f t="shared" si="58"/>
        <v>112</v>
      </c>
      <c r="B114" s="27" t="s">
        <v>409</v>
      </c>
      <c r="C114" s="27" t="s">
        <v>413</v>
      </c>
      <c r="D114" s="27"/>
      <c r="E114" s="26"/>
      <c r="F114" s="26"/>
      <c r="G114" s="20">
        <v>1.0</v>
      </c>
      <c r="H114" s="20">
        <v>1.0</v>
      </c>
      <c r="I114" s="23" t="s">
        <v>72</v>
      </c>
      <c r="J114" s="33"/>
      <c r="K114" s="22">
        <f t="shared" si="53"/>
        <v>1</v>
      </c>
      <c r="L114" s="23" t="s">
        <v>172</v>
      </c>
      <c r="M114" s="34">
        <v>46310.550116342594</v>
      </c>
      <c r="N114" s="25" t="s">
        <v>69</v>
      </c>
      <c r="O114" s="34">
        <v>46310.56997650463</v>
      </c>
      <c r="P114" s="29">
        <f t="shared" si="8"/>
        <v>28.59863333</v>
      </c>
      <c r="Q114" s="29">
        <f t="shared" si="9"/>
        <v>0</v>
      </c>
      <c r="R114" s="29">
        <f t="shared" si="10"/>
        <v>0.4766438889</v>
      </c>
      <c r="S114" s="22" t="str">
        <f t="shared" si="11"/>
        <v/>
      </c>
      <c r="T114" s="23"/>
      <c r="U114" s="44" t="str">
        <f t="shared" si="49"/>
        <v/>
      </c>
      <c r="V114" s="25"/>
      <c r="W114" s="44" t="str">
        <f t="shared" si="50"/>
        <v/>
      </c>
      <c r="X114" s="54"/>
      <c r="Y114" s="22" t="str">
        <f t="shared" si="12"/>
        <v/>
      </c>
      <c r="Z114" s="23"/>
      <c r="AA114" s="44" t="str">
        <f t="shared" si="40"/>
        <v/>
      </c>
      <c r="AB114" s="25"/>
      <c r="AC114" s="44" t="str">
        <f t="shared" si="41"/>
        <v/>
      </c>
      <c r="AD114" s="54"/>
      <c r="AE114" s="22" t="str">
        <f t="shared" si="13"/>
        <v/>
      </c>
      <c r="AF114" s="23"/>
      <c r="AG114" s="44" t="str">
        <f t="shared" si="88"/>
        <v/>
      </c>
      <c r="AH114" s="25"/>
      <c r="AI114" s="44" t="str">
        <f t="shared" si="89"/>
        <v/>
      </c>
      <c r="AJ114" s="46">
        <v>0.0</v>
      </c>
      <c r="AK114" s="33"/>
      <c r="AL114" s="22">
        <v>1.0</v>
      </c>
      <c r="AM114" s="23" t="s">
        <v>172</v>
      </c>
      <c r="AN114" s="44">
        <f t="shared" si="90"/>
        <v>46310.61348</v>
      </c>
      <c r="AO114" s="25" t="s">
        <v>69</v>
      </c>
      <c r="AP114" s="34">
        <v>46310.640504525465</v>
      </c>
      <c r="AQ114" s="29">
        <f t="shared" si="14"/>
        <v>38.90863334</v>
      </c>
      <c r="AR114" s="29">
        <f t="shared" si="15"/>
        <v>0</v>
      </c>
      <c r="AS114" s="29">
        <f t="shared" si="16"/>
        <v>0.6484772223</v>
      </c>
      <c r="AT114" s="22" t="str">
        <f t="shared" si="17"/>
        <v/>
      </c>
      <c r="AU114" s="23"/>
      <c r="AV114" s="44" t="str">
        <f t="shared" si="18"/>
        <v/>
      </c>
      <c r="AW114" s="25"/>
      <c r="AX114" s="44" t="str">
        <f t="shared" si="19"/>
        <v/>
      </c>
      <c r="AY114" s="54"/>
      <c r="AZ114" s="22" t="str">
        <f t="shared" si="20"/>
        <v/>
      </c>
      <c r="BA114" s="23"/>
      <c r="BB114" s="44" t="str">
        <f t="shared" si="21"/>
        <v/>
      </c>
      <c r="BC114" s="25"/>
      <c r="BD114" s="44" t="str">
        <f t="shared" si="22"/>
        <v/>
      </c>
      <c r="BE114" s="54"/>
      <c r="BF114" s="22" t="str">
        <f t="shared" si="23"/>
        <v/>
      </c>
      <c r="BG114" s="23"/>
      <c r="BH114" s="44" t="str">
        <f t="shared" si="86"/>
        <v/>
      </c>
      <c r="BI114" s="25"/>
      <c r="BJ114" s="44" t="str">
        <f t="shared" si="87"/>
        <v/>
      </c>
      <c r="BK114" s="46">
        <v>0.0</v>
      </c>
      <c r="BL114" s="33"/>
      <c r="BM114" s="22" t="str">
        <f t="shared" si="24"/>
        <v/>
      </c>
      <c r="BN114" s="23"/>
      <c r="BO114" s="44" t="str">
        <f t="shared" si="25"/>
        <v/>
      </c>
      <c r="BP114" s="25"/>
      <c r="BQ114" s="44" t="str">
        <f t="shared" si="26"/>
        <v/>
      </c>
      <c r="BR114" s="29" t="str">
        <f t="shared" si="27"/>
        <v/>
      </c>
      <c r="BS114" s="29">
        <f t="shared" si="28"/>
        <v>0</v>
      </c>
      <c r="BT114" s="29">
        <f t="shared" si="29"/>
        <v>0</v>
      </c>
      <c r="BU114" s="22" t="str">
        <f t="shared" si="30"/>
        <v/>
      </c>
      <c r="BV114" s="23"/>
      <c r="BW114" s="44" t="str">
        <f t="shared" si="31"/>
        <v/>
      </c>
      <c r="BX114" s="25"/>
      <c r="BY114" s="44" t="str">
        <f t="shared" si="32"/>
        <v/>
      </c>
      <c r="BZ114" s="54"/>
      <c r="CA114" s="22" t="str">
        <f t="shared" si="33"/>
        <v/>
      </c>
      <c r="CB114" s="23"/>
      <c r="CC114" s="44" t="str">
        <f t="shared" si="34"/>
        <v/>
      </c>
      <c r="CD114" s="25"/>
      <c r="CE114" s="44" t="str">
        <f t="shared" si="35"/>
        <v/>
      </c>
      <c r="CF114" s="54"/>
      <c r="CG114" s="22" t="str">
        <f t="shared" si="5"/>
        <v/>
      </c>
      <c r="CH114" s="26"/>
      <c r="CI114" s="91"/>
      <c r="CJ114" s="26"/>
      <c r="CK114" s="91"/>
      <c r="CL114" s="26"/>
    </row>
    <row r="115">
      <c r="A115" s="26">
        <f t="shared" si="58"/>
        <v>113</v>
      </c>
      <c r="B115" s="27" t="s">
        <v>409</v>
      </c>
      <c r="C115" s="27" t="s">
        <v>414</v>
      </c>
      <c r="D115" s="27"/>
      <c r="E115" s="26"/>
      <c r="F115" s="26"/>
      <c r="G115" s="20">
        <v>3.0</v>
      </c>
      <c r="H115" s="20">
        <v>1.0</v>
      </c>
      <c r="I115" s="23" t="s">
        <v>72</v>
      </c>
      <c r="J115" s="33"/>
      <c r="K115" s="22">
        <f t="shared" si="53"/>
        <v>3</v>
      </c>
      <c r="L115" s="23" t="s">
        <v>272</v>
      </c>
      <c r="M115" s="34">
        <v>46308.65550325232</v>
      </c>
      <c r="N115" s="25" t="s">
        <v>69</v>
      </c>
      <c r="O115" s="34">
        <v>46309.428696944444</v>
      </c>
      <c r="P115" s="29">
        <f t="shared" si="8"/>
        <v>1113.398917</v>
      </c>
      <c r="Q115" s="29">
        <f t="shared" si="9"/>
        <v>960</v>
      </c>
      <c r="R115" s="29">
        <f t="shared" si="10"/>
        <v>2.556648611</v>
      </c>
      <c r="S115" s="22" t="str">
        <f t="shared" si="11"/>
        <v/>
      </c>
      <c r="T115" s="23"/>
      <c r="U115" s="44" t="str">
        <f t="shared" si="49"/>
        <v/>
      </c>
      <c r="V115" s="25"/>
      <c r="W115" s="44" t="str">
        <f t="shared" si="50"/>
        <v/>
      </c>
      <c r="X115" s="54"/>
      <c r="Y115" s="22" t="str">
        <f t="shared" si="12"/>
        <v/>
      </c>
      <c r="Z115" s="23"/>
      <c r="AA115" s="44" t="str">
        <f t="shared" si="40"/>
        <v/>
      </c>
      <c r="AB115" s="25"/>
      <c r="AC115" s="44" t="str">
        <f t="shared" si="41"/>
        <v/>
      </c>
      <c r="AD115" s="54"/>
      <c r="AE115" s="22" t="str">
        <f t="shared" si="13"/>
        <v/>
      </c>
      <c r="AF115" s="23"/>
      <c r="AG115" s="44" t="str">
        <f t="shared" si="88"/>
        <v/>
      </c>
      <c r="AH115" s="25"/>
      <c r="AI115" s="44" t="str">
        <f t="shared" si="89"/>
        <v/>
      </c>
      <c r="AJ115" s="46">
        <v>0.0</v>
      </c>
      <c r="AK115" s="33"/>
      <c r="AL115" s="22">
        <v>1.0</v>
      </c>
      <c r="AM115" s="23" t="s">
        <v>272</v>
      </c>
      <c r="AN115" s="34">
        <v>46309.43827466435</v>
      </c>
      <c r="AO115" s="25" t="s">
        <v>69</v>
      </c>
      <c r="AP115" s="34">
        <v>46309.477476817134</v>
      </c>
      <c r="AQ115" s="29">
        <f t="shared" si="14"/>
        <v>56.4511</v>
      </c>
      <c r="AR115" s="29">
        <f t="shared" si="15"/>
        <v>0</v>
      </c>
      <c r="AS115" s="29">
        <f t="shared" si="16"/>
        <v>0.9408516667</v>
      </c>
      <c r="AT115" s="22" t="str">
        <f t="shared" si="17"/>
        <v/>
      </c>
      <c r="AU115" s="23"/>
      <c r="AV115" s="44" t="str">
        <f t="shared" si="18"/>
        <v/>
      </c>
      <c r="AW115" s="25"/>
      <c r="AX115" s="44" t="str">
        <f t="shared" si="19"/>
        <v/>
      </c>
      <c r="AY115" s="54"/>
      <c r="AZ115" s="22" t="str">
        <f t="shared" si="20"/>
        <v/>
      </c>
      <c r="BA115" s="23"/>
      <c r="BB115" s="44" t="str">
        <f t="shared" si="21"/>
        <v/>
      </c>
      <c r="BC115" s="25"/>
      <c r="BD115" s="44" t="str">
        <f t="shared" si="22"/>
        <v/>
      </c>
      <c r="BE115" s="54"/>
      <c r="BF115" s="22" t="str">
        <f t="shared" si="23"/>
        <v/>
      </c>
      <c r="BG115" s="23"/>
      <c r="BH115" s="44" t="str">
        <f t="shared" si="86"/>
        <v/>
      </c>
      <c r="BI115" s="25"/>
      <c r="BJ115" s="44" t="str">
        <f t="shared" si="87"/>
        <v/>
      </c>
      <c r="BK115" s="46">
        <v>0.0</v>
      </c>
      <c r="BL115" s="33"/>
      <c r="BM115" s="22" t="str">
        <f t="shared" si="24"/>
        <v/>
      </c>
      <c r="BN115" s="23"/>
      <c r="BO115" s="44" t="str">
        <f t="shared" si="25"/>
        <v/>
      </c>
      <c r="BP115" s="25"/>
      <c r="BQ115" s="44" t="str">
        <f t="shared" si="26"/>
        <v/>
      </c>
      <c r="BR115" s="29" t="str">
        <f t="shared" si="27"/>
        <v/>
      </c>
      <c r="BS115" s="29">
        <f t="shared" si="28"/>
        <v>0</v>
      </c>
      <c r="BT115" s="29">
        <f t="shared" si="29"/>
        <v>0</v>
      </c>
      <c r="BU115" s="22" t="str">
        <f t="shared" si="30"/>
        <v/>
      </c>
      <c r="BV115" s="23"/>
      <c r="BW115" s="44" t="str">
        <f t="shared" si="31"/>
        <v/>
      </c>
      <c r="BX115" s="25"/>
      <c r="BY115" s="44" t="str">
        <f t="shared" si="32"/>
        <v/>
      </c>
      <c r="BZ115" s="54"/>
      <c r="CA115" s="22" t="str">
        <f t="shared" si="33"/>
        <v/>
      </c>
      <c r="CB115" s="23"/>
      <c r="CC115" s="44" t="str">
        <f t="shared" si="34"/>
        <v/>
      </c>
      <c r="CD115" s="25"/>
      <c r="CE115" s="44" t="str">
        <f t="shared" si="35"/>
        <v/>
      </c>
      <c r="CF115" s="54"/>
      <c r="CG115" s="22" t="str">
        <f t="shared" si="5"/>
        <v/>
      </c>
      <c r="CH115" s="26"/>
      <c r="CI115" s="91"/>
      <c r="CJ115" s="26"/>
      <c r="CK115" s="91"/>
      <c r="CL115" s="26"/>
    </row>
    <row r="116">
      <c r="A116" s="26">
        <f t="shared" si="58"/>
        <v>114</v>
      </c>
      <c r="B116" s="27" t="s">
        <v>409</v>
      </c>
      <c r="C116" s="27" t="s">
        <v>415</v>
      </c>
      <c r="D116" s="27"/>
      <c r="E116" s="26"/>
      <c r="F116" s="26"/>
      <c r="G116" s="20">
        <v>1.0</v>
      </c>
      <c r="H116" s="20">
        <v>1.0</v>
      </c>
      <c r="I116" s="23" t="s">
        <v>72</v>
      </c>
      <c r="J116" s="33"/>
      <c r="K116" s="22">
        <f t="shared" si="53"/>
        <v>1</v>
      </c>
      <c r="L116" s="23" t="s">
        <v>104</v>
      </c>
      <c r="M116" s="34">
        <v>46307.67471576389</v>
      </c>
      <c r="N116" s="25" t="s">
        <v>69</v>
      </c>
      <c r="O116" s="34">
        <v>46308.39172850695</v>
      </c>
      <c r="P116" s="29">
        <f t="shared" si="8"/>
        <v>1032.49835</v>
      </c>
      <c r="Q116" s="29">
        <f t="shared" si="9"/>
        <v>960</v>
      </c>
      <c r="R116" s="29">
        <f t="shared" si="10"/>
        <v>1.208305833</v>
      </c>
      <c r="S116" s="22" t="str">
        <f t="shared" si="11"/>
        <v/>
      </c>
      <c r="T116" s="23"/>
      <c r="U116" s="44" t="str">
        <f t="shared" si="49"/>
        <v/>
      </c>
      <c r="V116" s="25"/>
      <c r="W116" s="44" t="str">
        <f t="shared" si="50"/>
        <v/>
      </c>
      <c r="X116" s="54"/>
      <c r="Y116" s="22" t="str">
        <f t="shared" si="12"/>
        <v/>
      </c>
      <c r="Z116" s="23"/>
      <c r="AA116" s="44" t="str">
        <f t="shared" si="40"/>
        <v/>
      </c>
      <c r="AB116" s="25"/>
      <c r="AC116" s="44" t="str">
        <f t="shared" si="41"/>
        <v/>
      </c>
      <c r="AD116" s="54"/>
      <c r="AE116" s="22" t="str">
        <f t="shared" si="13"/>
        <v/>
      </c>
      <c r="AF116" s="23"/>
      <c r="AG116" s="44" t="str">
        <f t="shared" si="88"/>
        <v/>
      </c>
      <c r="AH116" s="25"/>
      <c r="AI116" s="44" t="str">
        <f t="shared" si="89"/>
        <v/>
      </c>
      <c r="AJ116" s="46">
        <v>0.0</v>
      </c>
      <c r="AK116" s="33"/>
      <c r="AL116" s="22">
        <v>1.0</v>
      </c>
      <c r="AM116" s="23" t="s">
        <v>104</v>
      </c>
      <c r="AN116" s="34">
        <v>46308.40533313657</v>
      </c>
      <c r="AO116" s="25" t="s">
        <v>69</v>
      </c>
      <c r="AP116" s="34">
        <v>46308.43258631944</v>
      </c>
      <c r="AQ116" s="29">
        <f t="shared" si="14"/>
        <v>39.24458333</v>
      </c>
      <c r="AR116" s="29">
        <f t="shared" si="15"/>
        <v>0</v>
      </c>
      <c r="AS116" s="29">
        <f t="shared" si="16"/>
        <v>0.6540763888</v>
      </c>
      <c r="AT116" s="22" t="str">
        <f t="shared" si="17"/>
        <v/>
      </c>
      <c r="AU116" s="23"/>
      <c r="AV116" s="44" t="str">
        <f t="shared" si="18"/>
        <v/>
      </c>
      <c r="AW116" s="25"/>
      <c r="AX116" s="44" t="str">
        <f t="shared" si="19"/>
        <v/>
      </c>
      <c r="AY116" s="54"/>
      <c r="AZ116" s="22" t="str">
        <f t="shared" si="20"/>
        <v/>
      </c>
      <c r="BA116" s="23"/>
      <c r="BB116" s="44" t="str">
        <f t="shared" si="21"/>
        <v/>
      </c>
      <c r="BC116" s="25"/>
      <c r="BD116" s="44" t="str">
        <f t="shared" si="22"/>
        <v/>
      </c>
      <c r="BE116" s="54"/>
      <c r="BF116" s="22" t="str">
        <f t="shared" si="23"/>
        <v/>
      </c>
      <c r="BG116" s="23"/>
      <c r="BH116" s="44" t="str">
        <f t="shared" si="86"/>
        <v/>
      </c>
      <c r="BI116" s="25"/>
      <c r="BJ116" s="44" t="str">
        <f t="shared" si="87"/>
        <v/>
      </c>
      <c r="BK116" s="46">
        <v>0.0</v>
      </c>
      <c r="BL116" s="33"/>
      <c r="BM116" s="22" t="str">
        <f t="shared" si="24"/>
        <v/>
      </c>
      <c r="BN116" s="23"/>
      <c r="BO116" s="44" t="str">
        <f t="shared" si="25"/>
        <v/>
      </c>
      <c r="BP116" s="25"/>
      <c r="BQ116" s="44" t="str">
        <f t="shared" si="26"/>
        <v/>
      </c>
      <c r="BR116" s="29" t="str">
        <f t="shared" si="27"/>
        <v/>
      </c>
      <c r="BS116" s="29">
        <f t="shared" si="28"/>
        <v>0</v>
      </c>
      <c r="BT116" s="29">
        <f t="shared" si="29"/>
        <v>0</v>
      </c>
      <c r="BU116" s="22" t="str">
        <f t="shared" si="30"/>
        <v/>
      </c>
      <c r="BV116" s="23"/>
      <c r="BW116" s="44" t="str">
        <f t="shared" si="31"/>
        <v/>
      </c>
      <c r="BX116" s="25"/>
      <c r="BY116" s="44" t="str">
        <f t="shared" si="32"/>
        <v/>
      </c>
      <c r="BZ116" s="54"/>
      <c r="CA116" s="22" t="str">
        <f t="shared" si="33"/>
        <v/>
      </c>
      <c r="CB116" s="23"/>
      <c r="CC116" s="44" t="str">
        <f t="shared" si="34"/>
        <v/>
      </c>
      <c r="CD116" s="25"/>
      <c r="CE116" s="44" t="str">
        <f t="shared" si="35"/>
        <v/>
      </c>
      <c r="CF116" s="54"/>
      <c r="CG116" s="22" t="str">
        <f t="shared" si="5"/>
        <v/>
      </c>
      <c r="CH116" s="26"/>
      <c r="CI116" s="91"/>
      <c r="CJ116" s="26"/>
      <c r="CK116" s="91"/>
      <c r="CL116" s="26"/>
    </row>
    <row r="117">
      <c r="A117" s="26">
        <f t="shared" si="58"/>
        <v>115</v>
      </c>
      <c r="B117" s="27" t="s">
        <v>409</v>
      </c>
      <c r="C117" s="27" t="s">
        <v>416</v>
      </c>
      <c r="D117" s="27"/>
      <c r="E117" s="26"/>
      <c r="F117" s="26"/>
      <c r="G117" s="20">
        <v>2.0</v>
      </c>
      <c r="H117" s="20">
        <v>1.0</v>
      </c>
      <c r="I117" s="23" t="s">
        <v>72</v>
      </c>
      <c r="J117" s="33"/>
      <c r="K117" s="22">
        <f t="shared" si="53"/>
        <v>2</v>
      </c>
      <c r="L117" s="23" t="s">
        <v>172</v>
      </c>
      <c r="M117" s="34">
        <v>46308.67679694445</v>
      </c>
      <c r="N117" s="25" t="s">
        <v>69</v>
      </c>
      <c r="O117" s="34">
        <v>46308.69453783565</v>
      </c>
      <c r="P117" s="29">
        <f t="shared" si="8"/>
        <v>25.54688333</v>
      </c>
      <c r="Q117" s="29">
        <f t="shared" si="9"/>
        <v>0</v>
      </c>
      <c r="R117" s="29">
        <f t="shared" si="10"/>
        <v>0.4257813888</v>
      </c>
      <c r="S117" s="22" t="str">
        <f t="shared" si="11"/>
        <v/>
      </c>
      <c r="T117" s="23"/>
      <c r="U117" s="44" t="str">
        <f t="shared" si="49"/>
        <v/>
      </c>
      <c r="V117" s="25"/>
      <c r="W117" s="44" t="str">
        <f t="shared" si="50"/>
        <v/>
      </c>
      <c r="X117" s="54"/>
      <c r="Y117" s="22" t="str">
        <f t="shared" si="12"/>
        <v/>
      </c>
      <c r="Z117" s="23"/>
      <c r="AA117" s="44" t="str">
        <f t="shared" si="40"/>
        <v/>
      </c>
      <c r="AB117" s="25"/>
      <c r="AC117" s="44" t="str">
        <f t="shared" si="41"/>
        <v/>
      </c>
      <c r="AD117" s="54"/>
      <c r="AE117" s="22" t="str">
        <f t="shared" si="13"/>
        <v/>
      </c>
      <c r="AF117" s="23"/>
      <c r="AG117" s="44" t="str">
        <f t="shared" si="88"/>
        <v/>
      </c>
      <c r="AH117" s="25"/>
      <c r="AI117" s="44" t="str">
        <f t="shared" si="89"/>
        <v/>
      </c>
      <c r="AJ117" s="46">
        <v>0.0</v>
      </c>
      <c r="AK117" s="33"/>
      <c r="AL117" s="22">
        <v>1.0</v>
      </c>
      <c r="AM117" s="23" t="s">
        <v>172</v>
      </c>
      <c r="AN117" s="34">
        <v>46310.408033750005</v>
      </c>
      <c r="AO117" s="25" t="s">
        <v>69</v>
      </c>
      <c r="AP117" s="44">
        <f>if(AO117="Done", if(AP117="",NOW(),AP117),"")</f>
        <v>46310.44651</v>
      </c>
      <c r="AQ117" s="29">
        <f t="shared" si="14"/>
        <v>55.41056666</v>
      </c>
      <c r="AR117" s="29">
        <f t="shared" si="15"/>
        <v>0</v>
      </c>
      <c r="AS117" s="29">
        <f t="shared" si="16"/>
        <v>0.9235094443</v>
      </c>
      <c r="AT117" s="22" t="str">
        <f t="shared" si="17"/>
        <v/>
      </c>
      <c r="AU117" s="23"/>
      <c r="AV117" s="44" t="str">
        <f t="shared" si="18"/>
        <v/>
      </c>
      <c r="AW117" s="25"/>
      <c r="AX117" s="44" t="str">
        <f t="shared" si="19"/>
        <v/>
      </c>
      <c r="AY117" s="54"/>
      <c r="AZ117" s="22" t="str">
        <f t="shared" si="20"/>
        <v/>
      </c>
      <c r="BA117" s="23"/>
      <c r="BB117" s="44" t="str">
        <f t="shared" si="21"/>
        <v/>
      </c>
      <c r="BC117" s="25"/>
      <c r="BD117" s="44" t="str">
        <f t="shared" si="22"/>
        <v/>
      </c>
      <c r="BE117" s="54"/>
      <c r="BF117" s="22" t="str">
        <f t="shared" si="23"/>
        <v/>
      </c>
      <c r="BG117" s="23"/>
      <c r="BH117" s="44" t="str">
        <f t="shared" si="86"/>
        <v/>
      </c>
      <c r="BI117" s="25"/>
      <c r="BJ117" s="44" t="str">
        <f t="shared" si="87"/>
        <v/>
      </c>
      <c r="BK117" s="46">
        <v>0.0</v>
      </c>
      <c r="BL117" s="33"/>
      <c r="BM117" s="22" t="str">
        <f t="shared" si="24"/>
        <v/>
      </c>
      <c r="BN117" s="23"/>
      <c r="BO117" s="44" t="str">
        <f t="shared" si="25"/>
        <v/>
      </c>
      <c r="BP117" s="25"/>
      <c r="BQ117" s="44" t="str">
        <f t="shared" si="26"/>
        <v/>
      </c>
      <c r="BR117" s="29" t="str">
        <f t="shared" si="27"/>
        <v/>
      </c>
      <c r="BS117" s="29">
        <f t="shared" si="28"/>
        <v>0</v>
      </c>
      <c r="BT117" s="29">
        <f t="shared" si="29"/>
        <v>0</v>
      </c>
      <c r="BU117" s="22" t="str">
        <f t="shared" si="30"/>
        <v/>
      </c>
      <c r="BV117" s="23"/>
      <c r="BW117" s="44" t="str">
        <f t="shared" si="31"/>
        <v/>
      </c>
      <c r="BX117" s="25"/>
      <c r="BY117" s="44" t="str">
        <f t="shared" si="32"/>
        <v/>
      </c>
      <c r="BZ117" s="54"/>
      <c r="CA117" s="22" t="str">
        <f t="shared" si="33"/>
        <v/>
      </c>
      <c r="CB117" s="23"/>
      <c r="CC117" s="44" t="str">
        <f t="shared" si="34"/>
        <v/>
      </c>
      <c r="CD117" s="25"/>
      <c r="CE117" s="44" t="str">
        <f t="shared" si="35"/>
        <v/>
      </c>
      <c r="CF117" s="54"/>
      <c r="CG117" s="22" t="str">
        <f t="shared" si="5"/>
        <v/>
      </c>
      <c r="CH117" s="26"/>
      <c r="CI117" s="91"/>
      <c r="CJ117" s="26"/>
      <c r="CK117" s="91"/>
      <c r="CL117" s="26"/>
    </row>
    <row r="118">
      <c r="A118" s="26">
        <f t="shared" si="58"/>
        <v>116</v>
      </c>
      <c r="B118" s="27" t="s">
        <v>409</v>
      </c>
      <c r="C118" s="27" t="s">
        <v>417</v>
      </c>
      <c r="D118" s="27"/>
      <c r="E118" s="26"/>
      <c r="F118" s="26"/>
      <c r="G118" s="20">
        <v>1.0</v>
      </c>
      <c r="H118" s="20">
        <v>2.0</v>
      </c>
      <c r="I118" s="23" t="s">
        <v>72</v>
      </c>
      <c r="J118" s="33"/>
      <c r="K118" s="22">
        <f t="shared" si="53"/>
        <v>1</v>
      </c>
      <c r="L118" s="23" t="s">
        <v>224</v>
      </c>
      <c r="M118" s="34">
        <v>46310.63444887732</v>
      </c>
      <c r="N118" s="25" t="s">
        <v>69</v>
      </c>
      <c r="O118" s="34">
        <v>46310.671338796295</v>
      </c>
      <c r="P118" s="29">
        <f t="shared" si="8"/>
        <v>53.12148333</v>
      </c>
      <c r="Q118" s="29">
        <f t="shared" si="9"/>
        <v>0</v>
      </c>
      <c r="R118" s="29">
        <f t="shared" si="10"/>
        <v>0.8853580555</v>
      </c>
      <c r="S118" s="22" t="str">
        <f t="shared" si="11"/>
        <v/>
      </c>
      <c r="T118" s="23"/>
      <c r="U118" s="44" t="str">
        <f t="shared" si="49"/>
        <v/>
      </c>
      <c r="V118" s="25"/>
      <c r="W118" s="44" t="str">
        <f t="shared" si="50"/>
        <v/>
      </c>
      <c r="X118" s="54"/>
      <c r="Y118" s="22" t="str">
        <f t="shared" si="12"/>
        <v/>
      </c>
      <c r="Z118" s="23"/>
      <c r="AA118" s="44" t="str">
        <f t="shared" si="40"/>
        <v/>
      </c>
      <c r="AB118" s="25"/>
      <c r="AC118" s="44" t="str">
        <f t="shared" si="41"/>
        <v/>
      </c>
      <c r="AD118" s="54"/>
      <c r="AE118" s="22" t="str">
        <f t="shared" si="13"/>
        <v/>
      </c>
      <c r="AF118" s="23"/>
      <c r="AG118" s="44" t="str">
        <f t="shared" si="88"/>
        <v/>
      </c>
      <c r="AH118" s="25"/>
      <c r="AI118" s="44" t="str">
        <f t="shared" si="89"/>
        <v/>
      </c>
      <c r="AJ118" s="46">
        <v>0.0</v>
      </c>
      <c r="AK118" s="33"/>
      <c r="AL118" s="22">
        <v>2.0</v>
      </c>
      <c r="AM118" s="23" t="s">
        <v>224</v>
      </c>
      <c r="AN118" s="44">
        <f t="shared" ref="AN118:AN128" si="91">if(AM118&lt;&gt;"", if(AN118="",NOW(),AN118),"")</f>
        <v>46310.67862</v>
      </c>
      <c r="AO118" s="25" t="s">
        <v>69</v>
      </c>
      <c r="AP118" s="34">
        <v>46311.56089435185</v>
      </c>
      <c r="AQ118" s="29">
        <f t="shared" si="14"/>
        <v>1270.469667</v>
      </c>
      <c r="AR118" s="29">
        <f t="shared" si="15"/>
        <v>1020</v>
      </c>
      <c r="AS118" s="29">
        <f t="shared" si="16"/>
        <v>4.174494445</v>
      </c>
      <c r="AT118" s="22" t="str">
        <f t="shared" si="17"/>
        <v/>
      </c>
      <c r="AU118" s="23"/>
      <c r="AV118" s="44" t="str">
        <f t="shared" si="18"/>
        <v/>
      </c>
      <c r="AW118" s="25"/>
      <c r="AX118" s="44" t="str">
        <f t="shared" si="19"/>
        <v/>
      </c>
      <c r="AY118" s="54"/>
      <c r="AZ118" s="22" t="str">
        <f t="shared" si="20"/>
        <v/>
      </c>
      <c r="BA118" s="23"/>
      <c r="BB118" s="44" t="str">
        <f t="shared" si="21"/>
        <v/>
      </c>
      <c r="BC118" s="25"/>
      <c r="BD118" s="44" t="str">
        <f t="shared" si="22"/>
        <v/>
      </c>
      <c r="BE118" s="54"/>
      <c r="BF118" s="22" t="str">
        <f t="shared" si="23"/>
        <v/>
      </c>
      <c r="BG118" s="23"/>
      <c r="BH118" s="44" t="str">
        <f t="shared" si="86"/>
        <v/>
      </c>
      <c r="BI118" s="25"/>
      <c r="BJ118" s="44" t="str">
        <f t="shared" si="87"/>
        <v/>
      </c>
      <c r="BK118" s="46">
        <v>0.0</v>
      </c>
      <c r="BL118" s="33"/>
      <c r="BM118" s="22" t="str">
        <f t="shared" si="24"/>
        <v/>
      </c>
      <c r="BN118" s="23"/>
      <c r="BO118" s="44" t="str">
        <f t="shared" si="25"/>
        <v/>
      </c>
      <c r="BP118" s="25"/>
      <c r="BQ118" s="44" t="str">
        <f t="shared" si="26"/>
        <v/>
      </c>
      <c r="BR118" s="29" t="str">
        <f t="shared" si="27"/>
        <v/>
      </c>
      <c r="BS118" s="29">
        <f t="shared" si="28"/>
        <v>0</v>
      </c>
      <c r="BT118" s="29">
        <f t="shared" si="29"/>
        <v>0</v>
      </c>
      <c r="BU118" s="22" t="str">
        <f t="shared" si="30"/>
        <v/>
      </c>
      <c r="BV118" s="23"/>
      <c r="BW118" s="44" t="str">
        <f t="shared" si="31"/>
        <v/>
      </c>
      <c r="BX118" s="25"/>
      <c r="BY118" s="44" t="str">
        <f t="shared" si="32"/>
        <v/>
      </c>
      <c r="BZ118" s="54"/>
      <c r="CA118" s="22" t="str">
        <f t="shared" si="33"/>
        <v/>
      </c>
      <c r="CB118" s="23"/>
      <c r="CC118" s="44" t="str">
        <f t="shared" si="34"/>
        <v/>
      </c>
      <c r="CD118" s="25"/>
      <c r="CE118" s="44" t="str">
        <f t="shared" si="35"/>
        <v/>
      </c>
      <c r="CF118" s="54"/>
      <c r="CG118" s="22" t="str">
        <f t="shared" si="5"/>
        <v/>
      </c>
      <c r="CH118" s="26"/>
      <c r="CI118" s="91"/>
      <c r="CJ118" s="26"/>
      <c r="CK118" s="91"/>
      <c r="CL118" s="26"/>
    </row>
    <row r="119">
      <c r="A119" s="26">
        <f t="shared" si="58"/>
        <v>117</v>
      </c>
      <c r="B119" s="27" t="s">
        <v>409</v>
      </c>
      <c r="C119" s="27" t="s">
        <v>418</v>
      </c>
      <c r="D119" s="27"/>
      <c r="E119" s="26"/>
      <c r="F119" s="26"/>
      <c r="G119" s="20">
        <v>3.0</v>
      </c>
      <c r="H119" s="20">
        <v>3.0</v>
      </c>
      <c r="I119" s="23" t="s">
        <v>72</v>
      </c>
      <c r="J119" s="33"/>
      <c r="K119" s="22">
        <f t="shared" si="53"/>
        <v>3</v>
      </c>
      <c r="L119" s="23" t="s">
        <v>272</v>
      </c>
      <c r="M119" s="34">
        <v>46309.48341726852</v>
      </c>
      <c r="N119" s="25" t="s">
        <v>69</v>
      </c>
      <c r="O119" s="34">
        <v>46310.626756377314</v>
      </c>
      <c r="P119" s="29">
        <f t="shared" si="8"/>
        <v>1646.408317</v>
      </c>
      <c r="Q119" s="29">
        <f t="shared" si="9"/>
        <v>1020</v>
      </c>
      <c r="R119" s="29">
        <f t="shared" si="10"/>
        <v>10.44013861</v>
      </c>
      <c r="S119" s="22" t="str">
        <f t="shared" si="11"/>
        <v/>
      </c>
      <c r="T119" s="23"/>
      <c r="U119" s="44" t="str">
        <f t="shared" si="49"/>
        <v/>
      </c>
      <c r="V119" s="25"/>
      <c r="W119" s="44" t="str">
        <f t="shared" si="50"/>
        <v/>
      </c>
      <c r="X119" s="54"/>
      <c r="Y119" s="22" t="str">
        <f t="shared" si="12"/>
        <v/>
      </c>
      <c r="Z119" s="23"/>
      <c r="AA119" s="44" t="str">
        <f t="shared" si="40"/>
        <v/>
      </c>
      <c r="AB119" s="25"/>
      <c r="AC119" s="44" t="str">
        <f t="shared" si="41"/>
        <v/>
      </c>
      <c r="AD119" s="54"/>
      <c r="AE119" s="22" t="str">
        <f t="shared" si="13"/>
        <v/>
      </c>
      <c r="AF119" s="23"/>
      <c r="AG119" s="44" t="str">
        <f t="shared" si="88"/>
        <v/>
      </c>
      <c r="AH119" s="25"/>
      <c r="AI119" s="44" t="str">
        <f t="shared" si="89"/>
        <v/>
      </c>
      <c r="AJ119" s="46">
        <v>0.0</v>
      </c>
      <c r="AK119" s="33"/>
      <c r="AL119" s="22">
        <v>3.0</v>
      </c>
      <c r="AM119" s="23" t="s">
        <v>272</v>
      </c>
      <c r="AN119" s="44">
        <f t="shared" si="91"/>
        <v>46310.62965</v>
      </c>
      <c r="AO119" s="25" t="s">
        <v>69</v>
      </c>
      <c r="AP119" s="34">
        <v>46314.67625092593</v>
      </c>
      <c r="AQ119" s="29">
        <f t="shared" si="14"/>
        <v>5827.10335</v>
      </c>
      <c r="AR119" s="29">
        <f t="shared" si="15"/>
        <v>4080</v>
      </c>
      <c r="AS119" s="29">
        <f t="shared" si="16"/>
        <v>29.11838917</v>
      </c>
      <c r="AT119" s="22" t="str">
        <f t="shared" si="17"/>
        <v/>
      </c>
      <c r="AU119" s="23"/>
      <c r="AV119" s="44" t="str">
        <f t="shared" si="18"/>
        <v/>
      </c>
      <c r="AW119" s="25"/>
      <c r="AX119" s="44" t="str">
        <f t="shared" si="19"/>
        <v/>
      </c>
      <c r="AY119" s="54"/>
      <c r="AZ119" s="22" t="str">
        <f t="shared" si="20"/>
        <v/>
      </c>
      <c r="BA119" s="23"/>
      <c r="BB119" s="44" t="str">
        <f t="shared" si="21"/>
        <v/>
      </c>
      <c r="BC119" s="25"/>
      <c r="BD119" s="44" t="str">
        <f t="shared" si="22"/>
        <v/>
      </c>
      <c r="BE119" s="54"/>
      <c r="BF119" s="22" t="str">
        <f t="shared" si="23"/>
        <v/>
      </c>
      <c r="BG119" s="23"/>
      <c r="BH119" s="44" t="str">
        <f t="shared" si="86"/>
        <v/>
      </c>
      <c r="BI119" s="25"/>
      <c r="BJ119" s="44" t="str">
        <f t="shared" si="87"/>
        <v/>
      </c>
      <c r="BK119" s="46">
        <v>0.0</v>
      </c>
      <c r="BL119" s="33"/>
      <c r="BM119" s="22" t="str">
        <f t="shared" si="24"/>
        <v/>
      </c>
      <c r="BN119" s="23"/>
      <c r="BO119" s="44" t="str">
        <f t="shared" si="25"/>
        <v/>
      </c>
      <c r="BP119" s="25"/>
      <c r="BQ119" s="44" t="str">
        <f t="shared" si="26"/>
        <v/>
      </c>
      <c r="BR119" s="29" t="str">
        <f t="shared" si="27"/>
        <v/>
      </c>
      <c r="BS119" s="29">
        <f t="shared" si="28"/>
        <v>0</v>
      </c>
      <c r="BT119" s="29">
        <f t="shared" si="29"/>
        <v>0</v>
      </c>
      <c r="BU119" s="22" t="str">
        <f t="shared" si="30"/>
        <v/>
      </c>
      <c r="BV119" s="23"/>
      <c r="BW119" s="44" t="str">
        <f t="shared" si="31"/>
        <v/>
      </c>
      <c r="BX119" s="25"/>
      <c r="BY119" s="44" t="str">
        <f t="shared" si="32"/>
        <v/>
      </c>
      <c r="BZ119" s="54"/>
      <c r="CA119" s="22" t="str">
        <f t="shared" si="33"/>
        <v/>
      </c>
      <c r="CB119" s="23"/>
      <c r="CC119" s="44" t="str">
        <f t="shared" si="34"/>
        <v/>
      </c>
      <c r="CD119" s="25"/>
      <c r="CE119" s="44" t="str">
        <f t="shared" si="35"/>
        <v/>
      </c>
      <c r="CF119" s="54"/>
      <c r="CG119" s="22" t="str">
        <f t="shared" si="5"/>
        <v/>
      </c>
      <c r="CH119" s="26"/>
      <c r="CI119" s="91"/>
      <c r="CJ119" s="26"/>
      <c r="CK119" s="91"/>
      <c r="CL119" s="26"/>
    </row>
    <row r="120">
      <c r="A120" s="26">
        <f t="shared" si="58"/>
        <v>118</v>
      </c>
      <c r="B120" s="27" t="s">
        <v>388</v>
      </c>
      <c r="C120" s="27" t="s">
        <v>419</v>
      </c>
      <c r="D120" s="27"/>
      <c r="E120" s="26"/>
      <c r="F120" s="26"/>
      <c r="G120" s="20">
        <v>2.0</v>
      </c>
      <c r="H120" s="20">
        <v>2.0</v>
      </c>
      <c r="I120" s="23" t="s">
        <v>72</v>
      </c>
      <c r="J120" s="33"/>
      <c r="K120" s="22">
        <f t="shared" si="53"/>
        <v>2</v>
      </c>
      <c r="L120" s="23" t="s">
        <v>104</v>
      </c>
      <c r="M120" s="34">
        <v>46310.40270332176</v>
      </c>
      <c r="N120" s="25" t="s">
        <v>69</v>
      </c>
      <c r="O120" s="34">
        <v>46310.5520150463</v>
      </c>
      <c r="P120" s="29">
        <f t="shared" si="8"/>
        <v>215.0088833</v>
      </c>
      <c r="Q120" s="29">
        <f t="shared" si="9"/>
        <v>60</v>
      </c>
      <c r="R120" s="29">
        <f t="shared" si="10"/>
        <v>2.583481389</v>
      </c>
      <c r="S120" s="22" t="str">
        <f t="shared" si="11"/>
        <v/>
      </c>
      <c r="T120" s="23"/>
      <c r="U120" s="44" t="str">
        <f t="shared" si="49"/>
        <v/>
      </c>
      <c r="V120" s="25"/>
      <c r="W120" s="44" t="str">
        <f t="shared" si="50"/>
        <v/>
      </c>
      <c r="X120" s="54"/>
      <c r="Y120" s="22" t="str">
        <f t="shared" si="12"/>
        <v/>
      </c>
      <c r="Z120" s="23"/>
      <c r="AA120" s="44" t="str">
        <f t="shared" si="40"/>
        <v/>
      </c>
      <c r="AB120" s="25"/>
      <c r="AC120" s="44" t="str">
        <f t="shared" si="41"/>
        <v/>
      </c>
      <c r="AD120" s="54"/>
      <c r="AE120" s="22" t="str">
        <f t="shared" si="13"/>
        <v/>
      </c>
      <c r="AF120" s="23"/>
      <c r="AG120" s="44" t="str">
        <f t="shared" si="88"/>
        <v/>
      </c>
      <c r="AH120" s="25"/>
      <c r="AI120" s="44" t="str">
        <f t="shared" si="89"/>
        <v/>
      </c>
      <c r="AJ120" s="46">
        <v>0.0</v>
      </c>
      <c r="AK120" s="33"/>
      <c r="AL120" s="22">
        <v>2.0</v>
      </c>
      <c r="AM120" s="23" t="s">
        <v>104</v>
      </c>
      <c r="AN120" s="44">
        <f t="shared" si="91"/>
        <v>46310.58267</v>
      </c>
      <c r="AO120" s="25" t="s">
        <v>69</v>
      </c>
      <c r="AP120" s="44">
        <f>if(AO120="Done", if(AP120="",NOW(),AP120),"")</f>
        <v>46310.89199</v>
      </c>
      <c r="AQ120" s="29">
        <f t="shared" si="14"/>
        <v>445.4086333</v>
      </c>
      <c r="AR120" s="29">
        <f t="shared" si="15"/>
        <v>0</v>
      </c>
      <c r="AS120" s="29">
        <f t="shared" si="16"/>
        <v>7.423477222</v>
      </c>
      <c r="AT120" s="22" t="str">
        <f t="shared" si="17"/>
        <v/>
      </c>
      <c r="AU120" s="23"/>
      <c r="AV120" s="44" t="str">
        <f t="shared" si="18"/>
        <v/>
      </c>
      <c r="AW120" s="25"/>
      <c r="AX120" s="44" t="str">
        <f t="shared" si="19"/>
        <v/>
      </c>
      <c r="AY120" s="54"/>
      <c r="AZ120" s="22" t="str">
        <f t="shared" si="20"/>
        <v/>
      </c>
      <c r="BA120" s="23"/>
      <c r="BB120" s="44" t="str">
        <f t="shared" si="21"/>
        <v/>
      </c>
      <c r="BC120" s="25"/>
      <c r="BD120" s="44" t="str">
        <f t="shared" si="22"/>
        <v/>
      </c>
      <c r="BE120" s="54"/>
      <c r="BF120" s="22" t="str">
        <f t="shared" si="23"/>
        <v/>
      </c>
      <c r="BG120" s="23"/>
      <c r="BH120" s="44" t="str">
        <f t="shared" si="86"/>
        <v/>
      </c>
      <c r="BI120" s="25"/>
      <c r="BJ120" s="44" t="str">
        <f t="shared" si="87"/>
        <v/>
      </c>
      <c r="BK120" s="46">
        <v>0.0</v>
      </c>
      <c r="BL120" s="33"/>
      <c r="BM120" s="22" t="str">
        <f t="shared" si="24"/>
        <v/>
      </c>
      <c r="BN120" s="23"/>
      <c r="BO120" s="44" t="str">
        <f t="shared" si="25"/>
        <v/>
      </c>
      <c r="BP120" s="25"/>
      <c r="BQ120" s="44" t="str">
        <f t="shared" si="26"/>
        <v/>
      </c>
      <c r="BR120" s="29" t="str">
        <f t="shared" si="27"/>
        <v/>
      </c>
      <c r="BS120" s="29">
        <f t="shared" si="28"/>
        <v>0</v>
      </c>
      <c r="BT120" s="29">
        <f t="shared" si="29"/>
        <v>0</v>
      </c>
      <c r="BU120" s="22" t="str">
        <f t="shared" si="30"/>
        <v/>
      </c>
      <c r="BV120" s="23"/>
      <c r="BW120" s="44" t="str">
        <f t="shared" si="31"/>
        <v/>
      </c>
      <c r="BX120" s="25"/>
      <c r="BY120" s="44" t="str">
        <f t="shared" si="32"/>
        <v/>
      </c>
      <c r="BZ120" s="54"/>
      <c r="CA120" s="22" t="str">
        <f t="shared" si="33"/>
        <v/>
      </c>
      <c r="CB120" s="23"/>
      <c r="CC120" s="44" t="str">
        <f t="shared" si="34"/>
        <v/>
      </c>
      <c r="CD120" s="25"/>
      <c r="CE120" s="44" t="str">
        <f t="shared" si="35"/>
        <v/>
      </c>
      <c r="CF120" s="54"/>
      <c r="CG120" s="22" t="str">
        <f t="shared" si="5"/>
        <v/>
      </c>
      <c r="CH120" s="26"/>
      <c r="CI120" s="91"/>
      <c r="CJ120" s="26"/>
      <c r="CK120" s="91"/>
      <c r="CL120" s="26"/>
    </row>
    <row r="121">
      <c r="A121" s="26">
        <f t="shared" si="58"/>
        <v>119</v>
      </c>
      <c r="B121" s="27" t="s">
        <v>388</v>
      </c>
      <c r="C121" s="27" t="s">
        <v>420</v>
      </c>
      <c r="D121" s="27"/>
      <c r="E121" s="26"/>
      <c r="F121" s="26"/>
      <c r="G121" s="20">
        <v>1.0</v>
      </c>
      <c r="H121" s="20">
        <v>1.0</v>
      </c>
      <c r="I121" s="23" t="s">
        <v>72</v>
      </c>
      <c r="J121" s="33"/>
      <c r="K121" s="22">
        <f t="shared" si="53"/>
        <v>1</v>
      </c>
      <c r="L121" s="23" t="s">
        <v>176</v>
      </c>
      <c r="M121" s="34">
        <v>46310.407125150465</v>
      </c>
      <c r="N121" s="25" t="s">
        <v>69</v>
      </c>
      <c r="O121" s="34">
        <v>46310.460484780095</v>
      </c>
      <c r="P121" s="29">
        <f t="shared" si="8"/>
        <v>76.83786667</v>
      </c>
      <c r="Q121" s="29">
        <f t="shared" si="9"/>
        <v>0</v>
      </c>
      <c r="R121" s="29">
        <f t="shared" si="10"/>
        <v>1.280631111</v>
      </c>
      <c r="S121" s="22" t="str">
        <f t="shared" si="11"/>
        <v/>
      </c>
      <c r="T121" s="23"/>
      <c r="U121" s="44" t="str">
        <f t="shared" si="49"/>
        <v/>
      </c>
      <c r="V121" s="25"/>
      <c r="W121" s="44" t="str">
        <f t="shared" si="50"/>
        <v/>
      </c>
      <c r="X121" s="54"/>
      <c r="Y121" s="22" t="str">
        <f t="shared" si="12"/>
        <v/>
      </c>
      <c r="Z121" s="23"/>
      <c r="AA121" s="44" t="str">
        <f t="shared" si="40"/>
        <v/>
      </c>
      <c r="AB121" s="25"/>
      <c r="AC121" s="44" t="str">
        <f t="shared" si="41"/>
        <v/>
      </c>
      <c r="AD121" s="54"/>
      <c r="AE121" s="22" t="str">
        <f t="shared" si="13"/>
        <v/>
      </c>
      <c r="AF121" s="23"/>
      <c r="AG121" s="44" t="str">
        <f t="shared" si="88"/>
        <v/>
      </c>
      <c r="AH121" s="25"/>
      <c r="AI121" s="44" t="str">
        <f t="shared" si="89"/>
        <v/>
      </c>
      <c r="AJ121" s="46">
        <v>0.0</v>
      </c>
      <c r="AK121" s="33"/>
      <c r="AL121" s="22">
        <v>1.0</v>
      </c>
      <c r="AM121" s="23" t="s">
        <v>373</v>
      </c>
      <c r="AN121" s="44">
        <f t="shared" si="91"/>
        <v>46311.67329</v>
      </c>
      <c r="AO121" s="25" t="s">
        <v>69</v>
      </c>
      <c r="AP121" s="34">
        <v>46314.42450337963</v>
      </c>
      <c r="AQ121" s="29">
        <f t="shared" si="14"/>
        <v>3961.748033</v>
      </c>
      <c r="AR121" s="29">
        <f t="shared" si="15"/>
        <v>2880</v>
      </c>
      <c r="AS121" s="29">
        <f t="shared" si="16"/>
        <v>18.02913389</v>
      </c>
      <c r="AT121" s="22" t="str">
        <f t="shared" si="17"/>
        <v/>
      </c>
      <c r="AU121" s="23"/>
      <c r="AV121" s="44" t="str">
        <f t="shared" si="18"/>
        <v/>
      </c>
      <c r="AW121" s="25"/>
      <c r="AX121" s="44" t="str">
        <f t="shared" si="19"/>
        <v/>
      </c>
      <c r="AY121" s="54"/>
      <c r="AZ121" s="22" t="str">
        <f t="shared" si="20"/>
        <v/>
      </c>
      <c r="BA121" s="23"/>
      <c r="BB121" s="44" t="str">
        <f t="shared" si="21"/>
        <v/>
      </c>
      <c r="BC121" s="25"/>
      <c r="BD121" s="44" t="str">
        <f t="shared" si="22"/>
        <v/>
      </c>
      <c r="BE121" s="54"/>
      <c r="BF121" s="22" t="str">
        <f t="shared" si="23"/>
        <v/>
      </c>
      <c r="BG121" s="23"/>
      <c r="BH121" s="44" t="str">
        <f t="shared" si="86"/>
        <v/>
      </c>
      <c r="BI121" s="25"/>
      <c r="BJ121" s="44" t="str">
        <f t="shared" si="87"/>
        <v/>
      </c>
      <c r="BK121" s="46">
        <v>0.0</v>
      </c>
      <c r="BL121" s="33"/>
      <c r="BM121" s="22" t="str">
        <f t="shared" si="24"/>
        <v/>
      </c>
      <c r="BN121" s="23"/>
      <c r="BO121" s="44" t="str">
        <f t="shared" si="25"/>
        <v/>
      </c>
      <c r="BP121" s="25"/>
      <c r="BQ121" s="44" t="str">
        <f t="shared" si="26"/>
        <v/>
      </c>
      <c r="BR121" s="29" t="str">
        <f t="shared" si="27"/>
        <v/>
      </c>
      <c r="BS121" s="29">
        <f t="shared" si="28"/>
        <v>0</v>
      </c>
      <c r="BT121" s="29">
        <f t="shared" si="29"/>
        <v>0</v>
      </c>
      <c r="BU121" s="22" t="str">
        <f t="shared" si="30"/>
        <v/>
      </c>
      <c r="BV121" s="23"/>
      <c r="BW121" s="44" t="str">
        <f t="shared" si="31"/>
        <v/>
      </c>
      <c r="BX121" s="25"/>
      <c r="BY121" s="44" t="str">
        <f t="shared" si="32"/>
        <v/>
      </c>
      <c r="BZ121" s="54"/>
      <c r="CA121" s="22" t="str">
        <f t="shared" si="33"/>
        <v/>
      </c>
      <c r="CB121" s="23"/>
      <c r="CC121" s="44" t="str">
        <f t="shared" si="34"/>
        <v/>
      </c>
      <c r="CD121" s="25"/>
      <c r="CE121" s="44" t="str">
        <f t="shared" si="35"/>
        <v/>
      </c>
      <c r="CF121" s="54"/>
      <c r="CG121" s="22" t="str">
        <f t="shared" si="5"/>
        <v/>
      </c>
      <c r="CH121" s="26"/>
      <c r="CI121" s="91"/>
      <c r="CJ121" s="26"/>
      <c r="CK121" s="91"/>
      <c r="CL121" s="26"/>
    </row>
    <row r="122">
      <c r="A122" s="26">
        <f t="shared" si="58"/>
        <v>120</v>
      </c>
      <c r="B122" s="27"/>
      <c r="C122" s="27" t="s">
        <v>421</v>
      </c>
      <c r="D122" s="27"/>
      <c r="E122" s="26"/>
      <c r="F122" s="26"/>
      <c r="G122" s="20">
        <v>1.0</v>
      </c>
      <c r="H122" s="20">
        <v>1.0</v>
      </c>
      <c r="I122" s="23" t="s">
        <v>72</v>
      </c>
      <c r="J122" s="33"/>
      <c r="K122" s="22">
        <f t="shared" si="53"/>
        <v>1</v>
      </c>
      <c r="L122" s="23" t="s">
        <v>176</v>
      </c>
      <c r="M122" s="44">
        <f t="shared" ref="M122:M128" si="92">if(L122&lt;&gt;"", if(M122="",NOW(),M122),"")</f>
        <v>46310.61484</v>
      </c>
      <c r="N122" s="25" t="s">
        <v>69</v>
      </c>
      <c r="O122" s="44">
        <f t="shared" ref="O122:O123" si="93">if(N122="Done", if(O122="",NOW(),O122),"")</f>
        <v>46310.62262</v>
      </c>
      <c r="P122" s="29">
        <f t="shared" si="8"/>
        <v>11.20041666</v>
      </c>
      <c r="Q122" s="29">
        <f t="shared" si="9"/>
        <v>0</v>
      </c>
      <c r="R122" s="29">
        <f t="shared" si="10"/>
        <v>0.1866736111</v>
      </c>
      <c r="S122" s="22" t="str">
        <f t="shared" si="11"/>
        <v/>
      </c>
      <c r="T122" s="23"/>
      <c r="U122" s="44" t="str">
        <f t="shared" si="49"/>
        <v/>
      </c>
      <c r="V122" s="25"/>
      <c r="W122" s="44" t="str">
        <f t="shared" si="50"/>
        <v/>
      </c>
      <c r="X122" s="54"/>
      <c r="Y122" s="22" t="str">
        <f t="shared" si="12"/>
        <v/>
      </c>
      <c r="Z122" s="23"/>
      <c r="AA122" s="44" t="str">
        <f t="shared" si="40"/>
        <v/>
      </c>
      <c r="AB122" s="25"/>
      <c r="AC122" s="44" t="str">
        <f t="shared" si="41"/>
        <v/>
      </c>
      <c r="AD122" s="54"/>
      <c r="AE122" s="22" t="str">
        <f t="shared" si="13"/>
        <v/>
      </c>
      <c r="AF122" s="23"/>
      <c r="AG122" s="44" t="str">
        <f t="shared" si="88"/>
        <v/>
      </c>
      <c r="AH122" s="25"/>
      <c r="AI122" s="44" t="str">
        <f t="shared" si="89"/>
        <v/>
      </c>
      <c r="AJ122" s="46">
        <v>0.0</v>
      </c>
      <c r="AK122" s="33"/>
      <c r="AL122" s="22">
        <v>1.0</v>
      </c>
      <c r="AM122" s="23" t="s">
        <v>176</v>
      </c>
      <c r="AN122" s="44">
        <f t="shared" si="91"/>
        <v>46311.45701</v>
      </c>
      <c r="AO122" s="25" t="s">
        <v>69</v>
      </c>
      <c r="AP122" s="44">
        <f t="shared" ref="AP122:AP123" si="94">if(AO122="Done", if(AP122="",NOW(),AP122),"")</f>
        <v>46311.58771</v>
      </c>
      <c r="AQ122" s="29">
        <f t="shared" si="14"/>
        <v>188.2022333</v>
      </c>
      <c r="AR122" s="29">
        <f t="shared" si="15"/>
        <v>60</v>
      </c>
      <c r="AS122" s="29">
        <f t="shared" si="16"/>
        <v>2.136703889</v>
      </c>
      <c r="AT122" s="22" t="str">
        <f t="shared" si="17"/>
        <v/>
      </c>
      <c r="AU122" s="23"/>
      <c r="AV122" s="44" t="str">
        <f t="shared" si="18"/>
        <v/>
      </c>
      <c r="AW122" s="25"/>
      <c r="AX122" s="44" t="str">
        <f t="shared" si="19"/>
        <v/>
      </c>
      <c r="AY122" s="54"/>
      <c r="AZ122" s="22" t="str">
        <f t="shared" si="20"/>
        <v/>
      </c>
      <c r="BA122" s="23"/>
      <c r="BB122" s="44" t="str">
        <f t="shared" si="21"/>
        <v/>
      </c>
      <c r="BC122" s="25"/>
      <c r="BD122" s="44" t="str">
        <f t="shared" si="22"/>
        <v/>
      </c>
      <c r="BE122" s="54"/>
      <c r="BF122" s="22" t="str">
        <f t="shared" si="23"/>
        <v/>
      </c>
      <c r="BG122" s="23"/>
      <c r="BH122" s="44" t="str">
        <f t="shared" si="86"/>
        <v/>
      </c>
      <c r="BI122" s="25"/>
      <c r="BJ122" s="44" t="str">
        <f t="shared" si="87"/>
        <v/>
      </c>
      <c r="BK122" s="46">
        <v>0.0</v>
      </c>
      <c r="BL122" s="33"/>
      <c r="BM122" s="22" t="str">
        <f t="shared" si="24"/>
        <v/>
      </c>
      <c r="BN122" s="23"/>
      <c r="BO122" s="44" t="str">
        <f t="shared" si="25"/>
        <v/>
      </c>
      <c r="BP122" s="25"/>
      <c r="BQ122" s="44" t="str">
        <f t="shared" si="26"/>
        <v/>
      </c>
      <c r="BR122" s="29" t="str">
        <f t="shared" si="27"/>
        <v/>
      </c>
      <c r="BS122" s="29">
        <f t="shared" si="28"/>
        <v>0</v>
      </c>
      <c r="BT122" s="29">
        <f t="shared" si="29"/>
        <v>0</v>
      </c>
      <c r="BU122" s="22" t="str">
        <f t="shared" si="30"/>
        <v/>
      </c>
      <c r="BV122" s="23"/>
      <c r="BW122" s="44" t="str">
        <f t="shared" si="31"/>
        <v/>
      </c>
      <c r="BX122" s="25"/>
      <c r="BY122" s="44" t="str">
        <f t="shared" si="32"/>
        <v/>
      </c>
      <c r="BZ122" s="54"/>
      <c r="CA122" s="22" t="str">
        <f t="shared" si="33"/>
        <v/>
      </c>
      <c r="CB122" s="23"/>
      <c r="CC122" s="44" t="str">
        <f t="shared" si="34"/>
        <v/>
      </c>
      <c r="CD122" s="25"/>
      <c r="CE122" s="44" t="str">
        <f t="shared" si="35"/>
        <v/>
      </c>
      <c r="CF122" s="54"/>
      <c r="CG122" s="22" t="str">
        <f t="shared" si="5"/>
        <v/>
      </c>
      <c r="CH122" s="26"/>
      <c r="CI122" s="91"/>
      <c r="CJ122" s="26"/>
      <c r="CK122" s="91"/>
      <c r="CL122" s="26"/>
    </row>
    <row r="123">
      <c r="A123" s="26">
        <f t="shared" si="58"/>
        <v>121</v>
      </c>
      <c r="B123" s="27"/>
      <c r="C123" s="27" t="s">
        <v>422</v>
      </c>
      <c r="D123" s="27"/>
      <c r="E123" s="26"/>
      <c r="F123" s="26"/>
      <c r="G123" s="20">
        <v>2.0</v>
      </c>
      <c r="H123" s="20">
        <v>1.0</v>
      </c>
      <c r="I123" s="23" t="s">
        <v>72</v>
      </c>
      <c r="J123" s="33"/>
      <c r="K123" s="22">
        <f t="shared" si="53"/>
        <v>2</v>
      </c>
      <c r="L123" s="23" t="s">
        <v>176</v>
      </c>
      <c r="M123" s="44">
        <f t="shared" si="92"/>
        <v>46310.64946</v>
      </c>
      <c r="N123" s="25" t="s">
        <v>69</v>
      </c>
      <c r="O123" s="44">
        <f t="shared" si="93"/>
        <v>46310.67993</v>
      </c>
      <c r="P123" s="29">
        <f t="shared" si="8"/>
        <v>43.86951667</v>
      </c>
      <c r="Q123" s="29">
        <f t="shared" si="9"/>
        <v>0</v>
      </c>
      <c r="R123" s="29">
        <f t="shared" si="10"/>
        <v>0.7311586111</v>
      </c>
      <c r="S123" s="22" t="str">
        <f t="shared" si="11"/>
        <v/>
      </c>
      <c r="T123" s="23"/>
      <c r="U123" s="44" t="str">
        <f t="shared" si="49"/>
        <v/>
      </c>
      <c r="V123" s="25"/>
      <c r="W123" s="44" t="str">
        <f t="shared" si="50"/>
        <v/>
      </c>
      <c r="X123" s="54"/>
      <c r="Y123" s="22" t="str">
        <f t="shared" si="12"/>
        <v/>
      </c>
      <c r="Z123" s="23"/>
      <c r="AA123" s="44" t="str">
        <f t="shared" si="40"/>
        <v/>
      </c>
      <c r="AB123" s="25"/>
      <c r="AC123" s="44" t="str">
        <f t="shared" si="41"/>
        <v/>
      </c>
      <c r="AD123" s="54"/>
      <c r="AE123" s="22" t="str">
        <f t="shared" si="13"/>
        <v/>
      </c>
      <c r="AF123" s="23"/>
      <c r="AG123" s="44" t="str">
        <f t="shared" si="88"/>
        <v/>
      </c>
      <c r="AH123" s="25"/>
      <c r="AI123" s="44" t="str">
        <f t="shared" si="89"/>
        <v/>
      </c>
      <c r="AJ123" s="46">
        <v>0.0</v>
      </c>
      <c r="AK123" s="33"/>
      <c r="AL123" s="22">
        <v>1.0</v>
      </c>
      <c r="AM123" s="23" t="s">
        <v>176</v>
      </c>
      <c r="AN123" s="44">
        <f t="shared" si="91"/>
        <v>46311.40467</v>
      </c>
      <c r="AO123" s="25" t="s">
        <v>69</v>
      </c>
      <c r="AP123" s="44">
        <f t="shared" si="94"/>
        <v>46311.45258</v>
      </c>
      <c r="AQ123" s="29">
        <f t="shared" si="14"/>
        <v>68.98678333</v>
      </c>
      <c r="AR123" s="29">
        <f t="shared" si="15"/>
        <v>0</v>
      </c>
      <c r="AS123" s="29">
        <f t="shared" si="16"/>
        <v>1.149779722</v>
      </c>
      <c r="AT123" s="22" t="str">
        <f t="shared" si="17"/>
        <v/>
      </c>
      <c r="AU123" s="23"/>
      <c r="AV123" s="44" t="str">
        <f t="shared" si="18"/>
        <v/>
      </c>
      <c r="AW123" s="25"/>
      <c r="AX123" s="44" t="str">
        <f t="shared" si="19"/>
        <v/>
      </c>
      <c r="AY123" s="54"/>
      <c r="AZ123" s="22" t="str">
        <f t="shared" si="20"/>
        <v/>
      </c>
      <c r="BA123" s="23"/>
      <c r="BB123" s="44" t="str">
        <f t="shared" si="21"/>
        <v/>
      </c>
      <c r="BC123" s="25"/>
      <c r="BD123" s="44" t="str">
        <f t="shared" si="22"/>
        <v/>
      </c>
      <c r="BE123" s="54"/>
      <c r="BF123" s="22" t="str">
        <f t="shared" si="23"/>
        <v/>
      </c>
      <c r="BG123" s="23"/>
      <c r="BH123" s="44" t="str">
        <f t="shared" si="86"/>
        <v/>
      </c>
      <c r="BI123" s="25"/>
      <c r="BJ123" s="44" t="str">
        <f t="shared" si="87"/>
        <v/>
      </c>
      <c r="BK123" s="46">
        <v>0.0</v>
      </c>
      <c r="BL123" s="33"/>
      <c r="BM123" s="22" t="str">
        <f t="shared" si="24"/>
        <v/>
      </c>
      <c r="BN123" s="23"/>
      <c r="BO123" s="44" t="str">
        <f t="shared" si="25"/>
        <v/>
      </c>
      <c r="BP123" s="25"/>
      <c r="BQ123" s="44" t="str">
        <f t="shared" si="26"/>
        <v/>
      </c>
      <c r="BR123" s="29" t="str">
        <f t="shared" si="27"/>
        <v/>
      </c>
      <c r="BS123" s="29">
        <f t="shared" si="28"/>
        <v>0</v>
      </c>
      <c r="BT123" s="29">
        <f t="shared" si="29"/>
        <v>0</v>
      </c>
      <c r="BU123" s="22" t="str">
        <f t="shared" si="30"/>
        <v/>
      </c>
      <c r="BV123" s="23"/>
      <c r="BW123" s="44" t="str">
        <f t="shared" si="31"/>
        <v/>
      </c>
      <c r="BX123" s="25"/>
      <c r="BY123" s="44" t="str">
        <f t="shared" si="32"/>
        <v/>
      </c>
      <c r="BZ123" s="54"/>
      <c r="CA123" s="22" t="str">
        <f t="shared" si="33"/>
        <v/>
      </c>
      <c r="CB123" s="23"/>
      <c r="CC123" s="44" t="str">
        <f t="shared" si="34"/>
        <v/>
      </c>
      <c r="CD123" s="25"/>
      <c r="CE123" s="44" t="str">
        <f t="shared" si="35"/>
        <v/>
      </c>
      <c r="CF123" s="54"/>
      <c r="CG123" s="22" t="str">
        <f t="shared" si="5"/>
        <v/>
      </c>
      <c r="CH123" s="26"/>
      <c r="CI123" s="91"/>
      <c r="CJ123" s="26"/>
      <c r="CK123" s="91"/>
      <c r="CL123" s="26"/>
    </row>
    <row r="124">
      <c r="A124" s="26">
        <f t="shared" si="58"/>
        <v>122</v>
      </c>
      <c r="B124" s="27"/>
      <c r="C124" s="27" t="s">
        <v>423</v>
      </c>
      <c r="D124" s="27"/>
      <c r="E124" s="26"/>
      <c r="F124" s="26"/>
      <c r="G124" s="20">
        <v>2.0</v>
      </c>
      <c r="H124" s="20">
        <v>1.0</v>
      </c>
      <c r="I124" s="23" t="s">
        <v>72</v>
      </c>
      <c r="J124" s="33"/>
      <c r="K124" s="22">
        <f t="shared" si="53"/>
        <v>2</v>
      </c>
      <c r="L124" s="23" t="s">
        <v>180</v>
      </c>
      <c r="M124" s="44">
        <f t="shared" si="92"/>
        <v>46310.67748</v>
      </c>
      <c r="N124" s="25" t="s">
        <v>69</v>
      </c>
      <c r="O124" s="34">
        <v>46311.57127732639</v>
      </c>
      <c r="P124" s="29">
        <f t="shared" si="8"/>
        <v>1287.066067</v>
      </c>
      <c r="Q124" s="29">
        <f t="shared" si="9"/>
        <v>1020</v>
      </c>
      <c r="R124" s="29">
        <f t="shared" si="10"/>
        <v>4.451101111</v>
      </c>
      <c r="S124" s="22" t="str">
        <f t="shared" si="11"/>
        <v/>
      </c>
      <c r="T124" s="23"/>
      <c r="U124" s="44" t="str">
        <f t="shared" si="49"/>
        <v/>
      </c>
      <c r="V124" s="25"/>
      <c r="W124" s="44" t="str">
        <f t="shared" si="50"/>
        <v/>
      </c>
      <c r="X124" s="54"/>
      <c r="Y124" s="22" t="str">
        <f t="shared" si="12"/>
        <v/>
      </c>
      <c r="Z124" s="23"/>
      <c r="AA124" s="44" t="str">
        <f t="shared" si="40"/>
        <v/>
      </c>
      <c r="AB124" s="25"/>
      <c r="AC124" s="44" t="str">
        <f t="shared" si="41"/>
        <v/>
      </c>
      <c r="AD124" s="54"/>
      <c r="AE124" s="22" t="str">
        <f t="shared" si="13"/>
        <v/>
      </c>
      <c r="AF124" s="23"/>
      <c r="AG124" s="44" t="str">
        <f t="shared" si="88"/>
        <v/>
      </c>
      <c r="AH124" s="25"/>
      <c r="AI124" s="44" t="str">
        <f t="shared" si="89"/>
        <v/>
      </c>
      <c r="AJ124" s="46">
        <v>0.0</v>
      </c>
      <c r="AK124" s="33"/>
      <c r="AL124" s="22">
        <v>1.0</v>
      </c>
      <c r="AM124" s="23" t="s">
        <v>180</v>
      </c>
      <c r="AN124" s="44">
        <f t="shared" si="91"/>
        <v>46311.57325</v>
      </c>
      <c r="AO124" s="25" t="s">
        <v>69</v>
      </c>
      <c r="AP124" s="34">
        <v>46311.61969925926</v>
      </c>
      <c r="AQ124" s="29">
        <f t="shared" si="14"/>
        <v>66.8923</v>
      </c>
      <c r="AR124" s="29">
        <f t="shared" si="15"/>
        <v>0</v>
      </c>
      <c r="AS124" s="29">
        <f t="shared" si="16"/>
        <v>1.114871667</v>
      </c>
      <c r="AT124" s="22" t="str">
        <f t="shared" si="17"/>
        <v/>
      </c>
      <c r="AU124" s="23"/>
      <c r="AV124" s="44" t="str">
        <f t="shared" si="18"/>
        <v/>
      </c>
      <c r="AW124" s="25"/>
      <c r="AX124" s="44" t="str">
        <f t="shared" si="19"/>
        <v/>
      </c>
      <c r="AY124" s="54"/>
      <c r="AZ124" s="22" t="str">
        <f t="shared" si="20"/>
        <v/>
      </c>
      <c r="BA124" s="23"/>
      <c r="BB124" s="44" t="str">
        <f t="shared" si="21"/>
        <v/>
      </c>
      <c r="BC124" s="25"/>
      <c r="BD124" s="44" t="str">
        <f t="shared" si="22"/>
        <v/>
      </c>
      <c r="BE124" s="54"/>
      <c r="BF124" s="22" t="str">
        <f t="shared" si="23"/>
        <v/>
      </c>
      <c r="BG124" s="23"/>
      <c r="BH124" s="44" t="str">
        <f t="shared" si="86"/>
        <v/>
      </c>
      <c r="BI124" s="25"/>
      <c r="BJ124" s="44" t="str">
        <f t="shared" si="87"/>
        <v/>
      </c>
      <c r="BK124" s="46">
        <v>0.0</v>
      </c>
      <c r="BL124" s="33"/>
      <c r="BM124" s="22" t="str">
        <f t="shared" si="24"/>
        <v/>
      </c>
      <c r="BN124" s="23"/>
      <c r="BO124" s="44" t="str">
        <f t="shared" si="25"/>
        <v/>
      </c>
      <c r="BP124" s="25"/>
      <c r="BQ124" s="44" t="str">
        <f t="shared" si="26"/>
        <v/>
      </c>
      <c r="BR124" s="29" t="str">
        <f t="shared" si="27"/>
        <v/>
      </c>
      <c r="BS124" s="29">
        <f t="shared" si="28"/>
        <v>0</v>
      </c>
      <c r="BT124" s="29">
        <f t="shared" si="29"/>
        <v>0</v>
      </c>
      <c r="BU124" s="22" t="str">
        <f t="shared" si="30"/>
        <v/>
      </c>
      <c r="BV124" s="23"/>
      <c r="BW124" s="44" t="str">
        <f t="shared" si="31"/>
        <v/>
      </c>
      <c r="BX124" s="25"/>
      <c r="BY124" s="44" t="str">
        <f t="shared" si="32"/>
        <v/>
      </c>
      <c r="BZ124" s="54"/>
      <c r="CA124" s="22" t="str">
        <f t="shared" si="33"/>
        <v/>
      </c>
      <c r="CB124" s="23"/>
      <c r="CC124" s="44" t="str">
        <f t="shared" si="34"/>
        <v/>
      </c>
      <c r="CD124" s="25"/>
      <c r="CE124" s="44" t="str">
        <f t="shared" si="35"/>
        <v/>
      </c>
      <c r="CF124" s="54"/>
      <c r="CG124" s="22" t="str">
        <f t="shared" si="5"/>
        <v/>
      </c>
      <c r="CH124" s="26"/>
      <c r="CI124" s="91"/>
      <c r="CJ124" s="26"/>
      <c r="CK124" s="91"/>
      <c r="CL124" s="26"/>
    </row>
    <row r="125">
      <c r="A125" s="26">
        <f t="shared" si="58"/>
        <v>123</v>
      </c>
      <c r="B125" s="27"/>
      <c r="C125" s="27" t="s">
        <v>424</v>
      </c>
      <c r="D125" s="27"/>
      <c r="E125" s="26"/>
      <c r="F125" s="26"/>
      <c r="G125" s="20">
        <v>1.0</v>
      </c>
      <c r="H125" s="20">
        <v>1.0</v>
      </c>
      <c r="I125" s="23" t="s">
        <v>72</v>
      </c>
      <c r="J125" s="33"/>
      <c r="K125" s="22">
        <f t="shared" si="53"/>
        <v>1</v>
      </c>
      <c r="L125" s="23" t="s">
        <v>225</v>
      </c>
      <c r="M125" s="44">
        <f t="shared" si="92"/>
        <v>46311.4436</v>
      </c>
      <c r="N125" s="25" t="s">
        <v>69</v>
      </c>
      <c r="O125" s="34">
        <v>46311.47468170139</v>
      </c>
      <c r="P125" s="29">
        <f t="shared" si="8"/>
        <v>44.75118333</v>
      </c>
      <c r="Q125" s="29">
        <f t="shared" si="9"/>
        <v>0</v>
      </c>
      <c r="R125" s="29">
        <f t="shared" si="10"/>
        <v>0.7458530555</v>
      </c>
      <c r="S125" s="22" t="str">
        <f t="shared" si="11"/>
        <v/>
      </c>
      <c r="T125" s="23"/>
      <c r="U125" s="44" t="str">
        <f t="shared" si="49"/>
        <v/>
      </c>
      <c r="V125" s="25"/>
      <c r="W125" s="44" t="str">
        <f t="shared" si="50"/>
        <v/>
      </c>
      <c r="X125" s="54"/>
      <c r="Y125" s="22" t="str">
        <f t="shared" si="12"/>
        <v/>
      </c>
      <c r="Z125" s="23"/>
      <c r="AA125" s="44" t="str">
        <f t="shared" si="40"/>
        <v/>
      </c>
      <c r="AB125" s="25"/>
      <c r="AC125" s="44" t="str">
        <f t="shared" si="41"/>
        <v/>
      </c>
      <c r="AD125" s="54"/>
      <c r="AE125" s="22" t="str">
        <f t="shared" si="13"/>
        <v/>
      </c>
      <c r="AF125" s="23"/>
      <c r="AG125" s="44" t="str">
        <f t="shared" si="88"/>
        <v/>
      </c>
      <c r="AH125" s="25"/>
      <c r="AI125" s="44" t="str">
        <f t="shared" si="89"/>
        <v/>
      </c>
      <c r="AJ125" s="46">
        <v>0.0</v>
      </c>
      <c r="AK125" s="33"/>
      <c r="AL125" s="22">
        <v>1.0</v>
      </c>
      <c r="AM125" s="23" t="s">
        <v>225</v>
      </c>
      <c r="AN125" s="44">
        <f t="shared" si="91"/>
        <v>46311.54707</v>
      </c>
      <c r="AO125" s="25" t="s">
        <v>69</v>
      </c>
      <c r="AP125" s="34">
        <v>46311.58996722222</v>
      </c>
      <c r="AQ125" s="29">
        <f t="shared" si="14"/>
        <v>61.77365</v>
      </c>
      <c r="AR125" s="29">
        <f t="shared" si="15"/>
        <v>0</v>
      </c>
      <c r="AS125" s="29">
        <f t="shared" si="16"/>
        <v>1.029560833</v>
      </c>
      <c r="AT125" s="22" t="str">
        <f t="shared" si="17"/>
        <v/>
      </c>
      <c r="AU125" s="23"/>
      <c r="AV125" s="44" t="str">
        <f t="shared" si="18"/>
        <v/>
      </c>
      <c r="AW125" s="25"/>
      <c r="AX125" s="44" t="str">
        <f t="shared" si="19"/>
        <v/>
      </c>
      <c r="AY125" s="54"/>
      <c r="AZ125" s="22" t="str">
        <f t="shared" si="20"/>
        <v/>
      </c>
      <c r="BA125" s="23"/>
      <c r="BB125" s="44" t="str">
        <f t="shared" si="21"/>
        <v/>
      </c>
      <c r="BC125" s="25"/>
      <c r="BD125" s="44" t="str">
        <f t="shared" si="22"/>
        <v/>
      </c>
      <c r="BE125" s="54"/>
      <c r="BF125" s="22" t="str">
        <f t="shared" si="23"/>
        <v/>
      </c>
      <c r="BG125" s="23"/>
      <c r="BH125" s="44" t="str">
        <f t="shared" si="86"/>
        <v/>
      </c>
      <c r="BI125" s="25"/>
      <c r="BJ125" s="44" t="str">
        <f t="shared" si="87"/>
        <v/>
      </c>
      <c r="BK125" s="46">
        <v>0.0</v>
      </c>
      <c r="BL125" s="33"/>
      <c r="BM125" s="22" t="str">
        <f t="shared" si="24"/>
        <v/>
      </c>
      <c r="BN125" s="23"/>
      <c r="BO125" s="44" t="str">
        <f t="shared" si="25"/>
        <v/>
      </c>
      <c r="BP125" s="25"/>
      <c r="BQ125" s="44" t="str">
        <f t="shared" si="26"/>
        <v/>
      </c>
      <c r="BR125" s="29" t="str">
        <f t="shared" si="27"/>
        <v/>
      </c>
      <c r="BS125" s="29">
        <f t="shared" si="28"/>
        <v>0</v>
      </c>
      <c r="BT125" s="29">
        <f t="shared" si="29"/>
        <v>0</v>
      </c>
      <c r="BU125" s="22" t="str">
        <f t="shared" si="30"/>
        <v/>
      </c>
      <c r="BV125" s="23"/>
      <c r="BW125" s="44" t="str">
        <f t="shared" si="31"/>
        <v/>
      </c>
      <c r="BX125" s="25"/>
      <c r="BY125" s="44" t="str">
        <f t="shared" si="32"/>
        <v/>
      </c>
      <c r="BZ125" s="54"/>
      <c r="CA125" s="22" t="str">
        <f t="shared" si="33"/>
        <v/>
      </c>
      <c r="CB125" s="23"/>
      <c r="CC125" s="44" t="str">
        <f t="shared" si="34"/>
        <v/>
      </c>
      <c r="CD125" s="25"/>
      <c r="CE125" s="44" t="str">
        <f t="shared" si="35"/>
        <v/>
      </c>
      <c r="CF125" s="54"/>
      <c r="CG125" s="22" t="str">
        <f t="shared" si="5"/>
        <v/>
      </c>
      <c r="CH125" s="26"/>
      <c r="CI125" s="91"/>
      <c r="CJ125" s="26"/>
      <c r="CK125" s="91"/>
      <c r="CL125" s="26"/>
    </row>
    <row r="126">
      <c r="A126" s="26">
        <f t="shared" si="58"/>
        <v>124</v>
      </c>
      <c r="B126" s="27"/>
      <c r="C126" s="27" t="s">
        <v>425</v>
      </c>
      <c r="D126" s="27"/>
      <c r="E126" s="26"/>
      <c r="F126" s="26"/>
      <c r="G126" s="20">
        <v>2.0</v>
      </c>
      <c r="H126" s="20">
        <v>1.0</v>
      </c>
      <c r="I126" s="23" t="s">
        <v>72</v>
      </c>
      <c r="J126" s="33"/>
      <c r="K126" s="22">
        <f t="shared" si="53"/>
        <v>2</v>
      </c>
      <c r="L126" s="23" t="s">
        <v>126</v>
      </c>
      <c r="M126" s="44">
        <f t="shared" si="92"/>
        <v>46311.44074</v>
      </c>
      <c r="N126" s="25" t="s">
        <v>69</v>
      </c>
      <c r="O126" s="34">
        <v>46311.59198269676</v>
      </c>
      <c r="P126" s="29">
        <f t="shared" si="8"/>
        <v>217.7868167</v>
      </c>
      <c r="Q126" s="29">
        <f t="shared" si="9"/>
        <v>60</v>
      </c>
      <c r="R126" s="29">
        <f t="shared" si="10"/>
        <v>2.629780278</v>
      </c>
      <c r="S126" s="22" t="str">
        <f t="shared" si="11"/>
        <v/>
      </c>
      <c r="T126" s="23"/>
      <c r="U126" s="44" t="str">
        <f t="shared" si="49"/>
        <v/>
      </c>
      <c r="V126" s="25"/>
      <c r="W126" s="44" t="str">
        <f t="shared" si="50"/>
        <v/>
      </c>
      <c r="X126" s="54"/>
      <c r="Y126" s="22" t="str">
        <f t="shared" si="12"/>
        <v/>
      </c>
      <c r="Z126" s="23"/>
      <c r="AA126" s="44" t="str">
        <f t="shared" si="40"/>
        <v/>
      </c>
      <c r="AB126" s="25"/>
      <c r="AC126" s="44" t="str">
        <f t="shared" si="41"/>
        <v/>
      </c>
      <c r="AD126" s="54"/>
      <c r="AE126" s="22" t="str">
        <f t="shared" si="13"/>
        <v/>
      </c>
      <c r="AF126" s="23"/>
      <c r="AG126" s="44" t="str">
        <f t="shared" si="88"/>
        <v/>
      </c>
      <c r="AH126" s="25"/>
      <c r="AI126" s="44" t="str">
        <f t="shared" si="89"/>
        <v/>
      </c>
      <c r="AJ126" s="46">
        <v>0.0</v>
      </c>
      <c r="AK126" s="33"/>
      <c r="AL126" s="22">
        <v>1.0</v>
      </c>
      <c r="AM126" s="23" t="s">
        <v>126</v>
      </c>
      <c r="AN126" s="44">
        <f t="shared" si="91"/>
        <v>46311.59683</v>
      </c>
      <c r="AO126" s="25" t="s">
        <v>69</v>
      </c>
      <c r="AP126" s="34">
        <v>46311.64569878472</v>
      </c>
      <c r="AQ126" s="29">
        <f t="shared" si="14"/>
        <v>70.36754999</v>
      </c>
      <c r="AR126" s="29">
        <f t="shared" si="15"/>
        <v>0</v>
      </c>
      <c r="AS126" s="29">
        <f t="shared" si="16"/>
        <v>1.1727925</v>
      </c>
      <c r="AT126" s="22" t="str">
        <f t="shared" si="17"/>
        <v/>
      </c>
      <c r="AU126" s="23"/>
      <c r="AV126" s="44" t="str">
        <f t="shared" si="18"/>
        <v/>
      </c>
      <c r="AW126" s="25"/>
      <c r="AX126" s="44" t="str">
        <f t="shared" si="19"/>
        <v/>
      </c>
      <c r="AY126" s="54"/>
      <c r="AZ126" s="22" t="str">
        <f t="shared" si="20"/>
        <v/>
      </c>
      <c r="BA126" s="23"/>
      <c r="BB126" s="44" t="str">
        <f t="shared" si="21"/>
        <v/>
      </c>
      <c r="BC126" s="25"/>
      <c r="BD126" s="44" t="str">
        <f t="shared" si="22"/>
        <v/>
      </c>
      <c r="BE126" s="54"/>
      <c r="BF126" s="22" t="str">
        <f t="shared" si="23"/>
        <v/>
      </c>
      <c r="BG126" s="23"/>
      <c r="BH126" s="44" t="str">
        <f t="shared" si="86"/>
        <v/>
      </c>
      <c r="BI126" s="25"/>
      <c r="BJ126" s="44" t="str">
        <f t="shared" si="87"/>
        <v/>
      </c>
      <c r="BK126" s="46">
        <v>0.0</v>
      </c>
      <c r="BL126" s="33"/>
      <c r="BM126" s="22" t="str">
        <f t="shared" si="24"/>
        <v/>
      </c>
      <c r="BN126" s="23"/>
      <c r="BO126" s="44" t="str">
        <f t="shared" si="25"/>
        <v/>
      </c>
      <c r="BP126" s="25"/>
      <c r="BQ126" s="44" t="str">
        <f t="shared" si="26"/>
        <v/>
      </c>
      <c r="BR126" s="29" t="str">
        <f t="shared" si="27"/>
        <v/>
      </c>
      <c r="BS126" s="29">
        <f t="shared" si="28"/>
        <v>0</v>
      </c>
      <c r="BT126" s="29">
        <f t="shared" si="29"/>
        <v>0</v>
      </c>
      <c r="BU126" s="22" t="str">
        <f t="shared" si="30"/>
        <v/>
      </c>
      <c r="BV126" s="23"/>
      <c r="BW126" s="44" t="str">
        <f t="shared" si="31"/>
        <v/>
      </c>
      <c r="BX126" s="25"/>
      <c r="BY126" s="44" t="str">
        <f t="shared" si="32"/>
        <v/>
      </c>
      <c r="BZ126" s="54"/>
      <c r="CA126" s="22" t="str">
        <f t="shared" si="33"/>
        <v/>
      </c>
      <c r="CB126" s="23"/>
      <c r="CC126" s="44" t="str">
        <f t="shared" si="34"/>
        <v/>
      </c>
      <c r="CD126" s="25"/>
      <c r="CE126" s="44" t="str">
        <f t="shared" si="35"/>
        <v/>
      </c>
      <c r="CF126" s="54"/>
      <c r="CG126" s="22" t="str">
        <f t="shared" si="5"/>
        <v/>
      </c>
      <c r="CH126" s="26"/>
      <c r="CI126" s="91"/>
      <c r="CJ126" s="26"/>
      <c r="CK126" s="91"/>
      <c r="CL126" s="26"/>
    </row>
    <row r="127">
      <c r="A127" s="26">
        <f t="shared" si="58"/>
        <v>125</v>
      </c>
      <c r="B127" s="27" t="s">
        <v>205</v>
      </c>
      <c r="C127" s="62" t="s">
        <v>431</v>
      </c>
      <c r="D127" s="27"/>
      <c r="E127" s="26"/>
      <c r="F127" s="26"/>
      <c r="G127" s="20">
        <v>1.0</v>
      </c>
      <c r="H127" s="20">
        <v>2.0</v>
      </c>
      <c r="I127" s="23" t="s">
        <v>72</v>
      </c>
      <c r="J127" s="33"/>
      <c r="K127" s="22">
        <f t="shared" si="53"/>
        <v>1</v>
      </c>
      <c r="L127" s="23" t="s">
        <v>289</v>
      </c>
      <c r="M127" s="44">
        <f t="shared" si="92"/>
        <v>46310.6688</v>
      </c>
      <c r="N127" s="25" t="s">
        <v>69</v>
      </c>
      <c r="O127" s="34">
        <v>46311.407013703705</v>
      </c>
      <c r="P127" s="29">
        <f t="shared" si="8"/>
        <v>1063.026533</v>
      </c>
      <c r="Q127" s="29">
        <f t="shared" si="9"/>
        <v>960</v>
      </c>
      <c r="R127" s="29">
        <f t="shared" si="10"/>
        <v>1.717108889</v>
      </c>
      <c r="S127" s="22" t="str">
        <f t="shared" si="11"/>
        <v/>
      </c>
      <c r="T127" s="23"/>
      <c r="U127" s="44" t="str">
        <f t="shared" si="49"/>
        <v/>
      </c>
      <c r="V127" s="25"/>
      <c r="W127" s="44" t="str">
        <f t="shared" si="50"/>
        <v/>
      </c>
      <c r="X127" s="54"/>
      <c r="Y127" s="22" t="str">
        <f t="shared" si="12"/>
        <v/>
      </c>
      <c r="Z127" s="23"/>
      <c r="AA127" s="44" t="str">
        <f t="shared" si="40"/>
        <v/>
      </c>
      <c r="AB127" s="25"/>
      <c r="AC127" s="44" t="str">
        <f t="shared" si="41"/>
        <v/>
      </c>
      <c r="AD127" s="54"/>
      <c r="AE127" s="22" t="str">
        <f t="shared" si="13"/>
        <v/>
      </c>
      <c r="AF127" s="23"/>
      <c r="AG127" s="44" t="str">
        <f t="shared" si="88"/>
        <v/>
      </c>
      <c r="AH127" s="25"/>
      <c r="AI127" s="44" t="str">
        <f t="shared" si="89"/>
        <v/>
      </c>
      <c r="AJ127" s="46">
        <v>0.0</v>
      </c>
      <c r="AK127" s="33"/>
      <c r="AL127" s="22">
        <v>2.0</v>
      </c>
      <c r="AM127" s="23" t="s">
        <v>289</v>
      </c>
      <c r="AN127" s="44">
        <f t="shared" si="91"/>
        <v>46311.41279</v>
      </c>
      <c r="AO127" s="25" t="s">
        <v>69</v>
      </c>
      <c r="AP127" s="34">
        <v>46311.478065937496</v>
      </c>
      <c r="AQ127" s="29">
        <f t="shared" si="14"/>
        <v>93.99038333</v>
      </c>
      <c r="AR127" s="29">
        <f t="shared" si="15"/>
        <v>0</v>
      </c>
      <c r="AS127" s="29">
        <f t="shared" si="16"/>
        <v>1.566506389</v>
      </c>
      <c r="AT127" s="22" t="str">
        <f t="shared" si="17"/>
        <v/>
      </c>
      <c r="AU127" s="23"/>
      <c r="AV127" s="44" t="str">
        <f t="shared" si="18"/>
        <v/>
      </c>
      <c r="AW127" s="25"/>
      <c r="AX127" s="44" t="str">
        <f t="shared" si="19"/>
        <v/>
      </c>
      <c r="AY127" s="54"/>
      <c r="AZ127" s="22" t="str">
        <f t="shared" si="20"/>
        <v/>
      </c>
      <c r="BA127" s="23"/>
      <c r="BB127" s="44" t="str">
        <f t="shared" si="21"/>
        <v/>
      </c>
      <c r="BC127" s="25"/>
      <c r="BD127" s="44" t="str">
        <f t="shared" si="22"/>
        <v/>
      </c>
      <c r="BE127" s="54"/>
      <c r="BF127" s="22" t="str">
        <f t="shared" si="23"/>
        <v/>
      </c>
      <c r="BG127" s="23"/>
      <c r="BH127" s="44" t="str">
        <f t="shared" si="86"/>
        <v/>
      </c>
      <c r="BI127" s="25"/>
      <c r="BJ127" s="44" t="str">
        <f t="shared" si="87"/>
        <v/>
      </c>
      <c r="BK127" s="46">
        <v>0.0</v>
      </c>
      <c r="BL127" s="33"/>
      <c r="BM127" s="22" t="str">
        <f t="shared" si="24"/>
        <v/>
      </c>
      <c r="BN127" s="23"/>
      <c r="BO127" s="44" t="str">
        <f t="shared" si="25"/>
        <v/>
      </c>
      <c r="BP127" s="25"/>
      <c r="BQ127" s="44" t="str">
        <f t="shared" si="26"/>
        <v/>
      </c>
      <c r="BR127" s="29" t="str">
        <f t="shared" si="27"/>
        <v/>
      </c>
      <c r="BS127" s="29">
        <f t="shared" si="28"/>
        <v>0</v>
      </c>
      <c r="BT127" s="29">
        <f t="shared" si="29"/>
        <v>0</v>
      </c>
      <c r="BU127" s="22" t="str">
        <f t="shared" si="30"/>
        <v/>
      </c>
      <c r="BV127" s="23"/>
      <c r="BW127" s="44" t="str">
        <f t="shared" si="31"/>
        <v/>
      </c>
      <c r="BX127" s="25"/>
      <c r="BY127" s="44" t="str">
        <f t="shared" si="32"/>
        <v/>
      </c>
      <c r="BZ127" s="54"/>
      <c r="CA127" s="22" t="str">
        <f t="shared" si="33"/>
        <v/>
      </c>
      <c r="CB127" s="23"/>
      <c r="CC127" s="44" t="str">
        <f t="shared" si="34"/>
        <v/>
      </c>
      <c r="CD127" s="25"/>
      <c r="CE127" s="44" t="str">
        <f t="shared" si="35"/>
        <v/>
      </c>
      <c r="CF127" s="54"/>
      <c r="CG127" s="22" t="str">
        <f t="shared" si="5"/>
        <v/>
      </c>
      <c r="CH127" s="26"/>
      <c r="CI127" s="91"/>
      <c r="CJ127" s="26"/>
      <c r="CK127" s="91"/>
      <c r="CL127" s="26"/>
    </row>
    <row r="128">
      <c r="A128" s="26">
        <f t="shared" si="58"/>
        <v>126</v>
      </c>
      <c r="B128" s="27" t="s">
        <v>222</v>
      </c>
      <c r="C128" s="62" t="s">
        <v>432</v>
      </c>
      <c r="D128" s="27"/>
      <c r="E128" s="26"/>
      <c r="F128" s="26"/>
      <c r="G128" s="20">
        <v>1.0</v>
      </c>
      <c r="H128" s="20">
        <v>1.0</v>
      </c>
      <c r="I128" s="23" t="s">
        <v>72</v>
      </c>
      <c r="J128" s="33"/>
      <c r="K128" s="22">
        <f t="shared" si="53"/>
        <v>1</v>
      </c>
      <c r="L128" s="23" t="s">
        <v>104</v>
      </c>
      <c r="M128" s="44">
        <f t="shared" si="92"/>
        <v>46311.44894</v>
      </c>
      <c r="N128" s="25" t="s">
        <v>69</v>
      </c>
      <c r="O128" s="34">
        <v>46311.559032060184</v>
      </c>
      <c r="P128" s="29">
        <f t="shared" si="8"/>
        <v>158.5301167</v>
      </c>
      <c r="Q128" s="29">
        <f t="shared" si="9"/>
        <v>60</v>
      </c>
      <c r="R128" s="29">
        <f t="shared" si="10"/>
        <v>1.642168611</v>
      </c>
      <c r="S128" s="22" t="str">
        <f t="shared" si="11"/>
        <v/>
      </c>
      <c r="T128" s="23"/>
      <c r="U128" s="44" t="str">
        <f t="shared" si="49"/>
        <v/>
      </c>
      <c r="V128" s="25"/>
      <c r="W128" s="44" t="str">
        <f t="shared" si="50"/>
        <v/>
      </c>
      <c r="X128" s="54"/>
      <c r="Y128" s="22" t="str">
        <f t="shared" si="12"/>
        <v/>
      </c>
      <c r="Z128" s="23"/>
      <c r="AA128" s="44" t="str">
        <f t="shared" si="40"/>
        <v/>
      </c>
      <c r="AB128" s="25"/>
      <c r="AC128" s="44" t="str">
        <f t="shared" si="41"/>
        <v/>
      </c>
      <c r="AD128" s="54"/>
      <c r="AE128" s="22" t="str">
        <f t="shared" si="13"/>
        <v/>
      </c>
      <c r="AF128" s="23"/>
      <c r="AG128" s="44" t="str">
        <f t="shared" si="88"/>
        <v/>
      </c>
      <c r="AH128" s="25"/>
      <c r="AI128" s="44" t="str">
        <f t="shared" si="89"/>
        <v/>
      </c>
      <c r="AJ128" s="46">
        <v>0.0</v>
      </c>
      <c r="AK128" s="33"/>
      <c r="AL128" s="22">
        <v>1.0</v>
      </c>
      <c r="AM128" s="23" t="s">
        <v>104</v>
      </c>
      <c r="AN128" s="44">
        <f t="shared" si="91"/>
        <v>46311.56385</v>
      </c>
      <c r="AO128" s="25" t="s">
        <v>69</v>
      </c>
      <c r="AP128" s="34">
        <v>46311.61999133102</v>
      </c>
      <c r="AQ128" s="29">
        <f t="shared" si="14"/>
        <v>80.8395</v>
      </c>
      <c r="AR128" s="29">
        <f t="shared" si="15"/>
        <v>0</v>
      </c>
      <c r="AS128" s="29">
        <f t="shared" si="16"/>
        <v>1.347325</v>
      </c>
      <c r="AT128" s="22" t="str">
        <f t="shared" si="17"/>
        <v/>
      </c>
      <c r="AU128" s="23"/>
      <c r="AV128" s="44" t="str">
        <f t="shared" si="18"/>
        <v/>
      </c>
      <c r="AW128" s="25"/>
      <c r="AX128" s="44" t="str">
        <f t="shared" si="19"/>
        <v/>
      </c>
      <c r="AY128" s="54"/>
      <c r="AZ128" s="22" t="str">
        <f t="shared" si="20"/>
        <v/>
      </c>
      <c r="BA128" s="23"/>
      <c r="BB128" s="44" t="str">
        <f t="shared" si="21"/>
        <v/>
      </c>
      <c r="BC128" s="25"/>
      <c r="BD128" s="44" t="str">
        <f t="shared" si="22"/>
        <v/>
      </c>
      <c r="BE128" s="54"/>
      <c r="BF128" s="22" t="str">
        <f t="shared" si="23"/>
        <v/>
      </c>
      <c r="BG128" s="23"/>
      <c r="BH128" s="44" t="str">
        <f t="shared" si="86"/>
        <v/>
      </c>
      <c r="BI128" s="25"/>
      <c r="BJ128" s="44" t="str">
        <f t="shared" si="87"/>
        <v/>
      </c>
      <c r="BK128" s="46">
        <v>0.0</v>
      </c>
      <c r="BL128" s="33"/>
      <c r="BM128" s="22" t="str">
        <f t="shared" si="24"/>
        <v/>
      </c>
      <c r="BN128" s="23"/>
      <c r="BO128" s="44" t="str">
        <f t="shared" si="25"/>
        <v/>
      </c>
      <c r="BP128" s="25"/>
      <c r="BQ128" s="44" t="str">
        <f t="shared" si="26"/>
        <v/>
      </c>
      <c r="BR128" s="29" t="str">
        <f t="shared" si="27"/>
        <v/>
      </c>
      <c r="BS128" s="29">
        <f t="shared" si="28"/>
        <v>0</v>
      </c>
      <c r="BT128" s="29">
        <f t="shared" si="29"/>
        <v>0</v>
      </c>
      <c r="BU128" s="22" t="str">
        <f t="shared" si="30"/>
        <v/>
      </c>
      <c r="BV128" s="23"/>
      <c r="BW128" s="44" t="str">
        <f t="shared" si="31"/>
        <v/>
      </c>
      <c r="BX128" s="25"/>
      <c r="BY128" s="44" t="str">
        <f t="shared" si="32"/>
        <v/>
      </c>
      <c r="BZ128" s="54"/>
      <c r="CA128" s="22" t="str">
        <f t="shared" si="33"/>
        <v/>
      </c>
      <c r="CB128" s="23"/>
      <c r="CC128" s="44" t="str">
        <f t="shared" si="34"/>
        <v/>
      </c>
      <c r="CD128" s="25"/>
      <c r="CE128" s="44" t="str">
        <f t="shared" si="35"/>
        <v/>
      </c>
      <c r="CF128" s="54"/>
      <c r="CG128" s="22" t="str">
        <f t="shared" si="5"/>
        <v/>
      </c>
      <c r="CH128" s="26"/>
      <c r="CI128" s="91"/>
      <c r="CJ128" s="26"/>
      <c r="CK128" s="91"/>
      <c r="CL128" s="26"/>
    </row>
    <row r="129">
      <c r="A129" s="26">
        <f t="shared" si="58"/>
        <v>127</v>
      </c>
      <c r="B129" s="27" t="s">
        <v>433</v>
      </c>
      <c r="C129" s="27" t="s">
        <v>434</v>
      </c>
      <c r="D129" s="27"/>
      <c r="E129" s="26"/>
      <c r="F129" s="26"/>
      <c r="G129" s="20">
        <v>1.0</v>
      </c>
      <c r="H129" s="20">
        <v>1.0</v>
      </c>
      <c r="I129" s="23" t="s">
        <v>72</v>
      </c>
      <c r="J129" s="33"/>
      <c r="K129" s="22">
        <f t="shared" si="53"/>
        <v>1</v>
      </c>
      <c r="L129" s="23" t="s">
        <v>210</v>
      </c>
      <c r="M129" s="34">
        <v>46311.55355355324</v>
      </c>
      <c r="N129" s="25" t="s">
        <v>69</v>
      </c>
      <c r="O129" s="34">
        <v>46311.56721146991</v>
      </c>
      <c r="P129" s="29"/>
      <c r="Q129" s="29"/>
      <c r="R129" s="29"/>
      <c r="S129" s="22"/>
      <c r="T129" s="23"/>
      <c r="U129" s="44"/>
      <c r="V129" s="25"/>
      <c r="W129" s="44"/>
      <c r="X129" s="54"/>
      <c r="Y129" s="22"/>
      <c r="Z129" s="23"/>
      <c r="AA129" s="44"/>
      <c r="AB129" s="25"/>
      <c r="AC129" s="44"/>
      <c r="AD129" s="54"/>
      <c r="AE129" s="22"/>
      <c r="AF129" s="23"/>
      <c r="AG129" s="44"/>
      <c r="AH129" s="25"/>
      <c r="AI129" s="44"/>
      <c r="AJ129" s="46"/>
      <c r="AK129" s="33"/>
      <c r="AL129" s="22">
        <v>1.0</v>
      </c>
      <c r="AM129" s="23" t="s">
        <v>210</v>
      </c>
      <c r="AN129" s="34">
        <v>46311.57914700231</v>
      </c>
      <c r="AO129" s="25" t="s">
        <v>69</v>
      </c>
      <c r="AP129" s="34">
        <v>46311.600311064816</v>
      </c>
      <c r="AQ129" s="29"/>
      <c r="AR129" s="29"/>
      <c r="AS129" s="29"/>
      <c r="AT129" s="22"/>
      <c r="AU129" s="23"/>
      <c r="AV129" s="44"/>
      <c r="AW129" s="25"/>
      <c r="AX129" s="44"/>
      <c r="AY129" s="54"/>
      <c r="AZ129" s="22"/>
      <c r="BA129" s="23"/>
      <c r="BB129" s="44"/>
      <c r="BC129" s="25"/>
      <c r="BD129" s="44"/>
      <c r="BE129" s="54"/>
      <c r="BF129" s="22"/>
      <c r="BG129" s="23"/>
      <c r="BH129" s="44"/>
      <c r="BI129" s="25"/>
      <c r="BJ129" s="44"/>
      <c r="BK129" s="46"/>
      <c r="BL129" s="33"/>
      <c r="BM129" s="22"/>
      <c r="BN129" s="23"/>
      <c r="BO129" s="44"/>
      <c r="BP129" s="25"/>
      <c r="BQ129" s="44"/>
      <c r="BR129" s="29"/>
      <c r="BS129" s="29"/>
      <c r="BT129" s="29"/>
      <c r="BU129" s="22"/>
      <c r="BV129" s="23"/>
      <c r="BW129" s="44"/>
      <c r="BX129" s="25"/>
      <c r="BY129" s="44"/>
      <c r="BZ129" s="54"/>
      <c r="CA129" s="22"/>
      <c r="CB129" s="23"/>
      <c r="CC129" s="44"/>
      <c r="CD129" s="25"/>
      <c r="CE129" s="44"/>
      <c r="CF129" s="54"/>
      <c r="CG129" s="22"/>
      <c r="CH129" s="26"/>
      <c r="CI129" s="91"/>
      <c r="CJ129" s="26"/>
      <c r="CK129" s="91"/>
      <c r="CL129" s="26"/>
    </row>
    <row r="130">
      <c r="A130" s="26">
        <f t="shared" si="58"/>
        <v>128</v>
      </c>
      <c r="B130" s="27" t="s">
        <v>433</v>
      </c>
      <c r="C130" s="27" t="s">
        <v>435</v>
      </c>
      <c r="D130" s="27"/>
      <c r="E130" s="26"/>
      <c r="F130" s="26"/>
      <c r="G130" s="20">
        <v>1.0</v>
      </c>
      <c r="H130" s="20">
        <v>1.0</v>
      </c>
      <c r="I130" s="23" t="s">
        <v>72</v>
      </c>
      <c r="J130" s="33"/>
      <c r="K130" s="22">
        <f t="shared" si="53"/>
        <v>1</v>
      </c>
      <c r="L130" s="23" t="s">
        <v>224</v>
      </c>
      <c r="M130" s="34">
        <v>46311.57209797454</v>
      </c>
      <c r="N130" s="25" t="s">
        <v>69</v>
      </c>
      <c r="O130" s="34">
        <v>46311.59631105324</v>
      </c>
      <c r="P130" s="29"/>
      <c r="Q130" s="29"/>
      <c r="R130" s="29"/>
      <c r="S130" s="22"/>
      <c r="T130" s="23"/>
      <c r="U130" s="44"/>
      <c r="V130" s="25"/>
      <c r="W130" s="44"/>
      <c r="X130" s="54"/>
      <c r="Y130" s="22"/>
      <c r="Z130" s="23"/>
      <c r="AA130" s="44"/>
      <c r="AB130" s="25"/>
      <c r="AC130" s="44"/>
      <c r="AD130" s="54"/>
      <c r="AE130" s="22"/>
      <c r="AF130" s="23"/>
      <c r="AG130" s="44"/>
      <c r="AH130" s="25"/>
      <c r="AI130" s="44"/>
      <c r="AJ130" s="46"/>
      <c r="AK130" s="33"/>
      <c r="AL130" s="22">
        <v>1.0</v>
      </c>
      <c r="AM130" s="23" t="s">
        <v>224</v>
      </c>
      <c r="AN130" s="34">
        <v>46311.598134189815</v>
      </c>
      <c r="AO130" s="25" t="s">
        <v>69</v>
      </c>
      <c r="AP130" s="34">
        <v>46311.649065798614</v>
      </c>
      <c r="AQ130" s="29"/>
      <c r="AR130" s="29"/>
      <c r="AS130" s="29"/>
      <c r="AT130" s="22"/>
      <c r="AU130" s="23"/>
      <c r="AV130" s="44"/>
      <c r="AW130" s="25"/>
      <c r="AX130" s="44"/>
      <c r="AY130" s="54"/>
      <c r="AZ130" s="22"/>
      <c r="BA130" s="23"/>
      <c r="BB130" s="44"/>
      <c r="BC130" s="25"/>
      <c r="BD130" s="44"/>
      <c r="BE130" s="54"/>
      <c r="BF130" s="22"/>
      <c r="BG130" s="23"/>
      <c r="BH130" s="44"/>
      <c r="BI130" s="25"/>
      <c r="BJ130" s="44"/>
      <c r="BK130" s="46"/>
      <c r="BL130" s="33"/>
      <c r="BM130" s="22"/>
      <c r="BN130" s="23"/>
      <c r="BO130" s="44"/>
      <c r="BP130" s="25"/>
      <c r="BQ130" s="44"/>
      <c r="BR130" s="29"/>
      <c r="BS130" s="29"/>
      <c r="BT130" s="29"/>
      <c r="BU130" s="22"/>
      <c r="BV130" s="23"/>
      <c r="BW130" s="44"/>
      <c r="BX130" s="25"/>
      <c r="BY130" s="44"/>
      <c r="BZ130" s="54"/>
      <c r="CA130" s="22"/>
      <c r="CB130" s="23"/>
      <c r="CC130" s="44"/>
      <c r="CD130" s="25"/>
      <c r="CE130" s="44"/>
      <c r="CF130" s="54"/>
      <c r="CG130" s="22"/>
      <c r="CH130" s="26"/>
      <c r="CI130" s="91"/>
      <c r="CJ130" s="26"/>
      <c r="CK130" s="91"/>
      <c r="CL130" s="26"/>
    </row>
    <row r="131">
      <c r="A131" s="26">
        <f t="shared" si="58"/>
        <v>129</v>
      </c>
      <c r="B131" s="27" t="s">
        <v>436</v>
      </c>
      <c r="C131" s="27" t="s">
        <v>437</v>
      </c>
      <c r="D131" s="27"/>
      <c r="E131" s="26"/>
      <c r="F131" s="26"/>
      <c r="G131" s="20">
        <v>3.0</v>
      </c>
      <c r="H131" s="20">
        <v>2.0</v>
      </c>
      <c r="I131" s="23" t="s">
        <v>72</v>
      </c>
      <c r="J131" s="33"/>
      <c r="K131" s="22">
        <f t="shared" si="53"/>
        <v>3</v>
      </c>
      <c r="L131" s="23"/>
      <c r="M131" s="44"/>
      <c r="N131" s="25"/>
      <c r="O131" s="44"/>
      <c r="P131" s="29"/>
      <c r="Q131" s="29"/>
      <c r="R131" s="29"/>
      <c r="S131" s="22"/>
      <c r="T131" s="23"/>
      <c r="U131" s="44"/>
      <c r="V131" s="25"/>
      <c r="W131" s="44"/>
      <c r="X131" s="54"/>
      <c r="Y131" s="22"/>
      <c r="Z131" s="23"/>
      <c r="AA131" s="44"/>
      <c r="AB131" s="25"/>
      <c r="AC131" s="44"/>
      <c r="AD131" s="54"/>
      <c r="AE131" s="22"/>
      <c r="AF131" s="23"/>
      <c r="AG131" s="44"/>
      <c r="AH131" s="25"/>
      <c r="AI131" s="44"/>
      <c r="AJ131" s="46"/>
      <c r="AK131" s="33"/>
      <c r="AL131" s="22">
        <v>2.0</v>
      </c>
      <c r="AM131" s="23"/>
      <c r="AN131" s="44"/>
      <c r="AO131" s="25"/>
      <c r="AP131" s="44"/>
      <c r="AQ131" s="29"/>
      <c r="AR131" s="29"/>
      <c r="AS131" s="29"/>
      <c r="AT131" s="22"/>
      <c r="AU131" s="23"/>
      <c r="AV131" s="44"/>
      <c r="AW131" s="25"/>
      <c r="AX131" s="44"/>
      <c r="AY131" s="54"/>
      <c r="AZ131" s="22"/>
      <c r="BA131" s="23"/>
      <c r="BB131" s="44"/>
      <c r="BC131" s="25"/>
      <c r="BD131" s="44"/>
      <c r="BE131" s="54"/>
      <c r="BF131" s="22"/>
      <c r="BG131" s="23"/>
      <c r="BH131" s="44"/>
      <c r="BI131" s="25"/>
      <c r="BJ131" s="44"/>
      <c r="BK131" s="46"/>
      <c r="BL131" s="33"/>
      <c r="BM131" s="22"/>
      <c r="BN131" s="23"/>
      <c r="BO131" s="44"/>
      <c r="BP131" s="25"/>
      <c r="BQ131" s="44"/>
      <c r="BR131" s="29"/>
      <c r="BS131" s="29"/>
      <c r="BT131" s="29"/>
      <c r="BU131" s="22"/>
      <c r="BV131" s="23"/>
      <c r="BW131" s="44"/>
      <c r="BX131" s="25"/>
      <c r="BY131" s="44"/>
      <c r="BZ131" s="54"/>
      <c r="CA131" s="22"/>
      <c r="CB131" s="23"/>
      <c r="CC131" s="44"/>
      <c r="CD131" s="25"/>
      <c r="CE131" s="44"/>
      <c r="CF131" s="54"/>
      <c r="CG131" s="22"/>
      <c r="CH131" s="26"/>
      <c r="CI131" s="91"/>
      <c r="CJ131" s="26"/>
      <c r="CK131" s="91"/>
      <c r="CL131" s="26"/>
    </row>
    <row r="132">
      <c r="A132" s="26">
        <f t="shared" si="58"/>
        <v>130</v>
      </c>
      <c r="B132" s="27" t="s">
        <v>436</v>
      </c>
      <c r="C132" s="27" t="s">
        <v>438</v>
      </c>
      <c r="D132" s="27"/>
      <c r="E132" s="26"/>
      <c r="F132" s="26"/>
      <c r="G132" s="20">
        <v>2.0</v>
      </c>
      <c r="H132" s="20">
        <v>3.0</v>
      </c>
      <c r="I132" s="23" t="s">
        <v>72</v>
      </c>
      <c r="J132" s="33"/>
      <c r="K132" s="22">
        <f t="shared" si="53"/>
        <v>2</v>
      </c>
      <c r="L132" s="23" t="s">
        <v>73</v>
      </c>
      <c r="M132" s="34">
        <v>46311.58156630787</v>
      </c>
      <c r="N132" s="25" t="s">
        <v>69</v>
      </c>
      <c r="O132" s="34">
        <v>46311.678833136575</v>
      </c>
      <c r="P132" s="29"/>
      <c r="Q132" s="29"/>
      <c r="R132" s="29"/>
      <c r="S132" s="22"/>
      <c r="T132" s="23"/>
      <c r="U132" s="44"/>
      <c r="V132" s="25"/>
      <c r="W132" s="44"/>
      <c r="X132" s="54"/>
      <c r="Y132" s="22"/>
      <c r="Z132" s="23"/>
      <c r="AA132" s="44"/>
      <c r="AB132" s="25"/>
      <c r="AC132" s="44"/>
      <c r="AD132" s="54"/>
      <c r="AE132" s="22"/>
      <c r="AF132" s="23"/>
      <c r="AG132" s="44"/>
      <c r="AH132" s="25"/>
      <c r="AI132" s="44"/>
      <c r="AJ132" s="46"/>
      <c r="AK132" s="33"/>
      <c r="AL132" s="22">
        <v>3.0</v>
      </c>
      <c r="AM132" s="23" t="s">
        <v>73</v>
      </c>
      <c r="AN132" s="34">
        <v>46311.68206415509</v>
      </c>
      <c r="AO132" s="25" t="s">
        <v>69</v>
      </c>
      <c r="AP132" s="34">
        <v>46314.56371606482</v>
      </c>
      <c r="AQ132" s="29"/>
      <c r="AR132" s="29"/>
      <c r="AS132" s="29"/>
      <c r="AT132" s="22"/>
      <c r="AU132" s="23"/>
      <c r="AV132" s="44"/>
      <c r="AW132" s="25"/>
      <c r="AX132" s="44"/>
      <c r="AY132" s="54"/>
      <c r="AZ132" s="22"/>
      <c r="BA132" s="23"/>
      <c r="BB132" s="44"/>
      <c r="BC132" s="25"/>
      <c r="BD132" s="44"/>
      <c r="BE132" s="54"/>
      <c r="BF132" s="22"/>
      <c r="BG132" s="23"/>
      <c r="BH132" s="44"/>
      <c r="BI132" s="25"/>
      <c r="BJ132" s="44"/>
      <c r="BK132" s="46"/>
      <c r="BL132" s="33"/>
      <c r="BM132" s="22"/>
      <c r="BN132" s="23"/>
      <c r="BO132" s="44"/>
      <c r="BP132" s="25"/>
      <c r="BQ132" s="44"/>
      <c r="BR132" s="29"/>
      <c r="BS132" s="29"/>
      <c r="BT132" s="29"/>
      <c r="BU132" s="22"/>
      <c r="BV132" s="23"/>
      <c r="BW132" s="44"/>
      <c r="BX132" s="25"/>
      <c r="BY132" s="44"/>
      <c r="BZ132" s="54"/>
      <c r="CA132" s="22"/>
      <c r="CB132" s="23"/>
      <c r="CC132" s="44"/>
      <c r="CD132" s="25"/>
      <c r="CE132" s="44"/>
      <c r="CF132" s="54"/>
      <c r="CG132" s="22"/>
      <c r="CH132" s="26"/>
      <c r="CI132" s="91"/>
      <c r="CJ132" s="26"/>
      <c r="CK132" s="91"/>
      <c r="CL132" s="26"/>
    </row>
    <row r="133">
      <c r="A133" s="26">
        <f t="shared" si="58"/>
        <v>131</v>
      </c>
      <c r="B133" s="27" t="s">
        <v>439</v>
      </c>
      <c r="C133" s="27" t="s">
        <v>440</v>
      </c>
      <c r="D133" s="27"/>
      <c r="E133" s="26"/>
      <c r="F133" s="26"/>
      <c r="G133" s="20">
        <v>1.0</v>
      </c>
      <c r="H133" s="20">
        <v>1.0</v>
      </c>
      <c r="I133" s="23" t="s">
        <v>72</v>
      </c>
      <c r="J133" s="33"/>
      <c r="K133" s="22">
        <f t="shared" si="53"/>
        <v>1</v>
      </c>
      <c r="L133" s="23" t="s">
        <v>269</v>
      </c>
      <c r="M133" s="34">
        <v>46311.59485778935</v>
      </c>
      <c r="N133" s="25" t="s">
        <v>69</v>
      </c>
      <c r="O133" s="34">
        <v>46311.64153496528</v>
      </c>
      <c r="P133" s="29"/>
      <c r="Q133" s="29"/>
      <c r="R133" s="29"/>
      <c r="S133" s="22"/>
      <c r="T133" s="23"/>
      <c r="U133" s="44"/>
      <c r="V133" s="25"/>
      <c r="W133" s="44"/>
      <c r="X133" s="54"/>
      <c r="Y133" s="22"/>
      <c r="Z133" s="23"/>
      <c r="AA133" s="44"/>
      <c r="AB133" s="25"/>
      <c r="AC133" s="44"/>
      <c r="AD133" s="54"/>
      <c r="AE133" s="22"/>
      <c r="AF133" s="23"/>
      <c r="AG133" s="44"/>
      <c r="AH133" s="25"/>
      <c r="AI133" s="44"/>
      <c r="AJ133" s="46"/>
      <c r="AK133" s="33"/>
      <c r="AL133" s="22">
        <v>1.0</v>
      </c>
      <c r="AM133" s="23" t="s">
        <v>269</v>
      </c>
      <c r="AN133" s="34">
        <v>46311.642894965276</v>
      </c>
      <c r="AO133" s="25" t="s">
        <v>69</v>
      </c>
      <c r="AP133" s="34">
        <v>46311.687072395835</v>
      </c>
      <c r="AQ133" s="29"/>
      <c r="AR133" s="29"/>
      <c r="AS133" s="29"/>
      <c r="AT133" s="22"/>
      <c r="AU133" s="23"/>
      <c r="AV133" s="44"/>
      <c r="AW133" s="25"/>
      <c r="AX133" s="44"/>
      <c r="AY133" s="54"/>
      <c r="AZ133" s="22"/>
      <c r="BA133" s="23"/>
      <c r="BB133" s="44"/>
      <c r="BC133" s="25"/>
      <c r="BD133" s="44"/>
      <c r="BE133" s="54"/>
      <c r="BF133" s="22"/>
      <c r="BG133" s="23"/>
      <c r="BH133" s="44"/>
      <c r="BI133" s="25"/>
      <c r="BJ133" s="44"/>
      <c r="BK133" s="46"/>
      <c r="BL133" s="33"/>
      <c r="BM133" s="22"/>
      <c r="BN133" s="23"/>
      <c r="BO133" s="44"/>
      <c r="BP133" s="25"/>
      <c r="BQ133" s="44"/>
      <c r="BR133" s="29"/>
      <c r="BS133" s="29"/>
      <c r="BT133" s="29"/>
      <c r="BU133" s="22"/>
      <c r="BV133" s="23"/>
      <c r="BW133" s="44"/>
      <c r="BX133" s="25"/>
      <c r="BY133" s="44"/>
      <c r="BZ133" s="54"/>
      <c r="CA133" s="22"/>
      <c r="CB133" s="23"/>
      <c r="CC133" s="44"/>
      <c r="CD133" s="25"/>
      <c r="CE133" s="44"/>
      <c r="CF133" s="54"/>
      <c r="CG133" s="22"/>
      <c r="CH133" s="26"/>
      <c r="CI133" s="91"/>
      <c r="CJ133" s="26"/>
      <c r="CK133" s="91"/>
      <c r="CL133" s="26"/>
    </row>
    <row r="134">
      <c r="A134" s="26">
        <f t="shared" si="58"/>
        <v>132</v>
      </c>
      <c r="B134" s="27"/>
      <c r="C134" s="27" t="s">
        <v>227</v>
      </c>
      <c r="D134" s="27" t="s">
        <v>228</v>
      </c>
      <c r="E134" s="26"/>
      <c r="F134" s="26"/>
      <c r="G134" s="20">
        <v>3.0</v>
      </c>
      <c r="H134" s="20"/>
      <c r="I134" s="23" t="s">
        <v>72</v>
      </c>
      <c r="J134" s="33"/>
      <c r="K134" s="22">
        <f t="shared" si="53"/>
        <v>3</v>
      </c>
      <c r="L134" s="23" t="s">
        <v>212</v>
      </c>
      <c r="M134" s="34">
        <v>46311.620659224536</v>
      </c>
      <c r="N134" s="25" t="s">
        <v>69</v>
      </c>
      <c r="O134" s="34">
        <v>46311.654359583335</v>
      </c>
      <c r="P134" s="29"/>
      <c r="Q134" s="29"/>
      <c r="R134" s="29"/>
      <c r="S134" s="22"/>
      <c r="T134" s="23"/>
      <c r="U134" s="44"/>
      <c r="V134" s="25"/>
      <c r="W134" s="44"/>
      <c r="X134" s="54"/>
      <c r="Y134" s="22"/>
      <c r="Z134" s="23"/>
      <c r="AA134" s="44"/>
      <c r="AB134" s="25"/>
      <c r="AC134" s="44"/>
      <c r="AD134" s="54"/>
      <c r="AE134" s="22"/>
      <c r="AF134" s="23"/>
      <c r="AG134" s="44"/>
      <c r="AH134" s="25"/>
      <c r="AI134" s="44"/>
      <c r="AJ134" s="46"/>
      <c r="AK134" s="33"/>
      <c r="AL134" s="22"/>
      <c r="AM134" s="23"/>
      <c r="AN134" s="44"/>
      <c r="AO134" s="25"/>
      <c r="AP134" s="44"/>
      <c r="AQ134" s="29"/>
      <c r="AR134" s="29"/>
      <c r="AS134" s="29"/>
      <c r="AT134" s="22"/>
      <c r="AU134" s="23"/>
      <c r="AV134" s="44"/>
      <c r="AW134" s="25"/>
      <c r="AX134" s="44"/>
      <c r="AY134" s="54"/>
      <c r="AZ134" s="22"/>
      <c r="BA134" s="23"/>
      <c r="BB134" s="44"/>
      <c r="BC134" s="25"/>
      <c r="BD134" s="44"/>
      <c r="BE134" s="54"/>
      <c r="BF134" s="22"/>
      <c r="BG134" s="23"/>
      <c r="BH134" s="44"/>
      <c r="BI134" s="25"/>
      <c r="BJ134" s="44"/>
      <c r="BK134" s="46"/>
      <c r="BL134" s="33"/>
      <c r="BM134" s="22"/>
      <c r="BN134" s="23"/>
      <c r="BO134" s="44"/>
      <c r="BP134" s="25"/>
      <c r="BQ134" s="44"/>
      <c r="BR134" s="29"/>
      <c r="BS134" s="29"/>
      <c r="BT134" s="29"/>
      <c r="BU134" s="22"/>
      <c r="BV134" s="23"/>
      <c r="BW134" s="44"/>
      <c r="BX134" s="25"/>
      <c r="BY134" s="44"/>
      <c r="BZ134" s="54"/>
      <c r="CA134" s="22"/>
      <c r="CB134" s="23"/>
      <c r="CC134" s="44"/>
      <c r="CD134" s="25"/>
      <c r="CE134" s="44"/>
      <c r="CF134" s="54"/>
      <c r="CG134" s="22"/>
      <c r="CH134" s="26"/>
      <c r="CI134" s="91"/>
      <c r="CJ134" s="26"/>
      <c r="CK134" s="91"/>
      <c r="CL134" s="26"/>
    </row>
    <row r="135">
      <c r="A135" s="26">
        <f t="shared" si="58"/>
        <v>133</v>
      </c>
      <c r="B135" s="27"/>
      <c r="C135" s="27" t="s">
        <v>234</v>
      </c>
      <c r="D135" s="27" t="s">
        <v>228</v>
      </c>
      <c r="E135" s="26"/>
      <c r="F135" s="26"/>
      <c r="G135" s="20">
        <v>3.0</v>
      </c>
      <c r="H135" s="20"/>
      <c r="I135" s="23" t="s">
        <v>72</v>
      </c>
      <c r="J135" s="33"/>
      <c r="K135" s="22">
        <f t="shared" si="53"/>
        <v>3</v>
      </c>
      <c r="L135" s="23" t="s">
        <v>173</v>
      </c>
      <c r="M135" s="34">
        <v>46311.636261377316</v>
      </c>
      <c r="N135" s="25" t="s">
        <v>69</v>
      </c>
      <c r="O135" s="34">
        <v>46314.45145224537</v>
      </c>
      <c r="P135" s="29"/>
      <c r="Q135" s="29"/>
      <c r="R135" s="29"/>
      <c r="S135" s="22"/>
      <c r="T135" s="23"/>
      <c r="U135" s="44"/>
      <c r="V135" s="25"/>
      <c r="W135" s="44"/>
      <c r="X135" s="54"/>
      <c r="Y135" s="22"/>
      <c r="Z135" s="23"/>
      <c r="AA135" s="44"/>
      <c r="AB135" s="25"/>
      <c r="AC135" s="44"/>
      <c r="AD135" s="54"/>
      <c r="AE135" s="22"/>
      <c r="AF135" s="23"/>
      <c r="AG135" s="44"/>
      <c r="AH135" s="25"/>
      <c r="AI135" s="44"/>
      <c r="AJ135" s="46"/>
      <c r="AK135" s="33"/>
      <c r="AL135" s="22"/>
      <c r="AM135" s="23"/>
      <c r="AN135" s="44"/>
      <c r="AO135" s="25"/>
      <c r="AP135" s="44"/>
      <c r="AQ135" s="29"/>
      <c r="AR135" s="29"/>
      <c r="AS135" s="29"/>
      <c r="AT135" s="22"/>
      <c r="AU135" s="23"/>
      <c r="AV135" s="44"/>
      <c r="AW135" s="25"/>
      <c r="AX135" s="44"/>
      <c r="AY135" s="54"/>
      <c r="AZ135" s="22"/>
      <c r="BA135" s="23"/>
      <c r="BB135" s="44"/>
      <c r="BC135" s="25"/>
      <c r="BD135" s="44"/>
      <c r="BE135" s="54"/>
      <c r="BF135" s="22"/>
      <c r="BG135" s="23"/>
      <c r="BH135" s="44"/>
      <c r="BI135" s="25"/>
      <c r="BJ135" s="44"/>
      <c r="BK135" s="46"/>
      <c r="BL135" s="33"/>
      <c r="BM135" s="22"/>
      <c r="BN135" s="23"/>
      <c r="BO135" s="44"/>
      <c r="BP135" s="25"/>
      <c r="BQ135" s="44"/>
      <c r="BR135" s="29"/>
      <c r="BS135" s="29"/>
      <c r="BT135" s="29"/>
      <c r="BU135" s="22"/>
      <c r="BV135" s="23"/>
      <c r="BW135" s="44"/>
      <c r="BX135" s="25"/>
      <c r="BY135" s="44"/>
      <c r="BZ135" s="54"/>
      <c r="CA135" s="22"/>
      <c r="CB135" s="23"/>
      <c r="CC135" s="44"/>
      <c r="CD135" s="25"/>
      <c r="CE135" s="44"/>
      <c r="CF135" s="54"/>
      <c r="CG135" s="22"/>
      <c r="CH135" s="26"/>
      <c r="CI135" s="91"/>
      <c r="CJ135" s="26"/>
      <c r="CK135" s="91"/>
      <c r="CL135" s="26"/>
    </row>
    <row r="136">
      <c r="A136" s="26">
        <f t="shared" si="58"/>
        <v>134</v>
      </c>
      <c r="B136" s="27"/>
      <c r="C136" s="27" t="s">
        <v>240</v>
      </c>
      <c r="D136" s="27" t="s">
        <v>228</v>
      </c>
      <c r="E136" s="26"/>
      <c r="F136" s="26"/>
      <c r="G136" s="20">
        <v>3.0</v>
      </c>
      <c r="H136" s="20"/>
      <c r="I136" s="23" t="s">
        <v>72</v>
      </c>
      <c r="J136" s="33"/>
      <c r="K136" s="22">
        <f t="shared" si="53"/>
        <v>3</v>
      </c>
      <c r="L136" s="23" t="s">
        <v>225</v>
      </c>
      <c r="M136" s="34">
        <v>46311.65398105324</v>
      </c>
      <c r="N136" s="25" t="s">
        <v>69</v>
      </c>
      <c r="O136" s="34">
        <v>46314.49831730324</v>
      </c>
      <c r="P136" s="29"/>
      <c r="Q136" s="29"/>
      <c r="R136" s="29"/>
      <c r="S136" s="22"/>
      <c r="T136" s="23"/>
      <c r="U136" s="44"/>
      <c r="V136" s="25"/>
      <c r="W136" s="44"/>
      <c r="X136" s="54"/>
      <c r="Y136" s="22"/>
      <c r="Z136" s="23"/>
      <c r="AA136" s="44"/>
      <c r="AB136" s="25"/>
      <c r="AC136" s="44"/>
      <c r="AD136" s="54"/>
      <c r="AE136" s="22"/>
      <c r="AF136" s="23"/>
      <c r="AG136" s="44"/>
      <c r="AH136" s="25"/>
      <c r="AI136" s="44"/>
      <c r="AJ136" s="46"/>
      <c r="AK136" s="33"/>
      <c r="AL136" s="22"/>
      <c r="AM136" s="23"/>
      <c r="AN136" s="44"/>
      <c r="AO136" s="25"/>
      <c r="AP136" s="44"/>
      <c r="AQ136" s="29"/>
      <c r="AR136" s="29"/>
      <c r="AS136" s="29"/>
      <c r="AT136" s="22"/>
      <c r="AU136" s="23"/>
      <c r="AV136" s="44"/>
      <c r="AW136" s="25"/>
      <c r="AX136" s="44"/>
      <c r="AY136" s="54"/>
      <c r="AZ136" s="22"/>
      <c r="BA136" s="23"/>
      <c r="BB136" s="44"/>
      <c r="BC136" s="25"/>
      <c r="BD136" s="44"/>
      <c r="BE136" s="54"/>
      <c r="BF136" s="22"/>
      <c r="BG136" s="23"/>
      <c r="BH136" s="44"/>
      <c r="BI136" s="25"/>
      <c r="BJ136" s="44"/>
      <c r="BK136" s="46"/>
      <c r="BL136" s="33"/>
      <c r="BM136" s="22"/>
      <c r="BN136" s="23"/>
      <c r="BO136" s="44"/>
      <c r="BP136" s="25"/>
      <c r="BQ136" s="44"/>
      <c r="BR136" s="29"/>
      <c r="BS136" s="29"/>
      <c r="BT136" s="29"/>
      <c r="BU136" s="22"/>
      <c r="BV136" s="23"/>
      <c r="BW136" s="44"/>
      <c r="BX136" s="25"/>
      <c r="BY136" s="44"/>
      <c r="BZ136" s="54"/>
      <c r="CA136" s="22"/>
      <c r="CB136" s="23"/>
      <c r="CC136" s="44"/>
      <c r="CD136" s="25"/>
      <c r="CE136" s="44"/>
      <c r="CF136" s="54"/>
      <c r="CG136" s="22"/>
      <c r="CH136" s="26"/>
      <c r="CI136" s="91"/>
      <c r="CJ136" s="26"/>
      <c r="CK136" s="91"/>
      <c r="CL136" s="26"/>
    </row>
    <row r="137">
      <c r="A137" s="26">
        <f t="shared" si="58"/>
        <v>135</v>
      </c>
      <c r="B137" s="27"/>
      <c r="C137" s="27" t="s">
        <v>441</v>
      </c>
      <c r="D137" s="27"/>
      <c r="E137" s="26"/>
      <c r="F137" s="26"/>
      <c r="G137" s="20">
        <v>1.0</v>
      </c>
      <c r="H137" s="20">
        <v>1.0</v>
      </c>
      <c r="I137" s="23" t="s">
        <v>72</v>
      </c>
      <c r="J137" s="33"/>
      <c r="K137" s="22">
        <f t="shared" si="53"/>
        <v>1</v>
      </c>
      <c r="L137" s="23" t="s">
        <v>126</v>
      </c>
      <c r="M137" s="34">
        <v>46311.654312025465</v>
      </c>
      <c r="N137" s="25" t="s">
        <v>69</v>
      </c>
      <c r="O137" s="34">
        <v>46311.69864361111</v>
      </c>
      <c r="P137" s="29"/>
      <c r="Q137" s="29"/>
      <c r="R137" s="29"/>
      <c r="S137" s="22"/>
      <c r="T137" s="23"/>
      <c r="U137" s="44"/>
      <c r="V137" s="25"/>
      <c r="W137" s="44"/>
      <c r="X137" s="54"/>
      <c r="Y137" s="22"/>
      <c r="Z137" s="23"/>
      <c r="AA137" s="44"/>
      <c r="AB137" s="25"/>
      <c r="AC137" s="44"/>
      <c r="AD137" s="54"/>
      <c r="AE137" s="22"/>
      <c r="AF137" s="23"/>
      <c r="AG137" s="44"/>
      <c r="AH137" s="25"/>
      <c r="AI137" s="44"/>
      <c r="AJ137" s="46"/>
      <c r="AK137" s="33"/>
      <c r="AL137" s="22">
        <v>1.0</v>
      </c>
      <c r="AM137" s="23" t="s">
        <v>126</v>
      </c>
      <c r="AN137" s="34">
        <v>46314.39723828704</v>
      </c>
      <c r="AO137" s="25" t="s">
        <v>69</v>
      </c>
      <c r="AP137" s="34">
        <v>46314.44645416667</v>
      </c>
      <c r="AQ137" s="29"/>
      <c r="AR137" s="29"/>
      <c r="AS137" s="29"/>
      <c r="AT137" s="22"/>
      <c r="AU137" s="23"/>
      <c r="AV137" s="44"/>
      <c r="AW137" s="25"/>
      <c r="AX137" s="44"/>
      <c r="AY137" s="54"/>
      <c r="AZ137" s="22"/>
      <c r="BA137" s="23"/>
      <c r="BB137" s="44"/>
      <c r="BC137" s="25"/>
      <c r="BD137" s="44"/>
      <c r="BE137" s="54"/>
      <c r="BF137" s="22"/>
      <c r="BG137" s="23"/>
      <c r="BH137" s="44"/>
      <c r="BI137" s="25"/>
      <c r="BJ137" s="44"/>
      <c r="BK137" s="46"/>
      <c r="BL137" s="33"/>
      <c r="BM137" s="22"/>
      <c r="BN137" s="23"/>
      <c r="BO137" s="44"/>
      <c r="BP137" s="25"/>
      <c r="BQ137" s="44"/>
      <c r="BR137" s="29"/>
      <c r="BS137" s="29"/>
      <c r="BT137" s="29"/>
      <c r="BU137" s="22"/>
      <c r="BV137" s="23"/>
      <c r="BW137" s="44"/>
      <c r="BX137" s="25"/>
      <c r="BY137" s="44"/>
      <c r="BZ137" s="54"/>
      <c r="CA137" s="22"/>
      <c r="CB137" s="23"/>
      <c r="CC137" s="44"/>
      <c r="CD137" s="25"/>
      <c r="CE137" s="44"/>
      <c r="CF137" s="54"/>
      <c r="CG137" s="22"/>
      <c r="CH137" s="26"/>
      <c r="CI137" s="91"/>
      <c r="CJ137" s="26"/>
      <c r="CK137" s="91"/>
      <c r="CL137" s="26"/>
    </row>
    <row r="138">
      <c r="A138" s="26">
        <f t="shared" si="58"/>
        <v>136</v>
      </c>
      <c r="B138" s="27"/>
      <c r="C138" s="27" t="s">
        <v>442</v>
      </c>
      <c r="D138" s="27"/>
      <c r="E138" s="26"/>
      <c r="F138" s="26"/>
      <c r="G138" s="20">
        <v>3.0</v>
      </c>
      <c r="H138" s="20">
        <v>1.0</v>
      </c>
      <c r="I138" s="23" t="s">
        <v>72</v>
      </c>
      <c r="J138" s="33"/>
      <c r="K138" s="22">
        <f t="shared" si="53"/>
        <v>3</v>
      </c>
      <c r="L138" s="23" t="s">
        <v>104</v>
      </c>
      <c r="M138" s="34">
        <v>46311.64724324074</v>
      </c>
      <c r="N138" s="25" t="s">
        <v>69</v>
      </c>
      <c r="O138" s="34">
        <v>46314.468740578704</v>
      </c>
      <c r="P138" s="29"/>
      <c r="Q138" s="29"/>
      <c r="R138" s="29"/>
      <c r="S138" s="22"/>
      <c r="T138" s="23"/>
      <c r="U138" s="44"/>
      <c r="V138" s="25"/>
      <c r="W138" s="44"/>
      <c r="X138" s="54"/>
      <c r="Y138" s="22"/>
      <c r="Z138" s="23"/>
      <c r="AA138" s="44"/>
      <c r="AB138" s="25"/>
      <c r="AC138" s="44"/>
      <c r="AD138" s="54"/>
      <c r="AE138" s="22"/>
      <c r="AF138" s="23"/>
      <c r="AG138" s="44"/>
      <c r="AH138" s="25"/>
      <c r="AI138" s="44"/>
      <c r="AJ138" s="46"/>
      <c r="AK138" s="33"/>
      <c r="AL138" s="22">
        <v>1.0</v>
      </c>
      <c r="AM138" s="23" t="s">
        <v>104</v>
      </c>
      <c r="AN138" s="34">
        <v>46314.48190810185</v>
      </c>
      <c r="AO138" s="25" t="s">
        <v>69</v>
      </c>
      <c r="AP138" s="34">
        <v>46314.57171289352</v>
      </c>
      <c r="AQ138" s="29"/>
      <c r="AR138" s="29"/>
      <c r="AS138" s="29"/>
      <c r="AT138" s="22"/>
      <c r="AU138" s="23"/>
      <c r="AV138" s="44"/>
      <c r="AW138" s="25"/>
      <c r="AX138" s="44"/>
      <c r="AY138" s="54"/>
      <c r="AZ138" s="22"/>
      <c r="BA138" s="23"/>
      <c r="BB138" s="44"/>
      <c r="BC138" s="25"/>
      <c r="BD138" s="44"/>
      <c r="BE138" s="54"/>
      <c r="BF138" s="22"/>
      <c r="BG138" s="23"/>
      <c r="BH138" s="44"/>
      <c r="BI138" s="25"/>
      <c r="BJ138" s="44"/>
      <c r="BK138" s="46"/>
      <c r="BL138" s="33"/>
      <c r="BM138" s="22"/>
      <c r="BN138" s="23"/>
      <c r="BO138" s="44"/>
      <c r="BP138" s="25"/>
      <c r="BQ138" s="44"/>
      <c r="BR138" s="29"/>
      <c r="BS138" s="29"/>
      <c r="BT138" s="29"/>
      <c r="BU138" s="22"/>
      <c r="BV138" s="23"/>
      <c r="BW138" s="44"/>
      <c r="BX138" s="25"/>
      <c r="BY138" s="44"/>
      <c r="BZ138" s="54"/>
      <c r="CA138" s="22"/>
      <c r="CB138" s="23"/>
      <c r="CC138" s="44"/>
      <c r="CD138" s="25"/>
      <c r="CE138" s="44"/>
      <c r="CF138" s="54"/>
      <c r="CG138" s="22"/>
      <c r="CH138" s="26"/>
      <c r="CI138" s="91"/>
      <c r="CJ138" s="26"/>
      <c r="CK138" s="91"/>
      <c r="CL138" s="26"/>
    </row>
    <row r="139">
      <c r="A139" s="26">
        <f t="shared" si="58"/>
        <v>137</v>
      </c>
      <c r="B139" s="27"/>
      <c r="C139" s="27" t="s">
        <v>443</v>
      </c>
      <c r="D139" s="27"/>
      <c r="E139" s="26"/>
      <c r="F139" s="26"/>
      <c r="G139" s="20">
        <v>1.0</v>
      </c>
      <c r="H139" s="20">
        <v>1.0</v>
      </c>
      <c r="I139" s="23" t="s">
        <v>72</v>
      </c>
      <c r="J139" s="33"/>
      <c r="K139" s="22">
        <f t="shared" si="53"/>
        <v>1</v>
      </c>
      <c r="L139" s="23"/>
      <c r="M139" s="44"/>
      <c r="N139" s="25"/>
      <c r="O139" s="44"/>
      <c r="P139" s="29"/>
      <c r="Q139" s="29"/>
      <c r="R139" s="29"/>
      <c r="S139" s="22"/>
      <c r="T139" s="23"/>
      <c r="U139" s="44"/>
      <c r="V139" s="25"/>
      <c r="W139" s="44"/>
      <c r="X139" s="54"/>
      <c r="Y139" s="22"/>
      <c r="Z139" s="23"/>
      <c r="AA139" s="44"/>
      <c r="AB139" s="25"/>
      <c r="AC139" s="44"/>
      <c r="AD139" s="54"/>
      <c r="AE139" s="22"/>
      <c r="AF139" s="23"/>
      <c r="AG139" s="44"/>
      <c r="AH139" s="25"/>
      <c r="AI139" s="44"/>
      <c r="AJ139" s="46"/>
      <c r="AK139" s="33"/>
      <c r="AL139" s="22">
        <v>1.0</v>
      </c>
      <c r="AM139" s="23"/>
      <c r="AN139" s="44"/>
      <c r="AO139" s="25"/>
      <c r="AP139" s="44"/>
      <c r="AQ139" s="29"/>
      <c r="AR139" s="29"/>
      <c r="AS139" s="29"/>
      <c r="AT139" s="22"/>
      <c r="AU139" s="23"/>
      <c r="AV139" s="44"/>
      <c r="AW139" s="25"/>
      <c r="AX139" s="44"/>
      <c r="AY139" s="54"/>
      <c r="AZ139" s="22"/>
      <c r="BA139" s="23"/>
      <c r="BB139" s="44"/>
      <c r="BC139" s="25"/>
      <c r="BD139" s="44"/>
      <c r="BE139" s="54"/>
      <c r="BF139" s="22"/>
      <c r="BG139" s="23"/>
      <c r="BH139" s="44"/>
      <c r="BI139" s="25"/>
      <c r="BJ139" s="44"/>
      <c r="BK139" s="46"/>
      <c r="BL139" s="33"/>
      <c r="BM139" s="22"/>
      <c r="BN139" s="23"/>
      <c r="BO139" s="44"/>
      <c r="BP139" s="25"/>
      <c r="BQ139" s="44"/>
      <c r="BR139" s="29"/>
      <c r="BS139" s="29"/>
      <c r="BT139" s="29"/>
      <c r="BU139" s="22"/>
      <c r="BV139" s="23"/>
      <c r="BW139" s="44"/>
      <c r="BX139" s="25"/>
      <c r="BY139" s="44"/>
      <c r="BZ139" s="54"/>
      <c r="CA139" s="22"/>
      <c r="CB139" s="23"/>
      <c r="CC139" s="44"/>
      <c r="CD139" s="25"/>
      <c r="CE139" s="44"/>
      <c r="CF139" s="54"/>
      <c r="CG139" s="22"/>
      <c r="CH139" s="26"/>
      <c r="CI139" s="91"/>
      <c r="CJ139" s="26"/>
      <c r="CK139" s="91"/>
      <c r="CL139" s="26"/>
    </row>
    <row r="140">
      <c r="A140" s="26">
        <f t="shared" si="58"/>
        <v>138</v>
      </c>
      <c r="B140" s="27"/>
      <c r="C140" s="27" t="s">
        <v>444</v>
      </c>
      <c r="D140" s="27"/>
      <c r="E140" s="26"/>
      <c r="F140" s="26"/>
      <c r="G140" s="20">
        <v>3.0</v>
      </c>
      <c r="H140" s="20">
        <v>3.0</v>
      </c>
      <c r="I140" s="23" t="s">
        <v>72</v>
      </c>
      <c r="J140" s="33"/>
      <c r="K140" s="22">
        <f t="shared" si="53"/>
        <v>3</v>
      </c>
      <c r="L140" s="23" t="s">
        <v>224</v>
      </c>
      <c r="M140" s="34">
        <v>46311.65550703704</v>
      </c>
      <c r="N140" s="25" t="s">
        <v>69</v>
      </c>
      <c r="O140" s="34">
        <v>46314.46024622685</v>
      </c>
      <c r="P140" s="29"/>
      <c r="Q140" s="29"/>
      <c r="R140" s="29"/>
      <c r="S140" s="22"/>
      <c r="T140" s="23"/>
      <c r="U140" s="44"/>
      <c r="V140" s="25"/>
      <c r="W140" s="44"/>
      <c r="X140" s="54"/>
      <c r="Y140" s="22"/>
      <c r="Z140" s="23"/>
      <c r="AA140" s="44"/>
      <c r="AB140" s="25"/>
      <c r="AC140" s="44"/>
      <c r="AD140" s="54"/>
      <c r="AE140" s="22"/>
      <c r="AF140" s="23"/>
      <c r="AG140" s="44"/>
      <c r="AH140" s="25"/>
      <c r="AI140" s="44"/>
      <c r="AJ140" s="46"/>
      <c r="AK140" s="33"/>
      <c r="AL140" s="22">
        <v>3.0</v>
      </c>
      <c r="AM140" s="23" t="s">
        <v>224</v>
      </c>
      <c r="AN140" s="34">
        <v>46314.461349097226</v>
      </c>
      <c r="AO140" s="25" t="s">
        <v>69</v>
      </c>
      <c r="AP140" s="34">
        <v>46314.66610675926</v>
      </c>
      <c r="AQ140" s="29"/>
      <c r="AR140" s="29"/>
      <c r="AS140" s="29"/>
      <c r="AT140" s="22"/>
      <c r="AU140" s="23"/>
      <c r="AV140" s="44"/>
      <c r="AW140" s="25"/>
      <c r="AX140" s="44"/>
      <c r="AY140" s="54"/>
      <c r="AZ140" s="22"/>
      <c r="BA140" s="23"/>
      <c r="BB140" s="44"/>
      <c r="BC140" s="25"/>
      <c r="BD140" s="44"/>
      <c r="BE140" s="54"/>
      <c r="BF140" s="22"/>
      <c r="BG140" s="23"/>
      <c r="BH140" s="44"/>
      <c r="BI140" s="25"/>
      <c r="BJ140" s="44"/>
      <c r="BK140" s="46"/>
      <c r="BL140" s="33"/>
      <c r="BM140" s="22"/>
      <c r="BN140" s="23"/>
      <c r="BO140" s="44"/>
      <c r="BP140" s="25"/>
      <c r="BQ140" s="44"/>
      <c r="BR140" s="29"/>
      <c r="BS140" s="29"/>
      <c r="BT140" s="29"/>
      <c r="BU140" s="22"/>
      <c r="BV140" s="23"/>
      <c r="BW140" s="44"/>
      <c r="BX140" s="25"/>
      <c r="BY140" s="44"/>
      <c r="BZ140" s="54"/>
      <c r="CA140" s="22"/>
      <c r="CB140" s="23"/>
      <c r="CC140" s="44"/>
      <c r="CD140" s="25"/>
      <c r="CE140" s="44"/>
      <c r="CF140" s="54"/>
      <c r="CG140" s="22"/>
      <c r="CH140" s="26"/>
      <c r="CI140" s="91"/>
      <c r="CJ140" s="26"/>
      <c r="CK140" s="91"/>
      <c r="CL140" s="26"/>
    </row>
    <row r="141">
      <c r="A141" s="26">
        <f t="shared" si="58"/>
        <v>139</v>
      </c>
      <c r="B141" s="27"/>
      <c r="C141" s="27" t="s">
        <v>445</v>
      </c>
      <c r="D141" s="27"/>
      <c r="E141" s="26"/>
      <c r="F141" s="26"/>
      <c r="G141" s="20">
        <v>1.0</v>
      </c>
      <c r="H141" s="20">
        <v>1.0</v>
      </c>
      <c r="I141" s="23" t="s">
        <v>72</v>
      </c>
      <c r="J141" s="33"/>
      <c r="K141" s="22">
        <f t="shared" si="53"/>
        <v>1</v>
      </c>
      <c r="L141" s="23" t="s">
        <v>176</v>
      </c>
      <c r="M141" s="34">
        <v>46311.65775755787</v>
      </c>
      <c r="N141" s="25" t="s">
        <v>69</v>
      </c>
      <c r="O141" s="34">
        <v>46311.66118459491</v>
      </c>
      <c r="P141" s="29"/>
      <c r="Q141" s="29"/>
      <c r="R141" s="29"/>
      <c r="S141" s="22"/>
      <c r="T141" s="23"/>
      <c r="U141" s="44"/>
      <c r="V141" s="25"/>
      <c r="W141" s="44"/>
      <c r="X141" s="54"/>
      <c r="Y141" s="22"/>
      <c r="Z141" s="23"/>
      <c r="AA141" s="44"/>
      <c r="AB141" s="25"/>
      <c r="AC141" s="44"/>
      <c r="AD141" s="54"/>
      <c r="AE141" s="22"/>
      <c r="AF141" s="23"/>
      <c r="AG141" s="44"/>
      <c r="AH141" s="25"/>
      <c r="AI141" s="44"/>
      <c r="AJ141" s="46"/>
      <c r="AK141" s="33"/>
      <c r="AL141" s="22">
        <v>1.0</v>
      </c>
      <c r="AM141" s="23" t="s">
        <v>176</v>
      </c>
      <c r="AN141" s="34">
        <v>46311.66282695602</v>
      </c>
      <c r="AO141" s="25" t="s">
        <v>69</v>
      </c>
      <c r="AP141" s="34">
        <v>46311.67129701389</v>
      </c>
      <c r="AQ141" s="29"/>
      <c r="AR141" s="29"/>
      <c r="AS141" s="29"/>
      <c r="AT141" s="22"/>
      <c r="AU141" s="23"/>
      <c r="AV141" s="44"/>
      <c r="AW141" s="25"/>
      <c r="AX141" s="44"/>
      <c r="AY141" s="54"/>
      <c r="AZ141" s="22"/>
      <c r="BA141" s="23"/>
      <c r="BB141" s="44"/>
      <c r="BC141" s="25"/>
      <c r="BD141" s="44"/>
      <c r="BE141" s="54"/>
      <c r="BF141" s="22"/>
      <c r="BG141" s="23"/>
      <c r="BH141" s="44"/>
      <c r="BI141" s="25"/>
      <c r="BJ141" s="44"/>
      <c r="BK141" s="46"/>
      <c r="BL141" s="33"/>
      <c r="BM141" s="22"/>
      <c r="BN141" s="23"/>
      <c r="BO141" s="44"/>
      <c r="BP141" s="25"/>
      <c r="BQ141" s="44"/>
      <c r="BR141" s="29"/>
      <c r="BS141" s="29"/>
      <c r="BT141" s="29"/>
      <c r="BU141" s="22"/>
      <c r="BV141" s="23"/>
      <c r="BW141" s="44"/>
      <c r="BX141" s="25"/>
      <c r="BY141" s="44"/>
      <c r="BZ141" s="54"/>
      <c r="CA141" s="22"/>
      <c r="CB141" s="23"/>
      <c r="CC141" s="44"/>
      <c r="CD141" s="25"/>
      <c r="CE141" s="44"/>
      <c r="CF141" s="54"/>
      <c r="CG141" s="22"/>
      <c r="CH141" s="26"/>
      <c r="CI141" s="91"/>
      <c r="CJ141" s="26"/>
      <c r="CK141" s="91"/>
      <c r="CL141" s="26"/>
    </row>
    <row r="142">
      <c r="A142" s="26">
        <f t="shared" si="58"/>
        <v>140</v>
      </c>
      <c r="B142" s="27"/>
      <c r="C142" s="27" t="s">
        <v>446</v>
      </c>
      <c r="D142" s="27"/>
      <c r="E142" s="26"/>
      <c r="F142" s="26"/>
      <c r="G142" s="20">
        <v>1.0</v>
      </c>
      <c r="H142" s="20">
        <v>2.0</v>
      </c>
      <c r="I142" s="23" t="s">
        <v>72</v>
      </c>
      <c r="J142" s="33"/>
      <c r="K142" s="22">
        <f t="shared" si="53"/>
        <v>1</v>
      </c>
      <c r="L142" s="23" t="s">
        <v>186</v>
      </c>
      <c r="M142" s="34">
        <v>46311.671790844906</v>
      </c>
      <c r="N142" s="25" t="s">
        <v>69</v>
      </c>
      <c r="O142" s="34">
        <v>46311.68036184028</v>
      </c>
      <c r="P142" s="29"/>
      <c r="Q142" s="29"/>
      <c r="R142" s="29"/>
      <c r="S142" s="22"/>
      <c r="T142" s="23"/>
      <c r="U142" s="44"/>
      <c r="V142" s="25"/>
      <c r="W142" s="44"/>
      <c r="X142" s="54"/>
      <c r="Y142" s="22"/>
      <c r="Z142" s="23"/>
      <c r="AA142" s="44"/>
      <c r="AB142" s="25"/>
      <c r="AC142" s="44"/>
      <c r="AD142" s="54"/>
      <c r="AE142" s="22"/>
      <c r="AF142" s="23"/>
      <c r="AG142" s="44"/>
      <c r="AH142" s="25"/>
      <c r="AI142" s="44"/>
      <c r="AJ142" s="46"/>
      <c r="AK142" s="33"/>
      <c r="AL142" s="22">
        <v>2.0</v>
      </c>
      <c r="AM142" s="23" t="s">
        <v>186</v>
      </c>
      <c r="AN142" s="34">
        <v>46311.6822968287</v>
      </c>
      <c r="AO142" s="25" t="s">
        <v>69</v>
      </c>
      <c r="AP142" s="34">
        <v>46311.69790358796</v>
      </c>
      <c r="AQ142" s="29"/>
      <c r="AR142" s="29"/>
      <c r="AS142" s="29"/>
      <c r="AT142" s="22"/>
      <c r="AU142" s="23"/>
      <c r="AV142" s="44"/>
      <c r="AW142" s="25"/>
      <c r="AX142" s="44"/>
      <c r="AY142" s="54"/>
      <c r="AZ142" s="22"/>
      <c r="BA142" s="23"/>
      <c r="BB142" s="44"/>
      <c r="BC142" s="25"/>
      <c r="BD142" s="44"/>
      <c r="BE142" s="54"/>
      <c r="BF142" s="22"/>
      <c r="BG142" s="23"/>
      <c r="BH142" s="44"/>
      <c r="BI142" s="25"/>
      <c r="BJ142" s="44"/>
      <c r="BK142" s="46"/>
      <c r="BL142" s="33"/>
      <c r="BM142" s="22"/>
      <c r="BN142" s="23"/>
      <c r="BO142" s="44"/>
      <c r="BP142" s="25"/>
      <c r="BQ142" s="44"/>
      <c r="BR142" s="29"/>
      <c r="BS142" s="29"/>
      <c r="BT142" s="29"/>
      <c r="BU142" s="22"/>
      <c r="BV142" s="23"/>
      <c r="BW142" s="44"/>
      <c r="BX142" s="25"/>
      <c r="BY142" s="44"/>
      <c r="BZ142" s="54"/>
      <c r="CA142" s="22"/>
      <c r="CB142" s="23"/>
      <c r="CC142" s="44"/>
      <c r="CD142" s="25"/>
      <c r="CE142" s="44"/>
      <c r="CF142" s="54"/>
      <c r="CG142" s="22"/>
      <c r="CH142" s="26"/>
      <c r="CI142" s="91"/>
      <c r="CJ142" s="26"/>
      <c r="CK142" s="91"/>
      <c r="CL142" s="26"/>
    </row>
    <row r="143">
      <c r="A143" s="26">
        <f t="shared" si="58"/>
        <v>141</v>
      </c>
      <c r="B143" s="27"/>
      <c r="C143" s="27" t="s">
        <v>447</v>
      </c>
      <c r="D143" s="27"/>
      <c r="E143" s="26"/>
      <c r="F143" s="26"/>
      <c r="G143" s="20">
        <v>2.0</v>
      </c>
      <c r="H143" s="20">
        <v>3.0</v>
      </c>
      <c r="I143" s="23" t="s">
        <v>72</v>
      </c>
      <c r="J143" s="33"/>
      <c r="K143" s="22">
        <f t="shared" si="53"/>
        <v>2</v>
      </c>
      <c r="L143" s="23" t="s">
        <v>269</v>
      </c>
      <c r="M143" s="34">
        <v>46311.703638969906</v>
      </c>
      <c r="N143" s="25" t="s">
        <v>69</v>
      </c>
      <c r="O143" s="34">
        <v>46314.496763958334</v>
      </c>
      <c r="P143" s="29"/>
      <c r="Q143" s="29"/>
      <c r="R143" s="29"/>
      <c r="S143" s="22"/>
      <c r="T143" s="23"/>
      <c r="U143" s="44"/>
      <c r="V143" s="25"/>
      <c r="W143" s="44"/>
      <c r="X143" s="54"/>
      <c r="Y143" s="22"/>
      <c r="Z143" s="23"/>
      <c r="AA143" s="44"/>
      <c r="AB143" s="25"/>
      <c r="AC143" s="44"/>
      <c r="AD143" s="54"/>
      <c r="AE143" s="22"/>
      <c r="AF143" s="23"/>
      <c r="AG143" s="44"/>
      <c r="AH143" s="25"/>
      <c r="AI143" s="44"/>
      <c r="AJ143" s="46"/>
      <c r="AK143" s="33"/>
      <c r="AL143" s="22">
        <v>3.0</v>
      </c>
      <c r="AM143" s="23" t="s">
        <v>269</v>
      </c>
      <c r="AN143" s="34">
        <v>46314.543453923616</v>
      </c>
      <c r="AO143" s="25" t="s">
        <v>69</v>
      </c>
      <c r="AP143" s="34">
        <v>46315.55148393518</v>
      </c>
      <c r="AQ143" s="29"/>
      <c r="AR143" s="29"/>
      <c r="AS143" s="29"/>
      <c r="AT143" s="22"/>
      <c r="AU143" s="23"/>
      <c r="AV143" s="44"/>
      <c r="AW143" s="25"/>
      <c r="AX143" s="44"/>
      <c r="AY143" s="54"/>
      <c r="AZ143" s="22"/>
      <c r="BA143" s="23"/>
      <c r="BB143" s="44"/>
      <c r="BC143" s="25"/>
      <c r="BD143" s="44"/>
      <c r="BE143" s="54"/>
      <c r="BF143" s="22"/>
      <c r="BG143" s="23"/>
      <c r="BH143" s="44"/>
      <c r="BI143" s="25"/>
      <c r="BJ143" s="44"/>
      <c r="BK143" s="46"/>
      <c r="BL143" s="33"/>
      <c r="BM143" s="22"/>
      <c r="BN143" s="23"/>
      <c r="BO143" s="44"/>
      <c r="BP143" s="25"/>
      <c r="BQ143" s="44"/>
      <c r="BR143" s="29"/>
      <c r="BS143" s="29"/>
      <c r="BT143" s="29"/>
      <c r="BU143" s="22"/>
      <c r="BV143" s="23"/>
      <c r="BW143" s="44"/>
      <c r="BX143" s="25"/>
      <c r="BY143" s="44"/>
      <c r="BZ143" s="54"/>
      <c r="CA143" s="22"/>
      <c r="CB143" s="23"/>
      <c r="CC143" s="44"/>
      <c r="CD143" s="25"/>
      <c r="CE143" s="44"/>
      <c r="CF143" s="54"/>
      <c r="CG143" s="22"/>
      <c r="CH143" s="26"/>
      <c r="CI143" s="91"/>
      <c r="CJ143" s="26"/>
      <c r="CK143" s="91"/>
      <c r="CL143" s="26"/>
    </row>
    <row r="144">
      <c r="A144" s="26">
        <f t="shared" si="58"/>
        <v>142</v>
      </c>
      <c r="B144" s="27"/>
      <c r="C144" s="27" t="s">
        <v>448</v>
      </c>
      <c r="D144" s="27"/>
      <c r="E144" s="26"/>
      <c r="F144" s="26"/>
      <c r="G144" s="20">
        <v>3.0</v>
      </c>
      <c r="H144" s="20">
        <v>3.0</v>
      </c>
      <c r="I144" s="23" t="s">
        <v>72</v>
      </c>
      <c r="J144" s="33"/>
      <c r="K144" s="22">
        <f t="shared" si="53"/>
        <v>3</v>
      </c>
      <c r="L144" s="23" t="s">
        <v>186</v>
      </c>
      <c r="M144" s="34">
        <v>46314.446101504625</v>
      </c>
      <c r="N144" s="25" t="s">
        <v>69</v>
      </c>
      <c r="O144" s="34">
        <v>46314.637639803244</v>
      </c>
      <c r="P144" s="29"/>
      <c r="Q144" s="29"/>
      <c r="R144" s="29"/>
      <c r="S144" s="22"/>
      <c r="T144" s="23"/>
      <c r="U144" s="44"/>
      <c r="V144" s="25"/>
      <c r="W144" s="44"/>
      <c r="X144" s="54"/>
      <c r="Y144" s="22"/>
      <c r="Z144" s="23"/>
      <c r="AA144" s="44"/>
      <c r="AB144" s="25"/>
      <c r="AC144" s="44"/>
      <c r="AD144" s="54"/>
      <c r="AE144" s="22"/>
      <c r="AF144" s="23"/>
      <c r="AG144" s="44"/>
      <c r="AH144" s="25"/>
      <c r="AI144" s="44"/>
      <c r="AJ144" s="46"/>
      <c r="AK144" s="33"/>
      <c r="AL144" s="22">
        <v>3.0</v>
      </c>
      <c r="AM144" s="23" t="s">
        <v>186</v>
      </c>
      <c r="AN144" s="34">
        <v>46314.64642564815</v>
      </c>
      <c r="AO144" s="25" t="s">
        <v>69</v>
      </c>
      <c r="AP144" s="34">
        <v>46315.46797142361</v>
      </c>
      <c r="AQ144" s="29"/>
      <c r="AR144" s="29"/>
      <c r="AS144" s="29"/>
      <c r="AT144" s="22"/>
      <c r="AU144" s="23"/>
      <c r="AV144" s="44"/>
      <c r="AW144" s="25"/>
      <c r="AX144" s="44"/>
      <c r="AY144" s="54"/>
      <c r="AZ144" s="22"/>
      <c r="BA144" s="23"/>
      <c r="BB144" s="44"/>
      <c r="BC144" s="25"/>
      <c r="BD144" s="44"/>
      <c r="BE144" s="54"/>
      <c r="BF144" s="22"/>
      <c r="BG144" s="23"/>
      <c r="BH144" s="44"/>
      <c r="BI144" s="25"/>
      <c r="BJ144" s="44"/>
      <c r="BK144" s="46"/>
      <c r="BL144" s="33"/>
      <c r="BM144" s="22"/>
      <c r="BN144" s="23"/>
      <c r="BO144" s="44"/>
      <c r="BP144" s="25"/>
      <c r="BQ144" s="44"/>
      <c r="BR144" s="29"/>
      <c r="BS144" s="29"/>
      <c r="BT144" s="29"/>
      <c r="BU144" s="22"/>
      <c r="BV144" s="23"/>
      <c r="BW144" s="44"/>
      <c r="BX144" s="25"/>
      <c r="BY144" s="44"/>
      <c r="BZ144" s="54"/>
      <c r="CA144" s="22"/>
      <c r="CB144" s="23"/>
      <c r="CC144" s="44"/>
      <c r="CD144" s="25"/>
      <c r="CE144" s="44"/>
      <c r="CF144" s="54"/>
      <c r="CG144" s="22"/>
      <c r="CH144" s="26"/>
      <c r="CI144" s="91"/>
      <c r="CJ144" s="26"/>
      <c r="CK144" s="91"/>
      <c r="CL144" s="26"/>
    </row>
    <row r="145">
      <c r="A145" s="26">
        <f t="shared" si="58"/>
        <v>143</v>
      </c>
      <c r="B145" s="27"/>
      <c r="C145" s="27" t="s">
        <v>449</v>
      </c>
      <c r="D145" s="27"/>
      <c r="E145" s="26"/>
      <c r="F145" s="26"/>
      <c r="G145" s="20">
        <v>2.0</v>
      </c>
      <c r="H145" s="20">
        <v>3.0</v>
      </c>
      <c r="I145" s="23" t="s">
        <v>72</v>
      </c>
      <c r="J145" s="33"/>
      <c r="K145" s="22">
        <f t="shared" si="53"/>
        <v>2</v>
      </c>
      <c r="L145" s="23" t="s">
        <v>210</v>
      </c>
      <c r="M145" s="34">
        <v>46314.422626064814</v>
      </c>
      <c r="N145" s="25" t="s">
        <v>69</v>
      </c>
      <c r="O145" s="34">
        <v>46314.48723875</v>
      </c>
      <c r="P145" s="29"/>
      <c r="Q145" s="29"/>
      <c r="R145" s="29"/>
      <c r="S145" s="22"/>
      <c r="T145" s="23"/>
      <c r="U145" s="44"/>
      <c r="V145" s="25"/>
      <c r="W145" s="44"/>
      <c r="X145" s="54"/>
      <c r="Y145" s="22"/>
      <c r="Z145" s="23"/>
      <c r="AA145" s="44"/>
      <c r="AB145" s="25"/>
      <c r="AC145" s="44"/>
      <c r="AD145" s="54"/>
      <c r="AE145" s="22"/>
      <c r="AF145" s="23"/>
      <c r="AG145" s="44"/>
      <c r="AH145" s="25"/>
      <c r="AI145" s="44"/>
      <c r="AJ145" s="46"/>
      <c r="AK145" s="33"/>
      <c r="AL145" s="22">
        <v>3.0</v>
      </c>
      <c r="AM145" s="23" t="s">
        <v>210</v>
      </c>
      <c r="AN145" s="34">
        <v>46314.583114594905</v>
      </c>
      <c r="AO145" s="25" t="s">
        <v>69</v>
      </c>
      <c r="AP145" s="34">
        <v>46314.67694873843</v>
      </c>
      <c r="AQ145" s="29"/>
      <c r="AR145" s="29"/>
      <c r="AS145" s="29"/>
      <c r="AT145" s="22"/>
      <c r="AU145" s="23"/>
      <c r="AV145" s="44"/>
      <c r="AW145" s="25"/>
      <c r="AX145" s="44"/>
      <c r="AY145" s="54"/>
      <c r="AZ145" s="22"/>
      <c r="BA145" s="23"/>
      <c r="BB145" s="44"/>
      <c r="BC145" s="25"/>
      <c r="BD145" s="44"/>
      <c r="BE145" s="54"/>
      <c r="BF145" s="22"/>
      <c r="BG145" s="23"/>
      <c r="BH145" s="44"/>
      <c r="BI145" s="25"/>
      <c r="BJ145" s="44"/>
      <c r="BK145" s="46"/>
      <c r="BL145" s="33"/>
      <c r="BM145" s="22"/>
      <c r="BN145" s="23"/>
      <c r="BO145" s="44"/>
      <c r="BP145" s="25"/>
      <c r="BQ145" s="44"/>
      <c r="BR145" s="29"/>
      <c r="BS145" s="29"/>
      <c r="BT145" s="29"/>
      <c r="BU145" s="22"/>
      <c r="BV145" s="23"/>
      <c r="BW145" s="44"/>
      <c r="BX145" s="25"/>
      <c r="BY145" s="44"/>
      <c r="BZ145" s="54"/>
      <c r="CA145" s="22"/>
      <c r="CB145" s="23"/>
      <c r="CC145" s="44"/>
      <c r="CD145" s="25"/>
      <c r="CE145" s="44"/>
      <c r="CF145" s="54"/>
      <c r="CG145" s="22"/>
      <c r="CH145" s="26"/>
      <c r="CI145" s="91"/>
      <c r="CJ145" s="26"/>
      <c r="CK145" s="91"/>
      <c r="CL145" s="26"/>
    </row>
    <row r="146">
      <c r="A146" s="26">
        <f t="shared" si="58"/>
        <v>144</v>
      </c>
      <c r="B146" s="27"/>
      <c r="C146" s="27" t="s">
        <v>450</v>
      </c>
      <c r="D146" s="27"/>
      <c r="E146" s="26"/>
      <c r="F146" s="26"/>
      <c r="G146" s="20">
        <v>1.0</v>
      </c>
      <c r="H146" s="20">
        <v>1.0</v>
      </c>
      <c r="I146" s="23" t="s">
        <v>72</v>
      </c>
      <c r="J146" s="33"/>
      <c r="K146" s="22">
        <f t="shared" si="53"/>
        <v>1</v>
      </c>
      <c r="L146" s="23" t="s">
        <v>176</v>
      </c>
      <c r="M146" s="34">
        <v>46314.457773055554</v>
      </c>
      <c r="N146" s="25" t="s">
        <v>69</v>
      </c>
      <c r="O146" s="34">
        <v>46314.4720628125</v>
      </c>
      <c r="P146" s="29"/>
      <c r="Q146" s="29"/>
      <c r="R146" s="29"/>
      <c r="S146" s="22"/>
      <c r="T146" s="23"/>
      <c r="U146" s="44"/>
      <c r="V146" s="25"/>
      <c r="W146" s="44"/>
      <c r="X146" s="54"/>
      <c r="Y146" s="22"/>
      <c r="Z146" s="23"/>
      <c r="AA146" s="44"/>
      <c r="AB146" s="25"/>
      <c r="AC146" s="44"/>
      <c r="AD146" s="54"/>
      <c r="AE146" s="22"/>
      <c r="AF146" s="23"/>
      <c r="AG146" s="44"/>
      <c r="AH146" s="25"/>
      <c r="AI146" s="44"/>
      <c r="AJ146" s="46"/>
      <c r="AK146" s="33"/>
      <c r="AL146" s="22">
        <v>1.0</v>
      </c>
      <c r="AM146" s="23" t="s">
        <v>176</v>
      </c>
      <c r="AN146" s="34">
        <v>46314.47539716435</v>
      </c>
      <c r="AO146" s="25" t="s">
        <v>69</v>
      </c>
      <c r="AP146" s="34">
        <v>46314.48694765047</v>
      </c>
      <c r="AQ146" s="29"/>
      <c r="AR146" s="29"/>
      <c r="AS146" s="29"/>
      <c r="AT146" s="22"/>
      <c r="AU146" s="23"/>
      <c r="AV146" s="44"/>
      <c r="AW146" s="25"/>
      <c r="AX146" s="44"/>
      <c r="AY146" s="54"/>
      <c r="AZ146" s="22"/>
      <c r="BA146" s="23"/>
      <c r="BB146" s="44"/>
      <c r="BC146" s="25"/>
      <c r="BD146" s="44"/>
      <c r="BE146" s="54"/>
      <c r="BF146" s="22"/>
      <c r="BG146" s="23"/>
      <c r="BH146" s="44"/>
      <c r="BI146" s="25"/>
      <c r="BJ146" s="44"/>
      <c r="BK146" s="46"/>
      <c r="BL146" s="33"/>
      <c r="BM146" s="22"/>
      <c r="BN146" s="23"/>
      <c r="BO146" s="44"/>
      <c r="BP146" s="25"/>
      <c r="BQ146" s="44"/>
      <c r="BR146" s="29"/>
      <c r="BS146" s="29"/>
      <c r="BT146" s="29"/>
      <c r="BU146" s="22"/>
      <c r="BV146" s="23"/>
      <c r="BW146" s="44"/>
      <c r="BX146" s="25"/>
      <c r="BY146" s="44"/>
      <c r="BZ146" s="54"/>
      <c r="CA146" s="22"/>
      <c r="CB146" s="23"/>
      <c r="CC146" s="44"/>
      <c r="CD146" s="25"/>
      <c r="CE146" s="44"/>
      <c r="CF146" s="54"/>
      <c r="CG146" s="22"/>
      <c r="CH146" s="26"/>
      <c r="CI146" s="91"/>
      <c r="CJ146" s="26"/>
      <c r="CK146" s="91"/>
      <c r="CL146" s="26"/>
    </row>
    <row r="147">
      <c r="A147" s="26">
        <f t="shared" si="58"/>
        <v>145</v>
      </c>
      <c r="B147" s="27"/>
      <c r="C147" s="27" t="s">
        <v>451</v>
      </c>
      <c r="D147" s="27"/>
      <c r="E147" s="26"/>
      <c r="F147" s="26"/>
      <c r="G147" s="20">
        <v>4.0</v>
      </c>
      <c r="H147" s="20">
        <v>3.0</v>
      </c>
      <c r="I147" s="23" t="s">
        <v>72</v>
      </c>
      <c r="J147" s="33"/>
      <c r="K147" s="22">
        <f t="shared" si="53"/>
        <v>4</v>
      </c>
      <c r="L147" s="23" t="s">
        <v>373</v>
      </c>
      <c r="M147" s="34">
        <v>46314.437825625</v>
      </c>
      <c r="N147" s="25" t="s">
        <v>69</v>
      </c>
      <c r="O147" s="34">
        <v>46315.68376</v>
      </c>
      <c r="P147" s="29"/>
      <c r="Q147" s="29"/>
      <c r="R147" s="29"/>
      <c r="S147" s="22"/>
      <c r="T147" s="23"/>
      <c r="U147" s="44"/>
      <c r="V147" s="25"/>
      <c r="W147" s="44"/>
      <c r="X147" s="54"/>
      <c r="Y147" s="22"/>
      <c r="Z147" s="23"/>
      <c r="AA147" s="44"/>
      <c r="AB147" s="25"/>
      <c r="AC147" s="44"/>
      <c r="AD147" s="54"/>
      <c r="AE147" s="22"/>
      <c r="AF147" s="23"/>
      <c r="AG147" s="44"/>
      <c r="AH147" s="25"/>
      <c r="AI147" s="44"/>
      <c r="AJ147" s="46"/>
      <c r="AK147" s="33"/>
      <c r="AL147" s="22">
        <v>3.0</v>
      </c>
      <c r="AM147" s="23" t="s">
        <v>373</v>
      </c>
      <c r="AN147" s="34">
        <v>46316.39821126158</v>
      </c>
      <c r="AO147" s="25" t="s">
        <v>147</v>
      </c>
      <c r="AP147" s="44"/>
      <c r="AQ147" s="29"/>
      <c r="AR147" s="29"/>
      <c r="AS147" s="29"/>
      <c r="AT147" s="22"/>
      <c r="AU147" s="23"/>
      <c r="AV147" s="44"/>
      <c r="AW147" s="25"/>
      <c r="AX147" s="44"/>
      <c r="AY147" s="54"/>
      <c r="AZ147" s="22"/>
      <c r="BA147" s="23"/>
      <c r="BB147" s="44"/>
      <c r="BC147" s="25"/>
      <c r="BD147" s="44"/>
      <c r="BE147" s="54"/>
      <c r="BF147" s="22"/>
      <c r="BG147" s="23"/>
      <c r="BH147" s="44"/>
      <c r="BI147" s="25"/>
      <c r="BJ147" s="44"/>
      <c r="BK147" s="46"/>
      <c r="BL147" s="33"/>
      <c r="BM147" s="22"/>
      <c r="BN147" s="23"/>
      <c r="BO147" s="44"/>
      <c r="BP147" s="25"/>
      <c r="BQ147" s="44"/>
      <c r="BR147" s="29"/>
      <c r="BS147" s="29"/>
      <c r="BT147" s="29"/>
      <c r="BU147" s="22"/>
      <c r="BV147" s="23"/>
      <c r="BW147" s="44"/>
      <c r="BX147" s="25"/>
      <c r="BY147" s="44"/>
      <c r="BZ147" s="54"/>
      <c r="CA147" s="22"/>
      <c r="CB147" s="23"/>
      <c r="CC147" s="44"/>
      <c r="CD147" s="25"/>
      <c r="CE147" s="44"/>
      <c r="CF147" s="54"/>
      <c r="CG147" s="22"/>
      <c r="CH147" s="26"/>
      <c r="CI147" s="91"/>
      <c r="CJ147" s="26"/>
      <c r="CK147" s="91"/>
      <c r="CL147" s="26"/>
    </row>
    <row r="148">
      <c r="A148" s="26">
        <f t="shared" si="58"/>
        <v>146</v>
      </c>
      <c r="B148" s="27"/>
      <c r="C148" s="27" t="s">
        <v>452</v>
      </c>
      <c r="D148" s="27"/>
      <c r="E148" s="26"/>
      <c r="F148" s="26"/>
      <c r="G148" s="20">
        <v>2.0</v>
      </c>
      <c r="H148" s="20">
        <v>1.0</v>
      </c>
      <c r="I148" s="23" t="s">
        <v>72</v>
      </c>
      <c r="J148" s="33"/>
      <c r="K148" s="22">
        <f t="shared" si="53"/>
        <v>2</v>
      </c>
      <c r="L148" s="23" t="s">
        <v>126</v>
      </c>
      <c r="M148" s="34">
        <v>46314.47325055556</v>
      </c>
      <c r="N148" s="25" t="s">
        <v>69</v>
      </c>
      <c r="O148" s="34">
        <v>46314.6089771875</v>
      </c>
      <c r="P148" s="29"/>
      <c r="Q148" s="29"/>
      <c r="R148" s="29"/>
      <c r="S148" s="22"/>
      <c r="T148" s="23"/>
      <c r="U148" s="44"/>
      <c r="V148" s="25"/>
      <c r="W148" s="44"/>
      <c r="X148" s="54"/>
      <c r="Y148" s="22"/>
      <c r="Z148" s="23"/>
      <c r="AA148" s="44"/>
      <c r="AB148" s="25"/>
      <c r="AC148" s="44"/>
      <c r="AD148" s="54"/>
      <c r="AE148" s="22"/>
      <c r="AF148" s="23"/>
      <c r="AG148" s="44"/>
      <c r="AH148" s="25"/>
      <c r="AI148" s="44"/>
      <c r="AJ148" s="46"/>
      <c r="AK148" s="33"/>
      <c r="AL148" s="22">
        <v>1.0</v>
      </c>
      <c r="AM148" s="23" t="s">
        <v>126</v>
      </c>
      <c r="AN148" s="34">
        <v>46314.620795509254</v>
      </c>
      <c r="AO148" s="25" t="s">
        <v>69</v>
      </c>
      <c r="AP148" s="34">
        <v>46314.66127217593</v>
      </c>
      <c r="AQ148" s="29"/>
      <c r="AR148" s="29"/>
      <c r="AS148" s="29"/>
      <c r="AT148" s="22"/>
      <c r="AU148" s="23"/>
      <c r="AV148" s="44"/>
      <c r="AW148" s="25"/>
      <c r="AX148" s="44"/>
      <c r="AY148" s="54"/>
      <c r="AZ148" s="22"/>
      <c r="BA148" s="23"/>
      <c r="BB148" s="44"/>
      <c r="BC148" s="25"/>
      <c r="BD148" s="44"/>
      <c r="BE148" s="54"/>
      <c r="BF148" s="22"/>
      <c r="BG148" s="23"/>
      <c r="BH148" s="44"/>
      <c r="BI148" s="25"/>
      <c r="BJ148" s="44"/>
      <c r="BK148" s="46"/>
      <c r="BL148" s="33"/>
      <c r="BM148" s="22"/>
      <c r="BN148" s="23"/>
      <c r="BO148" s="44"/>
      <c r="BP148" s="25"/>
      <c r="BQ148" s="44"/>
      <c r="BR148" s="29"/>
      <c r="BS148" s="29"/>
      <c r="BT148" s="29"/>
      <c r="BU148" s="22"/>
      <c r="BV148" s="23"/>
      <c r="BW148" s="44"/>
      <c r="BX148" s="25"/>
      <c r="BY148" s="44"/>
      <c r="BZ148" s="54"/>
      <c r="CA148" s="22"/>
      <c r="CB148" s="23"/>
      <c r="CC148" s="44"/>
      <c r="CD148" s="25"/>
      <c r="CE148" s="44"/>
      <c r="CF148" s="54"/>
      <c r="CG148" s="22"/>
      <c r="CH148" s="26"/>
      <c r="CI148" s="91"/>
      <c r="CJ148" s="26"/>
      <c r="CK148" s="91"/>
      <c r="CL148" s="26"/>
    </row>
    <row r="149">
      <c r="A149" s="26">
        <f t="shared" si="58"/>
        <v>147</v>
      </c>
      <c r="B149" s="27"/>
      <c r="C149" s="27" t="s">
        <v>453</v>
      </c>
      <c r="D149" s="27"/>
      <c r="E149" s="26"/>
      <c r="F149" s="26"/>
      <c r="G149" s="20">
        <v>1.0</v>
      </c>
      <c r="H149" s="20">
        <v>2.0</v>
      </c>
      <c r="I149" s="23" t="s">
        <v>72</v>
      </c>
      <c r="J149" s="33"/>
      <c r="K149" s="22">
        <f t="shared" si="53"/>
        <v>1</v>
      </c>
      <c r="L149" s="23" t="s">
        <v>212</v>
      </c>
      <c r="M149" s="34">
        <v>46314.489369930554</v>
      </c>
      <c r="N149" s="25" t="s">
        <v>69</v>
      </c>
      <c r="O149" s="34">
        <v>46314.56790599537</v>
      </c>
      <c r="P149" s="29"/>
      <c r="Q149" s="29"/>
      <c r="R149" s="29"/>
      <c r="S149" s="22"/>
      <c r="T149" s="23"/>
      <c r="U149" s="44"/>
      <c r="V149" s="25"/>
      <c r="W149" s="44"/>
      <c r="X149" s="54"/>
      <c r="Y149" s="22"/>
      <c r="Z149" s="23"/>
      <c r="AA149" s="44"/>
      <c r="AB149" s="25"/>
      <c r="AC149" s="44"/>
      <c r="AD149" s="54"/>
      <c r="AE149" s="22"/>
      <c r="AF149" s="23"/>
      <c r="AG149" s="44"/>
      <c r="AH149" s="25"/>
      <c r="AI149" s="44"/>
      <c r="AJ149" s="46"/>
      <c r="AK149" s="33"/>
      <c r="AL149" s="22">
        <v>2.0</v>
      </c>
      <c r="AM149" s="23" t="s">
        <v>212</v>
      </c>
      <c r="AN149" s="34">
        <v>46314.586512256945</v>
      </c>
      <c r="AO149" s="25" t="s">
        <v>69</v>
      </c>
      <c r="AP149" s="34">
        <v>46314.66997299768</v>
      </c>
      <c r="AQ149" s="29"/>
      <c r="AR149" s="29"/>
      <c r="AS149" s="29"/>
      <c r="AT149" s="22"/>
      <c r="AU149" s="23"/>
      <c r="AV149" s="44"/>
      <c r="AW149" s="25"/>
      <c r="AX149" s="44"/>
      <c r="AY149" s="54"/>
      <c r="AZ149" s="22"/>
      <c r="BA149" s="23"/>
      <c r="BB149" s="44"/>
      <c r="BC149" s="25"/>
      <c r="BD149" s="44"/>
      <c r="BE149" s="54"/>
      <c r="BF149" s="22"/>
      <c r="BG149" s="23"/>
      <c r="BH149" s="44"/>
      <c r="BI149" s="25"/>
      <c r="BJ149" s="44"/>
      <c r="BK149" s="46"/>
      <c r="BL149" s="33"/>
      <c r="BM149" s="22"/>
      <c r="BN149" s="23"/>
      <c r="BO149" s="44"/>
      <c r="BP149" s="25"/>
      <c r="BQ149" s="44"/>
      <c r="BR149" s="29"/>
      <c r="BS149" s="29"/>
      <c r="BT149" s="29"/>
      <c r="BU149" s="22"/>
      <c r="BV149" s="23"/>
      <c r="BW149" s="44"/>
      <c r="BX149" s="25"/>
      <c r="BY149" s="44"/>
      <c r="BZ149" s="54"/>
      <c r="CA149" s="22"/>
      <c r="CB149" s="23"/>
      <c r="CC149" s="44"/>
      <c r="CD149" s="25"/>
      <c r="CE149" s="44"/>
      <c r="CF149" s="54"/>
      <c r="CG149" s="22"/>
      <c r="CH149" s="26"/>
      <c r="CI149" s="91"/>
      <c r="CJ149" s="26"/>
      <c r="CK149" s="91"/>
      <c r="CL149" s="26"/>
    </row>
    <row r="150">
      <c r="A150" s="26">
        <f t="shared" si="58"/>
        <v>148</v>
      </c>
      <c r="B150" s="27"/>
      <c r="C150" s="27" t="s">
        <v>454</v>
      </c>
      <c r="D150" s="27"/>
      <c r="E150" s="26"/>
      <c r="F150" s="26"/>
      <c r="G150" s="20">
        <v>1.0</v>
      </c>
      <c r="H150" s="20">
        <v>2.0</v>
      </c>
      <c r="I150" s="23" t="s">
        <v>72</v>
      </c>
      <c r="J150" s="33"/>
      <c r="K150" s="22">
        <f t="shared" si="53"/>
        <v>1</v>
      </c>
      <c r="L150" s="23" t="s">
        <v>176</v>
      </c>
      <c r="M150" s="34">
        <v>46314.552041874995</v>
      </c>
      <c r="N150" s="25" t="s">
        <v>69</v>
      </c>
      <c r="O150" s="34">
        <v>46314.62330443287</v>
      </c>
      <c r="P150" s="29"/>
      <c r="Q150" s="29"/>
      <c r="R150" s="29"/>
      <c r="S150" s="22"/>
      <c r="T150" s="23"/>
      <c r="U150" s="44"/>
      <c r="V150" s="25"/>
      <c r="W150" s="44"/>
      <c r="X150" s="54"/>
      <c r="Y150" s="22"/>
      <c r="Z150" s="23"/>
      <c r="AA150" s="44"/>
      <c r="AB150" s="25"/>
      <c r="AC150" s="44"/>
      <c r="AD150" s="54"/>
      <c r="AE150" s="22"/>
      <c r="AF150" s="23"/>
      <c r="AG150" s="44"/>
      <c r="AH150" s="25"/>
      <c r="AI150" s="44"/>
      <c r="AJ150" s="46"/>
      <c r="AK150" s="33"/>
      <c r="AL150" s="22">
        <v>2.0</v>
      </c>
      <c r="AM150" s="23" t="s">
        <v>176</v>
      </c>
      <c r="AN150" s="34">
        <v>46314.643389861114</v>
      </c>
      <c r="AO150" s="25" t="s">
        <v>69</v>
      </c>
      <c r="AP150" s="34">
        <v>46314.705106574074</v>
      </c>
      <c r="AQ150" s="29"/>
      <c r="AR150" s="29"/>
      <c r="AS150" s="29"/>
      <c r="AT150" s="22"/>
      <c r="AU150" s="23"/>
      <c r="AV150" s="44"/>
      <c r="AW150" s="25"/>
      <c r="AX150" s="44"/>
      <c r="AY150" s="54"/>
      <c r="AZ150" s="22"/>
      <c r="BA150" s="23"/>
      <c r="BB150" s="44"/>
      <c r="BC150" s="25"/>
      <c r="BD150" s="44"/>
      <c r="BE150" s="54"/>
      <c r="BF150" s="22"/>
      <c r="BG150" s="23"/>
      <c r="BH150" s="44"/>
      <c r="BI150" s="25"/>
      <c r="BJ150" s="44"/>
      <c r="BK150" s="46"/>
      <c r="BL150" s="33"/>
      <c r="BM150" s="22"/>
      <c r="BN150" s="23"/>
      <c r="BO150" s="44"/>
      <c r="BP150" s="25"/>
      <c r="BQ150" s="44"/>
      <c r="BR150" s="29"/>
      <c r="BS150" s="29"/>
      <c r="BT150" s="29"/>
      <c r="BU150" s="22"/>
      <c r="BV150" s="23"/>
      <c r="BW150" s="44"/>
      <c r="BX150" s="25"/>
      <c r="BY150" s="44"/>
      <c r="BZ150" s="54"/>
      <c r="CA150" s="22"/>
      <c r="CB150" s="23"/>
      <c r="CC150" s="44"/>
      <c r="CD150" s="25"/>
      <c r="CE150" s="44"/>
      <c r="CF150" s="54"/>
      <c r="CG150" s="22"/>
      <c r="CH150" s="26"/>
      <c r="CI150" s="91"/>
      <c r="CJ150" s="26"/>
      <c r="CK150" s="91"/>
      <c r="CL150" s="26"/>
    </row>
    <row r="151">
      <c r="A151" s="26">
        <f t="shared" si="58"/>
        <v>149</v>
      </c>
      <c r="B151" s="27"/>
      <c r="C151" s="27" t="s">
        <v>455</v>
      </c>
      <c r="D151" s="27"/>
      <c r="E151" s="26"/>
      <c r="F151" s="26"/>
      <c r="G151" s="20">
        <v>1.0</v>
      </c>
      <c r="H151" s="20">
        <v>1.0</v>
      </c>
      <c r="I151" s="23" t="s">
        <v>72</v>
      </c>
      <c r="J151" s="33"/>
      <c r="K151" s="22">
        <f t="shared" si="53"/>
        <v>1</v>
      </c>
      <c r="L151" s="23" t="s">
        <v>73</v>
      </c>
      <c r="M151" s="34">
        <v>46314.56973959491</v>
      </c>
      <c r="N151" s="25" t="s">
        <v>69</v>
      </c>
      <c r="O151" s="34">
        <v>46314.60795229167</v>
      </c>
      <c r="P151" s="29"/>
      <c r="Q151" s="29"/>
      <c r="R151" s="29"/>
      <c r="S151" s="22"/>
      <c r="T151" s="23"/>
      <c r="U151" s="44"/>
      <c r="V151" s="25"/>
      <c r="W151" s="44"/>
      <c r="X151" s="54"/>
      <c r="Y151" s="22"/>
      <c r="Z151" s="23"/>
      <c r="AA151" s="44"/>
      <c r="AB151" s="25"/>
      <c r="AC151" s="44"/>
      <c r="AD151" s="54"/>
      <c r="AE151" s="22"/>
      <c r="AF151" s="23"/>
      <c r="AG151" s="44"/>
      <c r="AH151" s="25"/>
      <c r="AI151" s="44"/>
      <c r="AJ151" s="46"/>
      <c r="AK151" s="33"/>
      <c r="AL151" s="22">
        <v>1.0</v>
      </c>
      <c r="AM151" s="23" t="s">
        <v>73</v>
      </c>
      <c r="AN151" s="34">
        <v>46314.60996969907</v>
      </c>
      <c r="AO151" s="25" t="s">
        <v>69</v>
      </c>
      <c r="AP151" s="34">
        <v>46314.662660358794</v>
      </c>
      <c r="AQ151" s="29"/>
      <c r="AR151" s="29"/>
      <c r="AS151" s="29"/>
      <c r="AT151" s="22"/>
      <c r="AU151" s="23"/>
      <c r="AV151" s="44"/>
      <c r="AW151" s="25"/>
      <c r="AX151" s="44"/>
      <c r="AY151" s="54"/>
      <c r="AZ151" s="22"/>
      <c r="BA151" s="23"/>
      <c r="BB151" s="44"/>
      <c r="BC151" s="25"/>
      <c r="BD151" s="44"/>
      <c r="BE151" s="54"/>
      <c r="BF151" s="22"/>
      <c r="BG151" s="23"/>
      <c r="BH151" s="44"/>
      <c r="BI151" s="25"/>
      <c r="BJ151" s="44"/>
      <c r="BK151" s="46"/>
      <c r="BL151" s="33"/>
      <c r="BM151" s="22"/>
      <c r="BN151" s="23"/>
      <c r="BO151" s="44"/>
      <c r="BP151" s="25"/>
      <c r="BQ151" s="44"/>
      <c r="BR151" s="29"/>
      <c r="BS151" s="29"/>
      <c r="BT151" s="29"/>
      <c r="BU151" s="22"/>
      <c r="BV151" s="23"/>
      <c r="BW151" s="44"/>
      <c r="BX151" s="25"/>
      <c r="BY151" s="44"/>
      <c r="BZ151" s="54"/>
      <c r="CA151" s="22"/>
      <c r="CB151" s="23"/>
      <c r="CC151" s="44"/>
      <c r="CD151" s="25"/>
      <c r="CE151" s="44"/>
      <c r="CF151" s="54"/>
      <c r="CG151" s="22"/>
      <c r="CH151" s="26"/>
      <c r="CI151" s="91"/>
      <c r="CJ151" s="26"/>
      <c r="CK151" s="91"/>
      <c r="CL151" s="26"/>
    </row>
    <row r="152">
      <c r="A152" s="26">
        <f t="shared" si="58"/>
        <v>150</v>
      </c>
      <c r="B152" s="27"/>
      <c r="C152" s="27" t="s">
        <v>456</v>
      </c>
      <c r="D152" s="27"/>
      <c r="E152" s="26"/>
      <c r="F152" s="26"/>
      <c r="G152" s="20">
        <v>1.0</v>
      </c>
      <c r="H152" s="20">
        <v>1.0</v>
      </c>
      <c r="I152" s="23" t="s">
        <v>72</v>
      </c>
      <c r="J152" s="33"/>
      <c r="K152" s="22">
        <f t="shared" si="53"/>
        <v>1</v>
      </c>
      <c r="L152" s="23" t="s">
        <v>104</v>
      </c>
      <c r="M152" s="34">
        <v>46314.61289174769</v>
      </c>
      <c r="N152" s="25" t="s">
        <v>69</v>
      </c>
      <c r="O152" s="34">
        <v>46314.67666629629</v>
      </c>
      <c r="P152" s="29"/>
      <c r="Q152" s="29"/>
      <c r="R152" s="29"/>
      <c r="S152" s="22"/>
      <c r="T152" s="23"/>
      <c r="U152" s="44"/>
      <c r="V152" s="25"/>
      <c r="W152" s="44"/>
      <c r="X152" s="54"/>
      <c r="Y152" s="22"/>
      <c r="Z152" s="23"/>
      <c r="AA152" s="44"/>
      <c r="AB152" s="25"/>
      <c r="AC152" s="44"/>
      <c r="AD152" s="54"/>
      <c r="AE152" s="22"/>
      <c r="AF152" s="23"/>
      <c r="AG152" s="44"/>
      <c r="AH152" s="25"/>
      <c r="AI152" s="44"/>
      <c r="AJ152" s="46"/>
      <c r="AK152" s="33"/>
      <c r="AL152" s="22">
        <v>1.0</v>
      </c>
      <c r="AM152" s="23" t="s">
        <v>104</v>
      </c>
      <c r="AN152" s="34">
        <v>46314.68186153936</v>
      </c>
      <c r="AO152" s="25" t="s">
        <v>69</v>
      </c>
      <c r="AP152" s="34">
        <v>46315.4087941551</v>
      </c>
      <c r="AQ152" s="29"/>
      <c r="AR152" s="29"/>
      <c r="AS152" s="29"/>
      <c r="AT152" s="22"/>
      <c r="AU152" s="23"/>
      <c r="AV152" s="44"/>
      <c r="AW152" s="25"/>
      <c r="AX152" s="44"/>
      <c r="AY152" s="54"/>
      <c r="AZ152" s="22"/>
      <c r="BA152" s="23"/>
      <c r="BB152" s="44"/>
      <c r="BC152" s="25"/>
      <c r="BD152" s="44"/>
      <c r="BE152" s="54"/>
      <c r="BF152" s="22"/>
      <c r="BG152" s="23"/>
      <c r="BH152" s="44"/>
      <c r="BI152" s="25"/>
      <c r="BJ152" s="44"/>
      <c r="BK152" s="46"/>
      <c r="BL152" s="33"/>
      <c r="BM152" s="22"/>
      <c r="BN152" s="23"/>
      <c r="BO152" s="44"/>
      <c r="BP152" s="25"/>
      <c r="BQ152" s="44"/>
      <c r="BR152" s="29"/>
      <c r="BS152" s="29"/>
      <c r="BT152" s="29"/>
      <c r="BU152" s="22"/>
      <c r="BV152" s="23"/>
      <c r="BW152" s="44"/>
      <c r="BX152" s="25"/>
      <c r="BY152" s="44"/>
      <c r="BZ152" s="54"/>
      <c r="CA152" s="22"/>
      <c r="CB152" s="23"/>
      <c r="CC152" s="44"/>
      <c r="CD152" s="25"/>
      <c r="CE152" s="44"/>
      <c r="CF152" s="54"/>
      <c r="CG152" s="22"/>
      <c r="CH152" s="26"/>
      <c r="CI152" s="91"/>
      <c r="CJ152" s="26"/>
      <c r="CK152" s="91"/>
      <c r="CL152" s="26"/>
    </row>
    <row r="153">
      <c r="A153" s="26">
        <f t="shared" si="58"/>
        <v>151</v>
      </c>
      <c r="B153" s="27"/>
      <c r="C153" s="27" t="s">
        <v>457</v>
      </c>
      <c r="D153" s="27"/>
      <c r="E153" s="26"/>
      <c r="F153" s="26"/>
      <c r="G153" s="20">
        <v>5.0</v>
      </c>
      <c r="H153" s="20">
        <v>4.0</v>
      </c>
      <c r="I153" s="23" t="s">
        <v>72</v>
      </c>
      <c r="J153" s="33"/>
      <c r="K153" s="22">
        <f t="shared" si="53"/>
        <v>5</v>
      </c>
      <c r="L153" s="23" t="s">
        <v>126</v>
      </c>
      <c r="M153" s="34">
        <v>46314.68590390046</v>
      </c>
      <c r="N153" s="25" t="s">
        <v>147</v>
      </c>
      <c r="O153" s="44"/>
      <c r="P153" s="29"/>
      <c r="Q153" s="29"/>
      <c r="R153" s="29"/>
      <c r="S153" s="22"/>
      <c r="T153" s="23"/>
      <c r="U153" s="44"/>
      <c r="V153" s="25"/>
      <c r="W153" s="44"/>
      <c r="X153" s="54"/>
      <c r="Y153" s="22"/>
      <c r="Z153" s="23"/>
      <c r="AA153" s="44"/>
      <c r="AB153" s="25"/>
      <c r="AC153" s="44"/>
      <c r="AD153" s="54"/>
      <c r="AE153" s="22"/>
      <c r="AF153" s="23"/>
      <c r="AG153" s="44"/>
      <c r="AH153" s="25"/>
      <c r="AI153" s="44"/>
      <c r="AJ153" s="46"/>
      <c r="AK153" s="33"/>
      <c r="AL153" s="22">
        <v>4.0</v>
      </c>
      <c r="AM153" s="23"/>
      <c r="AN153" s="44"/>
      <c r="AO153" s="25"/>
      <c r="AP153" s="44"/>
      <c r="AQ153" s="29"/>
      <c r="AR153" s="29"/>
      <c r="AS153" s="29"/>
      <c r="AT153" s="22"/>
      <c r="AU153" s="23"/>
      <c r="AV153" s="44"/>
      <c r="AW153" s="25"/>
      <c r="AX153" s="44"/>
      <c r="AY153" s="54"/>
      <c r="AZ153" s="22"/>
      <c r="BA153" s="23"/>
      <c r="BB153" s="44"/>
      <c r="BC153" s="25"/>
      <c r="BD153" s="44"/>
      <c r="BE153" s="54"/>
      <c r="BF153" s="22"/>
      <c r="BG153" s="23"/>
      <c r="BH153" s="44"/>
      <c r="BI153" s="25"/>
      <c r="BJ153" s="44"/>
      <c r="BK153" s="46"/>
      <c r="BL153" s="33"/>
      <c r="BM153" s="22"/>
      <c r="BN153" s="23"/>
      <c r="BO153" s="44"/>
      <c r="BP153" s="25"/>
      <c r="BQ153" s="44"/>
      <c r="BR153" s="29"/>
      <c r="BS153" s="29"/>
      <c r="BT153" s="29"/>
      <c r="BU153" s="22"/>
      <c r="BV153" s="23"/>
      <c r="BW153" s="44"/>
      <c r="BX153" s="25"/>
      <c r="BY153" s="44"/>
      <c r="BZ153" s="54"/>
      <c r="CA153" s="22"/>
      <c r="CB153" s="23"/>
      <c r="CC153" s="44"/>
      <c r="CD153" s="25"/>
      <c r="CE153" s="44"/>
      <c r="CF153" s="54"/>
      <c r="CG153" s="22"/>
      <c r="CH153" s="26"/>
      <c r="CI153" s="91"/>
      <c r="CJ153" s="26"/>
      <c r="CK153" s="91"/>
      <c r="CL153" s="26"/>
    </row>
    <row r="154" ht="57.0" customHeight="1">
      <c r="A154" s="26">
        <f t="shared" si="58"/>
        <v>152</v>
      </c>
      <c r="B154" s="27"/>
      <c r="C154" s="27" t="s">
        <v>458</v>
      </c>
      <c r="D154" s="27"/>
      <c r="E154" s="26"/>
      <c r="F154" s="26"/>
      <c r="G154" s="20">
        <v>3.0</v>
      </c>
      <c r="H154" s="20">
        <v>3.0</v>
      </c>
      <c r="I154" s="23" t="s">
        <v>72</v>
      </c>
      <c r="J154" s="33"/>
      <c r="K154" s="22">
        <f t="shared" si="53"/>
        <v>3</v>
      </c>
      <c r="L154" s="23" t="s">
        <v>224</v>
      </c>
      <c r="M154" s="34">
        <v>46314.68645662037</v>
      </c>
      <c r="N154" s="25" t="s">
        <v>69</v>
      </c>
      <c r="O154" s="34">
        <v>46315.45161300926</v>
      </c>
      <c r="P154" s="29"/>
      <c r="Q154" s="29"/>
      <c r="R154" s="29"/>
      <c r="S154" s="22"/>
      <c r="T154" s="23"/>
      <c r="U154" s="44"/>
      <c r="V154" s="25"/>
      <c r="W154" s="44"/>
      <c r="X154" s="54"/>
      <c r="Y154" s="22"/>
      <c r="Z154" s="23"/>
      <c r="AA154" s="44"/>
      <c r="AB154" s="25"/>
      <c r="AC154" s="44"/>
      <c r="AD154" s="54"/>
      <c r="AE154" s="22"/>
      <c r="AF154" s="23"/>
      <c r="AG154" s="44"/>
      <c r="AH154" s="25"/>
      <c r="AI154" s="44"/>
      <c r="AJ154" s="46"/>
      <c r="AK154" s="33"/>
      <c r="AL154" s="22">
        <v>3.0</v>
      </c>
      <c r="AM154" s="23" t="s">
        <v>224</v>
      </c>
      <c r="AN154" s="34">
        <v>46315.452632546294</v>
      </c>
      <c r="AO154" s="25" t="s">
        <v>69</v>
      </c>
      <c r="AP154" s="34">
        <v>46315.67308833334</v>
      </c>
      <c r="AQ154" s="29"/>
      <c r="AR154" s="29"/>
      <c r="AS154" s="29"/>
      <c r="AT154" s="22"/>
      <c r="AU154" s="23"/>
      <c r="AV154" s="44"/>
      <c r="AW154" s="25"/>
      <c r="AX154" s="44"/>
      <c r="AY154" s="54"/>
      <c r="AZ154" s="22"/>
      <c r="BA154" s="23"/>
      <c r="BB154" s="44"/>
      <c r="BC154" s="25"/>
      <c r="BD154" s="44"/>
      <c r="BE154" s="54"/>
      <c r="BF154" s="22"/>
      <c r="BG154" s="23"/>
      <c r="BH154" s="44"/>
      <c r="BI154" s="25"/>
      <c r="BJ154" s="44"/>
      <c r="BK154" s="46"/>
      <c r="BL154" s="33"/>
      <c r="BM154" s="22"/>
      <c r="BN154" s="23"/>
      <c r="BO154" s="44"/>
      <c r="BP154" s="25"/>
      <c r="BQ154" s="44"/>
      <c r="BR154" s="29"/>
      <c r="BS154" s="29"/>
      <c r="BT154" s="29"/>
      <c r="BU154" s="22"/>
      <c r="BV154" s="23"/>
      <c r="BW154" s="44"/>
      <c r="BX154" s="25"/>
      <c r="BY154" s="44"/>
      <c r="BZ154" s="54"/>
      <c r="CA154" s="22"/>
      <c r="CB154" s="23"/>
      <c r="CC154" s="44"/>
      <c r="CD154" s="25"/>
      <c r="CE154" s="44"/>
      <c r="CF154" s="54"/>
      <c r="CG154" s="22"/>
      <c r="CH154" s="26"/>
      <c r="CI154" s="91"/>
      <c r="CJ154" s="26"/>
      <c r="CK154" s="91"/>
      <c r="CL154" s="26"/>
    </row>
    <row r="155">
      <c r="A155" s="26">
        <f t="shared" si="58"/>
        <v>153</v>
      </c>
      <c r="B155" s="27"/>
      <c r="C155" s="27" t="s">
        <v>278</v>
      </c>
      <c r="D155" s="27" t="s">
        <v>228</v>
      </c>
      <c r="E155" s="26"/>
      <c r="F155" s="26"/>
      <c r="G155" s="20">
        <v>3.0</v>
      </c>
      <c r="H155" s="20"/>
      <c r="I155" s="23" t="s">
        <v>72</v>
      </c>
      <c r="J155" s="33"/>
      <c r="K155" s="22">
        <f t="shared" si="53"/>
        <v>3</v>
      </c>
      <c r="L155" s="23" t="s">
        <v>173</v>
      </c>
      <c r="M155" s="34">
        <v>46314.701945775465</v>
      </c>
      <c r="N155" s="25" t="s">
        <v>69</v>
      </c>
      <c r="O155" s="34">
        <v>46315.586881111114</v>
      </c>
      <c r="P155" s="29"/>
      <c r="Q155" s="29"/>
      <c r="R155" s="29"/>
      <c r="S155" s="22"/>
      <c r="T155" s="23"/>
      <c r="U155" s="44"/>
      <c r="V155" s="25"/>
      <c r="W155" s="44"/>
      <c r="X155" s="54"/>
      <c r="Y155" s="22"/>
      <c r="Z155" s="23"/>
      <c r="AA155" s="44"/>
      <c r="AB155" s="25"/>
      <c r="AC155" s="44"/>
      <c r="AD155" s="54"/>
      <c r="AE155" s="22"/>
      <c r="AF155" s="23"/>
      <c r="AG155" s="44"/>
      <c r="AH155" s="25"/>
      <c r="AI155" s="44"/>
      <c r="AJ155" s="46"/>
      <c r="AK155" s="33"/>
      <c r="AL155" s="22"/>
      <c r="AM155" s="23"/>
      <c r="AN155" s="44"/>
      <c r="AO155" s="25"/>
      <c r="AP155" s="44"/>
      <c r="AQ155" s="29"/>
      <c r="AR155" s="29"/>
      <c r="AS155" s="29"/>
      <c r="AT155" s="22"/>
      <c r="AU155" s="23"/>
      <c r="AV155" s="44"/>
      <c r="AW155" s="25"/>
      <c r="AX155" s="44"/>
      <c r="AY155" s="54"/>
      <c r="AZ155" s="22"/>
      <c r="BA155" s="23"/>
      <c r="BB155" s="44"/>
      <c r="BC155" s="25"/>
      <c r="BD155" s="44"/>
      <c r="BE155" s="54"/>
      <c r="BF155" s="22"/>
      <c r="BG155" s="23"/>
      <c r="BH155" s="44"/>
      <c r="BI155" s="25"/>
      <c r="BJ155" s="44"/>
      <c r="BK155" s="46"/>
      <c r="BL155" s="33"/>
      <c r="BM155" s="22"/>
      <c r="BN155" s="23"/>
      <c r="BO155" s="44"/>
      <c r="BP155" s="25"/>
      <c r="BQ155" s="44"/>
      <c r="BR155" s="29"/>
      <c r="BS155" s="29"/>
      <c r="BT155" s="29"/>
      <c r="BU155" s="22"/>
      <c r="BV155" s="23"/>
      <c r="BW155" s="44"/>
      <c r="BX155" s="25"/>
      <c r="BY155" s="44"/>
      <c r="BZ155" s="54"/>
      <c r="CA155" s="22"/>
      <c r="CB155" s="23"/>
      <c r="CC155" s="44"/>
      <c r="CD155" s="25"/>
      <c r="CE155" s="44"/>
      <c r="CF155" s="54"/>
      <c r="CG155" s="22"/>
      <c r="CH155" s="26"/>
      <c r="CI155" s="91"/>
      <c r="CJ155" s="26"/>
      <c r="CK155" s="91"/>
      <c r="CL155" s="26"/>
    </row>
    <row r="156">
      <c r="A156" s="26">
        <f t="shared" si="58"/>
        <v>154</v>
      </c>
      <c r="B156" s="27"/>
      <c r="C156" s="27" t="s">
        <v>459</v>
      </c>
      <c r="D156" s="27"/>
      <c r="E156" s="26"/>
      <c r="F156" s="26"/>
      <c r="G156" s="20">
        <v>1.0</v>
      </c>
      <c r="H156" s="20">
        <v>1.0</v>
      </c>
      <c r="I156" s="23" t="s">
        <v>72</v>
      </c>
      <c r="J156" s="33"/>
      <c r="K156" s="22">
        <f t="shared" si="53"/>
        <v>1</v>
      </c>
      <c r="L156" s="23" t="s">
        <v>212</v>
      </c>
      <c r="M156" s="34">
        <v>46314.70204793982</v>
      </c>
      <c r="N156" s="25" t="s">
        <v>69</v>
      </c>
      <c r="O156" s="34">
        <v>46315.42423341435</v>
      </c>
      <c r="P156" s="29"/>
      <c r="Q156" s="29"/>
      <c r="R156" s="29"/>
      <c r="S156" s="22"/>
      <c r="T156" s="23"/>
      <c r="U156" s="44"/>
      <c r="V156" s="25"/>
      <c r="W156" s="44"/>
      <c r="X156" s="54"/>
      <c r="Y156" s="22"/>
      <c r="Z156" s="23"/>
      <c r="AA156" s="44"/>
      <c r="AB156" s="25"/>
      <c r="AC156" s="44"/>
      <c r="AD156" s="54"/>
      <c r="AE156" s="22"/>
      <c r="AF156" s="23"/>
      <c r="AG156" s="44"/>
      <c r="AH156" s="25"/>
      <c r="AI156" s="44"/>
      <c r="AJ156" s="46"/>
      <c r="AK156" s="33"/>
      <c r="AL156" s="22">
        <v>1.0</v>
      </c>
      <c r="AM156" s="23" t="s">
        <v>212</v>
      </c>
      <c r="AN156" s="34">
        <v>46315.425722685184</v>
      </c>
      <c r="AO156" s="25" t="s">
        <v>69</v>
      </c>
      <c r="AP156" s="34">
        <v>46315.550892060186</v>
      </c>
      <c r="AQ156" s="29"/>
      <c r="AR156" s="29"/>
      <c r="AS156" s="29"/>
      <c r="AT156" s="22"/>
      <c r="AU156" s="23"/>
      <c r="AV156" s="44"/>
      <c r="AW156" s="25"/>
      <c r="AX156" s="44"/>
      <c r="AY156" s="54"/>
      <c r="AZ156" s="22"/>
      <c r="BA156" s="23"/>
      <c r="BB156" s="44"/>
      <c r="BC156" s="25"/>
      <c r="BD156" s="44"/>
      <c r="BE156" s="54"/>
      <c r="BF156" s="22"/>
      <c r="BG156" s="23"/>
      <c r="BH156" s="44"/>
      <c r="BI156" s="25"/>
      <c r="BJ156" s="44"/>
      <c r="BK156" s="46"/>
      <c r="BL156" s="33"/>
      <c r="BM156" s="22"/>
      <c r="BN156" s="23"/>
      <c r="BO156" s="44"/>
      <c r="BP156" s="25"/>
      <c r="BQ156" s="44"/>
      <c r="BR156" s="29"/>
      <c r="BS156" s="29"/>
      <c r="BT156" s="29"/>
      <c r="BU156" s="22"/>
      <c r="BV156" s="23"/>
      <c r="BW156" s="44"/>
      <c r="BX156" s="25"/>
      <c r="BY156" s="44"/>
      <c r="BZ156" s="54"/>
      <c r="CA156" s="22"/>
      <c r="CB156" s="23"/>
      <c r="CC156" s="44"/>
      <c r="CD156" s="25"/>
      <c r="CE156" s="44"/>
      <c r="CF156" s="54"/>
      <c r="CG156" s="22"/>
      <c r="CH156" s="26"/>
      <c r="CI156" s="91"/>
      <c r="CJ156" s="26"/>
      <c r="CK156" s="91"/>
      <c r="CL156" s="26"/>
    </row>
    <row r="157">
      <c r="A157" s="26">
        <f t="shared" si="58"/>
        <v>155</v>
      </c>
      <c r="B157" s="27"/>
      <c r="C157" s="21" t="s">
        <v>460</v>
      </c>
      <c r="D157" s="27"/>
      <c r="E157" s="26"/>
      <c r="F157" s="26"/>
      <c r="G157" s="20">
        <v>1.0</v>
      </c>
      <c r="H157" s="20">
        <v>1.0</v>
      </c>
      <c r="I157" s="23" t="s">
        <v>72</v>
      </c>
      <c r="J157" s="33"/>
      <c r="K157" s="22">
        <f t="shared" si="53"/>
        <v>1</v>
      </c>
      <c r="L157" s="23" t="s">
        <v>210</v>
      </c>
      <c r="M157" s="34">
        <v>46314.70451064815</v>
      </c>
      <c r="N157" s="25" t="s">
        <v>69</v>
      </c>
      <c r="O157" s="34">
        <v>46314.70642814814</v>
      </c>
      <c r="P157" s="29"/>
      <c r="Q157" s="29"/>
      <c r="R157" s="29"/>
      <c r="S157" s="22"/>
      <c r="T157" s="23"/>
      <c r="U157" s="44"/>
      <c r="V157" s="25"/>
      <c r="W157" s="44"/>
      <c r="X157" s="54"/>
      <c r="Y157" s="22"/>
      <c r="Z157" s="23"/>
      <c r="AA157" s="44"/>
      <c r="AB157" s="25"/>
      <c r="AC157" s="44"/>
      <c r="AD157" s="54"/>
      <c r="AE157" s="22"/>
      <c r="AF157" s="23"/>
      <c r="AG157" s="44"/>
      <c r="AH157" s="25"/>
      <c r="AI157" s="44"/>
      <c r="AJ157" s="46"/>
      <c r="AK157" s="33"/>
      <c r="AL157" s="22">
        <v>1.0</v>
      </c>
      <c r="AM157" s="23" t="s">
        <v>210</v>
      </c>
      <c r="AN157" s="34">
        <v>46315.39599071759</v>
      </c>
      <c r="AO157" s="25" t="s">
        <v>69</v>
      </c>
      <c r="AP157" s="34">
        <v>46315.43343337963</v>
      </c>
      <c r="AQ157" s="29"/>
      <c r="AR157" s="29"/>
      <c r="AS157" s="29"/>
      <c r="AT157" s="22"/>
      <c r="AU157" s="23"/>
      <c r="AV157" s="44"/>
      <c r="AW157" s="25"/>
      <c r="AX157" s="44"/>
      <c r="AY157" s="54"/>
      <c r="AZ157" s="22"/>
      <c r="BA157" s="23"/>
      <c r="BB157" s="44"/>
      <c r="BC157" s="25"/>
      <c r="BD157" s="44"/>
      <c r="BE157" s="54"/>
      <c r="BF157" s="22"/>
      <c r="BG157" s="23"/>
      <c r="BH157" s="44"/>
      <c r="BI157" s="25"/>
      <c r="BJ157" s="44"/>
      <c r="BK157" s="46"/>
      <c r="BL157" s="33"/>
      <c r="BM157" s="22"/>
      <c r="BN157" s="23"/>
      <c r="BO157" s="44"/>
      <c r="BP157" s="25"/>
      <c r="BQ157" s="44"/>
      <c r="BR157" s="29"/>
      <c r="BS157" s="29"/>
      <c r="BT157" s="29"/>
      <c r="BU157" s="22"/>
      <c r="BV157" s="23"/>
      <c r="BW157" s="44"/>
      <c r="BX157" s="25"/>
      <c r="BY157" s="44"/>
      <c r="BZ157" s="54"/>
      <c r="CA157" s="22"/>
      <c r="CB157" s="23"/>
      <c r="CC157" s="44"/>
      <c r="CD157" s="25"/>
      <c r="CE157" s="44"/>
      <c r="CF157" s="54"/>
      <c r="CG157" s="22"/>
      <c r="CH157" s="26"/>
      <c r="CI157" s="91"/>
      <c r="CJ157" s="26"/>
      <c r="CK157" s="91"/>
      <c r="CL157" s="26"/>
    </row>
    <row r="158">
      <c r="A158" s="26">
        <f t="shared" si="58"/>
        <v>156</v>
      </c>
      <c r="B158" s="27"/>
      <c r="C158" s="21" t="s">
        <v>461</v>
      </c>
      <c r="D158" s="27"/>
      <c r="E158" s="26"/>
      <c r="F158" s="26"/>
      <c r="G158" s="20">
        <v>1.0</v>
      </c>
      <c r="H158" s="20">
        <v>1.0</v>
      </c>
      <c r="I158" s="23" t="s">
        <v>72</v>
      </c>
      <c r="J158" s="33"/>
      <c r="K158" s="22">
        <f t="shared" si="53"/>
        <v>1</v>
      </c>
      <c r="L158" s="23" t="s">
        <v>225</v>
      </c>
      <c r="M158" s="34">
        <v>46315.39842795139</v>
      </c>
      <c r="N158" s="25" t="s">
        <v>69</v>
      </c>
      <c r="O158" s="34">
        <v>46315.43940052083</v>
      </c>
      <c r="P158" s="29"/>
      <c r="Q158" s="29"/>
      <c r="R158" s="29"/>
      <c r="S158" s="22"/>
      <c r="T158" s="23"/>
      <c r="U158" s="44"/>
      <c r="V158" s="25"/>
      <c r="W158" s="44"/>
      <c r="X158" s="54"/>
      <c r="Y158" s="22"/>
      <c r="Z158" s="23"/>
      <c r="AA158" s="44"/>
      <c r="AB158" s="25"/>
      <c r="AC158" s="44"/>
      <c r="AD158" s="54"/>
      <c r="AE158" s="22"/>
      <c r="AF158" s="23"/>
      <c r="AG158" s="44"/>
      <c r="AH158" s="25"/>
      <c r="AI158" s="44"/>
      <c r="AJ158" s="46"/>
      <c r="AK158" s="33"/>
      <c r="AL158" s="22">
        <v>1.0</v>
      </c>
      <c r="AM158" s="23" t="s">
        <v>225</v>
      </c>
      <c r="AN158" s="34">
        <v>46315.44332954861</v>
      </c>
      <c r="AO158" s="25" t="s">
        <v>69</v>
      </c>
      <c r="AP158" s="34">
        <v>46315.56897929398</v>
      </c>
      <c r="AQ158" s="29"/>
      <c r="AR158" s="29"/>
      <c r="AS158" s="29"/>
      <c r="AT158" s="22"/>
      <c r="AU158" s="23"/>
      <c r="AV158" s="44"/>
      <c r="AW158" s="25"/>
      <c r="AX158" s="44"/>
      <c r="AY158" s="54"/>
      <c r="AZ158" s="22"/>
      <c r="BA158" s="23"/>
      <c r="BB158" s="44"/>
      <c r="BC158" s="25"/>
      <c r="BD158" s="44"/>
      <c r="BE158" s="54"/>
      <c r="BF158" s="22"/>
      <c r="BG158" s="23"/>
      <c r="BH158" s="44"/>
      <c r="BI158" s="25"/>
      <c r="BJ158" s="44"/>
      <c r="BK158" s="46"/>
      <c r="BL158" s="33"/>
      <c r="BM158" s="22"/>
      <c r="BN158" s="23"/>
      <c r="BO158" s="44"/>
      <c r="BP158" s="25"/>
      <c r="BQ158" s="44"/>
      <c r="BR158" s="29"/>
      <c r="BS158" s="29"/>
      <c r="BT158" s="29"/>
      <c r="BU158" s="22"/>
      <c r="BV158" s="23"/>
      <c r="BW158" s="44"/>
      <c r="BX158" s="25"/>
      <c r="BY158" s="44"/>
      <c r="BZ158" s="54"/>
      <c r="CA158" s="22"/>
      <c r="CB158" s="23"/>
      <c r="CC158" s="44"/>
      <c r="CD158" s="25"/>
      <c r="CE158" s="44"/>
      <c r="CF158" s="54"/>
      <c r="CG158" s="22"/>
      <c r="CH158" s="26"/>
      <c r="CI158" s="91"/>
      <c r="CJ158" s="26"/>
      <c r="CK158" s="91"/>
      <c r="CL158" s="26"/>
    </row>
    <row r="159">
      <c r="A159" s="26">
        <f t="shared" si="58"/>
        <v>157</v>
      </c>
      <c r="B159" s="27"/>
      <c r="C159" s="27" t="s">
        <v>462</v>
      </c>
      <c r="D159" s="27"/>
      <c r="E159" s="26"/>
      <c r="F159" s="26"/>
      <c r="G159" s="20">
        <v>2.0</v>
      </c>
      <c r="H159" s="20">
        <v>1.0</v>
      </c>
      <c r="I159" s="23" t="s">
        <v>72</v>
      </c>
      <c r="J159" s="33"/>
      <c r="K159" s="22">
        <f t="shared" si="53"/>
        <v>2</v>
      </c>
      <c r="L159" s="23" t="s">
        <v>176</v>
      </c>
      <c r="M159" s="34">
        <v>46315.39456785879</v>
      </c>
      <c r="N159" s="25" t="s">
        <v>69</v>
      </c>
      <c r="O159" s="34">
        <v>46315.64658252315</v>
      </c>
      <c r="P159" s="29"/>
      <c r="Q159" s="29"/>
      <c r="R159" s="29"/>
      <c r="S159" s="22"/>
      <c r="T159" s="23"/>
      <c r="U159" s="44"/>
      <c r="V159" s="25"/>
      <c r="W159" s="44"/>
      <c r="X159" s="54"/>
      <c r="Y159" s="22"/>
      <c r="Z159" s="23"/>
      <c r="AA159" s="44"/>
      <c r="AB159" s="25"/>
      <c r="AC159" s="44"/>
      <c r="AD159" s="54"/>
      <c r="AE159" s="22"/>
      <c r="AF159" s="23"/>
      <c r="AG159" s="44"/>
      <c r="AH159" s="25"/>
      <c r="AI159" s="44"/>
      <c r="AJ159" s="46"/>
      <c r="AK159" s="33"/>
      <c r="AL159" s="22">
        <v>1.0</v>
      </c>
      <c r="AM159" s="23" t="s">
        <v>176</v>
      </c>
      <c r="AN159" s="34">
        <v>46315.6724683912</v>
      </c>
      <c r="AO159" s="25" t="s">
        <v>187</v>
      </c>
      <c r="AP159" s="44"/>
      <c r="AQ159" s="29"/>
      <c r="AR159" s="29"/>
      <c r="AS159" s="29"/>
      <c r="AT159" s="22"/>
      <c r="AU159" s="23"/>
      <c r="AV159" s="44"/>
      <c r="AW159" s="25"/>
      <c r="AX159" s="44"/>
      <c r="AY159" s="54"/>
      <c r="AZ159" s="22"/>
      <c r="BA159" s="23"/>
      <c r="BB159" s="44"/>
      <c r="BC159" s="25"/>
      <c r="BD159" s="44"/>
      <c r="BE159" s="54"/>
      <c r="BF159" s="22"/>
      <c r="BG159" s="23"/>
      <c r="BH159" s="44"/>
      <c r="BI159" s="25"/>
      <c r="BJ159" s="44"/>
      <c r="BK159" s="46"/>
      <c r="BL159" s="33"/>
      <c r="BM159" s="22"/>
      <c r="BN159" s="23"/>
      <c r="BO159" s="44"/>
      <c r="BP159" s="25"/>
      <c r="BQ159" s="44"/>
      <c r="BR159" s="29"/>
      <c r="BS159" s="29"/>
      <c r="BT159" s="29"/>
      <c r="BU159" s="22"/>
      <c r="BV159" s="23"/>
      <c r="BW159" s="44"/>
      <c r="BX159" s="25"/>
      <c r="BY159" s="44"/>
      <c r="BZ159" s="54"/>
      <c r="CA159" s="22"/>
      <c r="CB159" s="23"/>
      <c r="CC159" s="44"/>
      <c r="CD159" s="25"/>
      <c r="CE159" s="44"/>
      <c r="CF159" s="54"/>
      <c r="CG159" s="22"/>
      <c r="CH159" s="26"/>
      <c r="CI159" s="91"/>
      <c r="CJ159" s="26"/>
      <c r="CK159" s="91"/>
      <c r="CL159" s="26"/>
    </row>
    <row r="160">
      <c r="A160" s="26">
        <f t="shared" si="58"/>
        <v>158</v>
      </c>
      <c r="B160" s="27"/>
      <c r="C160" s="27" t="s">
        <v>463</v>
      </c>
      <c r="D160" s="27"/>
      <c r="E160" s="26"/>
      <c r="F160" s="26"/>
      <c r="G160" s="20">
        <v>2.0</v>
      </c>
      <c r="H160" s="20">
        <v>2.0</v>
      </c>
      <c r="I160" s="23" t="s">
        <v>72</v>
      </c>
      <c r="J160" s="33"/>
      <c r="K160" s="22">
        <f t="shared" si="53"/>
        <v>2</v>
      </c>
      <c r="L160" s="23" t="s">
        <v>272</v>
      </c>
      <c r="M160" s="34">
        <v>46315.41297346065</v>
      </c>
      <c r="N160" s="25" t="s">
        <v>69</v>
      </c>
      <c r="O160" s="34">
        <v>46315.62803541667</v>
      </c>
      <c r="P160" s="29"/>
      <c r="Q160" s="29"/>
      <c r="R160" s="29"/>
      <c r="S160" s="22"/>
      <c r="T160" s="23"/>
      <c r="U160" s="44"/>
      <c r="V160" s="25"/>
      <c r="W160" s="44"/>
      <c r="X160" s="54"/>
      <c r="Y160" s="22"/>
      <c r="Z160" s="23"/>
      <c r="AA160" s="44"/>
      <c r="AB160" s="25"/>
      <c r="AC160" s="44"/>
      <c r="AD160" s="54"/>
      <c r="AE160" s="22"/>
      <c r="AF160" s="23"/>
      <c r="AG160" s="44"/>
      <c r="AH160" s="25"/>
      <c r="AI160" s="44"/>
      <c r="AJ160" s="46"/>
      <c r="AK160" s="33"/>
      <c r="AL160" s="22">
        <v>2.0</v>
      </c>
      <c r="AM160" s="23" t="s">
        <v>272</v>
      </c>
      <c r="AN160" s="34">
        <v>46315.62997480324</v>
      </c>
      <c r="AO160" s="25" t="s">
        <v>147</v>
      </c>
      <c r="AP160" s="44"/>
      <c r="AQ160" s="29"/>
      <c r="AR160" s="29"/>
      <c r="AS160" s="29"/>
      <c r="AT160" s="22"/>
      <c r="AU160" s="23"/>
      <c r="AV160" s="44"/>
      <c r="AW160" s="25"/>
      <c r="AX160" s="44"/>
      <c r="AY160" s="54"/>
      <c r="AZ160" s="22"/>
      <c r="BA160" s="23"/>
      <c r="BB160" s="44"/>
      <c r="BC160" s="25"/>
      <c r="BD160" s="44"/>
      <c r="BE160" s="54"/>
      <c r="BF160" s="22"/>
      <c r="BG160" s="23"/>
      <c r="BH160" s="44"/>
      <c r="BI160" s="25"/>
      <c r="BJ160" s="44"/>
      <c r="BK160" s="46"/>
      <c r="BL160" s="33"/>
      <c r="BM160" s="22"/>
      <c r="BN160" s="23"/>
      <c r="BO160" s="44"/>
      <c r="BP160" s="25"/>
      <c r="BQ160" s="44"/>
      <c r="BR160" s="29"/>
      <c r="BS160" s="29"/>
      <c r="BT160" s="29"/>
      <c r="BU160" s="22"/>
      <c r="BV160" s="23"/>
      <c r="BW160" s="44"/>
      <c r="BX160" s="25"/>
      <c r="BY160" s="44"/>
      <c r="BZ160" s="54"/>
      <c r="CA160" s="22"/>
      <c r="CB160" s="23"/>
      <c r="CC160" s="44"/>
      <c r="CD160" s="25"/>
      <c r="CE160" s="44"/>
      <c r="CF160" s="54"/>
      <c r="CG160" s="22"/>
      <c r="CH160" s="26"/>
      <c r="CI160" s="91"/>
      <c r="CJ160" s="26"/>
      <c r="CK160" s="91"/>
      <c r="CL160" s="26"/>
    </row>
    <row r="161">
      <c r="A161" s="26">
        <f t="shared" si="58"/>
        <v>159</v>
      </c>
      <c r="B161" s="27"/>
      <c r="C161" s="27" t="s">
        <v>464</v>
      </c>
      <c r="D161" s="27"/>
      <c r="E161" s="26"/>
      <c r="F161" s="26"/>
      <c r="G161" s="20">
        <v>3.0</v>
      </c>
      <c r="H161" s="20">
        <v>3.0</v>
      </c>
      <c r="I161" s="23" t="s">
        <v>72</v>
      </c>
      <c r="J161" s="33"/>
      <c r="K161" s="22">
        <f t="shared" si="53"/>
        <v>3</v>
      </c>
      <c r="L161" s="23" t="s">
        <v>104</v>
      </c>
      <c r="M161" s="34">
        <v>46315.43291875</v>
      </c>
      <c r="N161" s="25" t="s">
        <v>69</v>
      </c>
      <c r="O161" s="34">
        <v>46315.69917795139</v>
      </c>
      <c r="P161" s="29"/>
      <c r="Q161" s="29"/>
      <c r="R161" s="29"/>
      <c r="S161" s="22"/>
      <c r="T161" s="23"/>
      <c r="U161" s="44"/>
      <c r="V161" s="25"/>
      <c r="W161" s="44"/>
      <c r="X161" s="54"/>
      <c r="Y161" s="22"/>
      <c r="Z161" s="23"/>
      <c r="AA161" s="44"/>
      <c r="AB161" s="25"/>
      <c r="AC161" s="44"/>
      <c r="AD161" s="54"/>
      <c r="AE161" s="22"/>
      <c r="AF161" s="23"/>
      <c r="AG161" s="44"/>
      <c r="AH161" s="25"/>
      <c r="AI161" s="44"/>
      <c r="AJ161" s="46"/>
      <c r="AK161" s="33"/>
      <c r="AL161" s="22">
        <v>3.0</v>
      </c>
      <c r="AM161" s="23" t="s">
        <v>104</v>
      </c>
      <c r="AN161" s="34">
        <v>46316.38502035879</v>
      </c>
      <c r="AO161" s="25" t="s">
        <v>147</v>
      </c>
      <c r="AP161" s="44"/>
      <c r="AQ161" s="29"/>
      <c r="AR161" s="29"/>
      <c r="AS161" s="29"/>
      <c r="AT161" s="22"/>
      <c r="AU161" s="23"/>
      <c r="AV161" s="44"/>
      <c r="AW161" s="25"/>
      <c r="AX161" s="44"/>
      <c r="AY161" s="54"/>
      <c r="AZ161" s="22"/>
      <c r="BA161" s="23"/>
      <c r="BB161" s="44"/>
      <c r="BC161" s="25"/>
      <c r="BD161" s="44"/>
      <c r="BE161" s="54"/>
      <c r="BF161" s="22"/>
      <c r="BG161" s="23"/>
      <c r="BH161" s="44"/>
      <c r="BI161" s="25"/>
      <c r="BJ161" s="44"/>
      <c r="BK161" s="46"/>
      <c r="BL161" s="33"/>
      <c r="BM161" s="22"/>
      <c r="BN161" s="23"/>
      <c r="BO161" s="44"/>
      <c r="BP161" s="25"/>
      <c r="BQ161" s="44"/>
      <c r="BR161" s="29"/>
      <c r="BS161" s="29"/>
      <c r="BT161" s="29"/>
      <c r="BU161" s="22"/>
      <c r="BV161" s="23"/>
      <c r="BW161" s="44"/>
      <c r="BX161" s="25"/>
      <c r="BY161" s="44"/>
      <c r="BZ161" s="54"/>
      <c r="CA161" s="22"/>
      <c r="CB161" s="23"/>
      <c r="CC161" s="44"/>
      <c r="CD161" s="25"/>
      <c r="CE161" s="44"/>
      <c r="CF161" s="54"/>
      <c r="CG161" s="22"/>
      <c r="CH161" s="26"/>
      <c r="CI161" s="91"/>
      <c r="CJ161" s="26"/>
      <c r="CK161" s="91"/>
      <c r="CL161" s="26"/>
    </row>
    <row r="162">
      <c r="A162" s="26">
        <f t="shared" si="58"/>
        <v>160</v>
      </c>
      <c r="B162" s="27"/>
      <c r="C162" s="27" t="s">
        <v>465</v>
      </c>
      <c r="D162" s="27"/>
      <c r="E162" s="26"/>
      <c r="F162" s="26"/>
      <c r="G162" s="20">
        <v>1.0</v>
      </c>
      <c r="H162" s="20">
        <v>1.0</v>
      </c>
      <c r="I162" s="23" t="s">
        <v>72</v>
      </c>
      <c r="J162" s="33"/>
      <c r="K162" s="22">
        <f t="shared" si="53"/>
        <v>1</v>
      </c>
      <c r="L162" s="23" t="s">
        <v>269</v>
      </c>
      <c r="M162" s="34">
        <v>46315.56507516204</v>
      </c>
      <c r="N162" s="25" t="s">
        <v>69</v>
      </c>
      <c r="O162" s="34">
        <v>46315.60609918981</v>
      </c>
      <c r="P162" s="29"/>
      <c r="Q162" s="29"/>
      <c r="R162" s="29"/>
      <c r="S162" s="22"/>
      <c r="T162" s="23"/>
      <c r="U162" s="44"/>
      <c r="V162" s="25"/>
      <c r="W162" s="44"/>
      <c r="X162" s="54"/>
      <c r="Y162" s="22"/>
      <c r="Z162" s="23"/>
      <c r="AA162" s="44"/>
      <c r="AB162" s="25"/>
      <c r="AC162" s="44"/>
      <c r="AD162" s="54"/>
      <c r="AE162" s="22"/>
      <c r="AF162" s="23"/>
      <c r="AG162" s="44"/>
      <c r="AH162" s="25"/>
      <c r="AI162" s="44"/>
      <c r="AJ162" s="46"/>
      <c r="AK162" s="33"/>
      <c r="AL162" s="22">
        <v>1.0</v>
      </c>
      <c r="AM162" s="23" t="s">
        <v>269</v>
      </c>
      <c r="AN162" s="34">
        <v>46315.60769464121</v>
      </c>
      <c r="AO162" s="25" t="s">
        <v>69</v>
      </c>
      <c r="AP162" s="34">
        <v>46315.67048398148</v>
      </c>
      <c r="AQ162" s="29"/>
      <c r="AR162" s="29"/>
      <c r="AS162" s="29"/>
      <c r="AT162" s="22"/>
      <c r="AU162" s="23"/>
      <c r="AV162" s="44"/>
      <c r="AW162" s="25"/>
      <c r="AX162" s="44"/>
      <c r="AY162" s="54"/>
      <c r="AZ162" s="22"/>
      <c r="BA162" s="23"/>
      <c r="BB162" s="44"/>
      <c r="BC162" s="25"/>
      <c r="BD162" s="44"/>
      <c r="BE162" s="54"/>
      <c r="BF162" s="22"/>
      <c r="BG162" s="23"/>
      <c r="BH162" s="44"/>
      <c r="BI162" s="25"/>
      <c r="BJ162" s="44"/>
      <c r="BK162" s="46"/>
      <c r="BL162" s="33"/>
      <c r="BM162" s="22"/>
      <c r="BN162" s="23"/>
      <c r="BO162" s="44"/>
      <c r="BP162" s="25"/>
      <c r="BQ162" s="44"/>
      <c r="BR162" s="29"/>
      <c r="BS162" s="29"/>
      <c r="BT162" s="29"/>
      <c r="BU162" s="22"/>
      <c r="BV162" s="23"/>
      <c r="BW162" s="44"/>
      <c r="BX162" s="25"/>
      <c r="BY162" s="44"/>
      <c r="BZ162" s="54"/>
      <c r="CA162" s="22"/>
      <c r="CB162" s="23"/>
      <c r="CC162" s="44"/>
      <c r="CD162" s="25"/>
      <c r="CE162" s="44"/>
      <c r="CF162" s="54"/>
      <c r="CG162" s="22"/>
      <c r="CH162" s="26"/>
      <c r="CI162" s="91"/>
      <c r="CJ162" s="26"/>
      <c r="CK162" s="91"/>
      <c r="CL162" s="26"/>
    </row>
    <row r="163">
      <c r="A163" s="26">
        <f t="shared" si="58"/>
        <v>161</v>
      </c>
      <c r="B163" s="27"/>
      <c r="C163" s="27" t="s">
        <v>466</v>
      </c>
      <c r="D163" s="27"/>
      <c r="E163" s="26"/>
      <c r="F163" s="26"/>
      <c r="G163" s="20">
        <v>1.0</v>
      </c>
      <c r="H163" s="20">
        <v>1.0</v>
      </c>
      <c r="I163" s="23" t="s">
        <v>72</v>
      </c>
      <c r="J163" s="33"/>
      <c r="K163" s="22">
        <f t="shared" si="53"/>
        <v>1</v>
      </c>
      <c r="L163" s="23" t="s">
        <v>210</v>
      </c>
      <c r="M163" s="34">
        <v>46315.58632212963</v>
      </c>
      <c r="N163" s="25" t="s">
        <v>69</v>
      </c>
      <c r="O163" s="34">
        <v>46315.61818148148</v>
      </c>
      <c r="P163" s="29"/>
      <c r="Q163" s="29"/>
      <c r="R163" s="29"/>
      <c r="S163" s="22"/>
      <c r="T163" s="23"/>
      <c r="U163" s="44"/>
      <c r="V163" s="25"/>
      <c r="W163" s="44"/>
      <c r="X163" s="54"/>
      <c r="Y163" s="22"/>
      <c r="Z163" s="23"/>
      <c r="AA163" s="44"/>
      <c r="AB163" s="25"/>
      <c r="AC163" s="44"/>
      <c r="AD163" s="54"/>
      <c r="AE163" s="22"/>
      <c r="AF163" s="23"/>
      <c r="AG163" s="44"/>
      <c r="AH163" s="25"/>
      <c r="AI163" s="44"/>
      <c r="AJ163" s="46"/>
      <c r="AK163" s="33"/>
      <c r="AL163" s="22">
        <v>1.0</v>
      </c>
      <c r="AM163" s="23" t="s">
        <v>210</v>
      </c>
      <c r="AN163" s="34">
        <v>46315.65471673611</v>
      </c>
      <c r="AO163" s="25" t="s">
        <v>69</v>
      </c>
      <c r="AP163" s="34">
        <v>46315.697444722224</v>
      </c>
      <c r="AQ163" s="29"/>
      <c r="AR163" s="29"/>
      <c r="AS163" s="29"/>
      <c r="AT163" s="22"/>
      <c r="AU163" s="23"/>
      <c r="AV163" s="44"/>
      <c r="AW163" s="25"/>
      <c r="AX163" s="44"/>
      <c r="AY163" s="54"/>
      <c r="AZ163" s="22"/>
      <c r="BA163" s="23"/>
      <c r="BB163" s="44"/>
      <c r="BC163" s="25"/>
      <c r="BD163" s="44"/>
      <c r="BE163" s="54"/>
      <c r="BF163" s="22"/>
      <c r="BG163" s="23"/>
      <c r="BH163" s="44"/>
      <c r="BI163" s="25"/>
      <c r="BJ163" s="44"/>
      <c r="BK163" s="46"/>
      <c r="BL163" s="33"/>
      <c r="BM163" s="22"/>
      <c r="BN163" s="23"/>
      <c r="BO163" s="44"/>
      <c r="BP163" s="25"/>
      <c r="BQ163" s="44"/>
      <c r="BR163" s="29"/>
      <c r="BS163" s="29"/>
      <c r="BT163" s="29"/>
      <c r="BU163" s="22"/>
      <c r="BV163" s="23"/>
      <c r="BW163" s="44"/>
      <c r="BX163" s="25"/>
      <c r="BY163" s="44"/>
      <c r="BZ163" s="54"/>
      <c r="CA163" s="22"/>
      <c r="CB163" s="23"/>
      <c r="CC163" s="44"/>
      <c r="CD163" s="25"/>
      <c r="CE163" s="44"/>
      <c r="CF163" s="54"/>
      <c r="CG163" s="22"/>
      <c r="CH163" s="26"/>
      <c r="CI163" s="91"/>
      <c r="CJ163" s="26"/>
      <c r="CK163" s="91"/>
      <c r="CL163" s="26"/>
    </row>
    <row r="164">
      <c r="A164" s="26">
        <f t="shared" si="58"/>
        <v>162</v>
      </c>
      <c r="B164" s="27"/>
      <c r="C164" s="27" t="s">
        <v>467</v>
      </c>
      <c r="D164" s="27"/>
      <c r="E164" s="26"/>
      <c r="F164" s="26"/>
      <c r="G164" s="20">
        <v>4.0</v>
      </c>
      <c r="H164" s="20">
        <v>4.0</v>
      </c>
      <c r="I164" s="23" t="s">
        <v>72</v>
      </c>
      <c r="J164" s="33"/>
      <c r="K164" s="22">
        <f t="shared" si="53"/>
        <v>4</v>
      </c>
      <c r="L164" s="23" t="s">
        <v>212</v>
      </c>
      <c r="M164" s="34">
        <v>46315.56740241898</v>
      </c>
      <c r="N164" s="25" t="s">
        <v>147</v>
      </c>
      <c r="O164" s="44"/>
      <c r="P164" s="29"/>
      <c r="Q164" s="29"/>
      <c r="R164" s="29"/>
      <c r="S164" s="22"/>
      <c r="T164" s="23"/>
      <c r="U164" s="44"/>
      <c r="V164" s="25"/>
      <c r="W164" s="44"/>
      <c r="X164" s="54"/>
      <c r="Y164" s="22"/>
      <c r="Z164" s="23"/>
      <c r="AA164" s="44"/>
      <c r="AB164" s="25"/>
      <c r="AC164" s="44"/>
      <c r="AD164" s="54"/>
      <c r="AE164" s="22"/>
      <c r="AF164" s="23"/>
      <c r="AG164" s="44"/>
      <c r="AH164" s="25"/>
      <c r="AI164" s="44"/>
      <c r="AJ164" s="46"/>
      <c r="AK164" s="33"/>
      <c r="AL164" s="22">
        <v>4.0</v>
      </c>
      <c r="AM164" s="23"/>
      <c r="AN164" s="44"/>
      <c r="AO164" s="25"/>
      <c r="AP164" s="44"/>
      <c r="AQ164" s="29"/>
      <c r="AR164" s="29"/>
      <c r="AS164" s="29"/>
      <c r="AT164" s="22"/>
      <c r="AU164" s="23"/>
      <c r="AV164" s="44"/>
      <c r="AW164" s="25"/>
      <c r="AX164" s="44"/>
      <c r="AY164" s="54"/>
      <c r="AZ164" s="22"/>
      <c r="BA164" s="23"/>
      <c r="BB164" s="44"/>
      <c r="BC164" s="25"/>
      <c r="BD164" s="44"/>
      <c r="BE164" s="54"/>
      <c r="BF164" s="22"/>
      <c r="BG164" s="23"/>
      <c r="BH164" s="44"/>
      <c r="BI164" s="25"/>
      <c r="BJ164" s="44"/>
      <c r="BK164" s="46"/>
      <c r="BL164" s="33"/>
      <c r="BM164" s="22"/>
      <c r="BN164" s="23"/>
      <c r="BO164" s="44"/>
      <c r="BP164" s="25"/>
      <c r="BQ164" s="44"/>
      <c r="BR164" s="29"/>
      <c r="BS164" s="29"/>
      <c r="BT164" s="29"/>
      <c r="BU164" s="22"/>
      <c r="BV164" s="23"/>
      <c r="BW164" s="44"/>
      <c r="BX164" s="25"/>
      <c r="BY164" s="44"/>
      <c r="BZ164" s="54"/>
      <c r="CA164" s="22"/>
      <c r="CB164" s="23"/>
      <c r="CC164" s="44"/>
      <c r="CD164" s="25"/>
      <c r="CE164" s="44"/>
      <c r="CF164" s="54"/>
      <c r="CG164" s="22"/>
      <c r="CH164" s="26"/>
      <c r="CI164" s="91"/>
      <c r="CJ164" s="26"/>
      <c r="CK164" s="91"/>
      <c r="CL164" s="26"/>
    </row>
    <row r="165">
      <c r="A165" s="26">
        <f t="shared" si="58"/>
        <v>163</v>
      </c>
      <c r="B165" s="27"/>
      <c r="C165" s="27" t="s">
        <v>468</v>
      </c>
      <c r="D165" s="27"/>
      <c r="E165" s="26"/>
      <c r="F165" s="26"/>
      <c r="G165" s="20">
        <v>4.0</v>
      </c>
      <c r="H165" s="20">
        <v>3.0</v>
      </c>
      <c r="I165" s="23" t="s">
        <v>72</v>
      </c>
      <c r="J165" s="33"/>
      <c r="K165" s="22">
        <f t="shared" si="53"/>
        <v>4</v>
      </c>
      <c r="L165" s="23" t="s">
        <v>225</v>
      </c>
      <c r="M165" s="34">
        <v>46315.576703287035</v>
      </c>
      <c r="N165" s="25" t="s">
        <v>147</v>
      </c>
      <c r="O165" s="44"/>
      <c r="P165" s="29"/>
      <c r="Q165" s="29"/>
      <c r="R165" s="29"/>
      <c r="S165" s="22"/>
      <c r="T165" s="23"/>
      <c r="U165" s="44"/>
      <c r="V165" s="25"/>
      <c r="W165" s="44"/>
      <c r="X165" s="54"/>
      <c r="Y165" s="22"/>
      <c r="Z165" s="23"/>
      <c r="AA165" s="44"/>
      <c r="AB165" s="25"/>
      <c r="AC165" s="44"/>
      <c r="AD165" s="54"/>
      <c r="AE165" s="22"/>
      <c r="AF165" s="23"/>
      <c r="AG165" s="44"/>
      <c r="AH165" s="25"/>
      <c r="AI165" s="44"/>
      <c r="AJ165" s="46"/>
      <c r="AK165" s="33"/>
      <c r="AL165" s="22">
        <v>3.0</v>
      </c>
      <c r="AM165" s="23"/>
      <c r="AN165" s="44"/>
      <c r="AO165" s="25"/>
      <c r="AP165" s="44"/>
      <c r="AQ165" s="29"/>
      <c r="AR165" s="29"/>
      <c r="AS165" s="29"/>
      <c r="AT165" s="22"/>
      <c r="AU165" s="23"/>
      <c r="AV165" s="44"/>
      <c r="AW165" s="25"/>
      <c r="AX165" s="44"/>
      <c r="AY165" s="54"/>
      <c r="AZ165" s="22"/>
      <c r="BA165" s="23"/>
      <c r="BB165" s="44"/>
      <c r="BC165" s="25"/>
      <c r="BD165" s="44"/>
      <c r="BE165" s="54"/>
      <c r="BF165" s="22"/>
      <c r="BG165" s="23"/>
      <c r="BH165" s="44"/>
      <c r="BI165" s="25"/>
      <c r="BJ165" s="44"/>
      <c r="BK165" s="46"/>
      <c r="BL165" s="33"/>
      <c r="BM165" s="22"/>
      <c r="BN165" s="23"/>
      <c r="BO165" s="44"/>
      <c r="BP165" s="25"/>
      <c r="BQ165" s="44"/>
      <c r="BR165" s="29"/>
      <c r="BS165" s="29"/>
      <c r="BT165" s="29"/>
      <c r="BU165" s="22"/>
      <c r="BV165" s="23"/>
      <c r="BW165" s="44"/>
      <c r="BX165" s="25"/>
      <c r="BY165" s="44"/>
      <c r="BZ165" s="54"/>
      <c r="CA165" s="22"/>
      <c r="CB165" s="23"/>
      <c r="CC165" s="44"/>
      <c r="CD165" s="25"/>
      <c r="CE165" s="44"/>
      <c r="CF165" s="54"/>
      <c r="CG165" s="22"/>
      <c r="CH165" s="26"/>
      <c r="CI165" s="91"/>
      <c r="CJ165" s="26"/>
      <c r="CK165" s="91"/>
      <c r="CL165" s="26"/>
    </row>
    <row r="166">
      <c r="A166" s="26">
        <f t="shared" si="58"/>
        <v>164</v>
      </c>
      <c r="B166" s="27"/>
      <c r="C166" s="27" t="s">
        <v>469</v>
      </c>
      <c r="D166" s="27"/>
      <c r="E166" s="26"/>
      <c r="F166" s="26"/>
      <c r="G166" s="20">
        <v>2.0</v>
      </c>
      <c r="H166" s="20">
        <v>1.0</v>
      </c>
      <c r="I166" s="23" t="s">
        <v>72</v>
      </c>
      <c r="J166" s="33"/>
      <c r="K166" s="22">
        <f t="shared" si="53"/>
        <v>2</v>
      </c>
      <c r="L166" s="23" t="s">
        <v>269</v>
      </c>
      <c r="M166" s="34">
        <v>46315.68313524306</v>
      </c>
      <c r="N166" s="25" t="s">
        <v>147</v>
      </c>
      <c r="O166" s="44"/>
      <c r="P166" s="29"/>
      <c r="Q166" s="29"/>
      <c r="R166" s="29"/>
      <c r="S166" s="22"/>
      <c r="T166" s="23"/>
      <c r="U166" s="44"/>
      <c r="V166" s="25"/>
      <c r="W166" s="44"/>
      <c r="X166" s="54"/>
      <c r="Y166" s="22"/>
      <c r="Z166" s="23"/>
      <c r="AA166" s="44"/>
      <c r="AB166" s="25"/>
      <c r="AC166" s="44"/>
      <c r="AD166" s="54"/>
      <c r="AE166" s="22"/>
      <c r="AF166" s="23"/>
      <c r="AG166" s="44"/>
      <c r="AH166" s="25"/>
      <c r="AI166" s="44"/>
      <c r="AJ166" s="46"/>
      <c r="AK166" s="33"/>
      <c r="AL166" s="22">
        <v>1.0</v>
      </c>
      <c r="AM166" s="23"/>
      <c r="AN166" s="44"/>
      <c r="AO166" s="25"/>
      <c r="AP166" s="44"/>
      <c r="AQ166" s="29"/>
      <c r="AR166" s="29"/>
      <c r="AS166" s="29"/>
      <c r="AT166" s="22"/>
      <c r="AU166" s="23"/>
      <c r="AV166" s="44"/>
      <c r="AW166" s="25"/>
      <c r="AX166" s="44"/>
      <c r="AY166" s="54"/>
      <c r="AZ166" s="22"/>
      <c r="BA166" s="23"/>
      <c r="BB166" s="44"/>
      <c r="BC166" s="25"/>
      <c r="BD166" s="44"/>
      <c r="BE166" s="54"/>
      <c r="BF166" s="22"/>
      <c r="BG166" s="23"/>
      <c r="BH166" s="44"/>
      <c r="BI166" s="25"/>
      <c r="BJ166" s="44"/>
      <c r="BK166" s="46"/>
      <c r="BL166" s="33"/>
      <c r="BM166" s="22"/>
      <c r="BN166" s="23"/>
      <c r="BO166" s="44"/>
      <c r="BP166" s="25"/>
      <c r="BQ166" s="44"/>
      <c r="BR166" s="29"/>
      <c r="BS166" s="29"/>
      <c r="BT166" s="29"/>
      <c r="BU166" s="22"/>
      <c r="BV166" s="23"/>
      <c r="BW166" s="44"/>
      <c r="BX166" s="25"/>
      <c r="BY166" s="44"/>
      <c r="BZ166" s="54"/>
      <c r="CA166" s="22"/>
      <c r="CB166" s="23"/>
      <c r="CC166" s="44"/>
      <c r="CD166" s="25"/>
      <c r="CE166" s="44"/>
      <c r="CF166" s="54"/>
      <c r="CG166" s="22"/>
      <c r="CH166" s="26"/>
      <c r="CI166" s="91"/>
      <c r="CJ166" s="26"/>
      <c r="CK166" s="91"/>
      <c r="CL166" s="26"/>
    </row>
    <row r="167">
      <c r="A167" s="26">
        <f t="shared" si="58"/>
        <v>165</v>
      </c>
      <c r="B167" s="27"/>
      <c r="C167" s="27" t="s">
        <v>470</v>
      </c>
      <c r="D167" s="27"/>
      <c r="E167" s="26"/>
      <c r="F167" s="26"/>
      <c r="G167" s="20">
        <v>1.0</v>
      </c>
      <c r="H167" s="20">
        <v>1.0</v>
      </c>
      <c r="I167" s="23" t="s">
        <v>72</v>
      </c>
      <c r="J167" s="33"/>
      <c r="K167" s="22">
        <f t="shared" si="53"/>
        <v>1</v>
      </c>
      <c r="L167" s="23" t="s">
        <v>224</v>
      </c>
      <c r="M167" s="44">
        <f t="shared" ref="M167:M168" si="95">if(L167&lt;&gt;"", if(M167="",NOW(),M167),"")</f>
        <v>46316.07831</v>
      </c>
      <c r="N167" s="25" t="s">
        <v>69</v>
      </c>
      <c r="O167" s="34">
        <v>46315.70707347222</v>
      </c>
      <c r="P167" s="29">
        <f t="shared" ref="P167:P168" si="96">IF(AND(M167&lt;&gt;"",O167&lt;&gt;""),(O167-M167)*1440,"")</f>
        <v>-534.5851167</v>
      </c>
      <c r="Q167" s="29">
        <f t="shared" ref="Q167:Q168" si="97">IF(
  INT(M167)=INT(O167),
  IF(
    AND(MOD(M167,1)&lt;TIME(12,0,0), MOD(O167,1)&gt;TIME(12,0,0)),
    60,
    0
  ),
  IF(
    MOD(O167,1)&lt;=TIME(12,0,0),
    (INT(O167)-INT(M167))*960,
    (INT(O167)-INT(M167))*1020
  )
)</f>
        <v>-1020</v>
      </c>
      <c r="R167" s="29">
        <f t="shared" ref="R167:R168" si="98">(P167-Q167)/60</f>
        <v>8.090248056</v>
      </c>
      <c r="S167" s="22" t="str">
        <f t="shared" ref="S167:S179" si="99">V167</f>
        <v/>
      </c>
      <c r="T167" s="23"/>
      <c r="U167" s="44" t="str">
        <f t="shared" ref="U167:U179" si="100">if(T167&lt;&gt;"", if(U167="",NOW(),U167),"")</f>
        <v/>
      </c>
      <c r="V167" s="25"/>
      <c r="W167" s="44" t="str">
        <f t="shared" ref="W167:W179" si="101">if(V167="Done", if(W167="",NOW(),W167),"")</f>
        <v/>
      </c>
      <c r="X167" s="54"/>
      <c r="Y167" s="22" t="str">
        <f t="shared" ref="Y167:Y179" si="102">AB167</f>
        <v/>
      </c>
      <c r="Z167" s="23"/>
      <c r="AA167" s="44" t="str">
        <f t="shared" ref="AA167:AA179" si="103">if(Z167&lt;&gt;"", if(AA167="",NOW(),AA167),"")</f>
        <v/>
      </c>
      <c r="AB167" s="25"/>
      <c r="AC167" s="44" t="str">
        <f t="shared" ref="AC167:AC179" si="104">if(AB167="Done", if(AC167="",NOW(),AC167),"")</f>
        <v/>
      </c>
      <c r="AD167" s="54"/>
      <c r="AE167" s="22" t="str">
        <f t="shared" ref="AE167:AE179" si="105">AH167</f>
        <v/>
      </c>
      <c r="AF167" s="23"/>
      <c r="AG167" s="44" t="str">
        <f t="shared" ref="AG167:AG179" si="106">if(AF167&lt;&gt;"", if(AG167="",NOW(),AG167),"")</f>
        <v/>
      </c>
      <c r="AH167" s="25"/>
      <c r="AI167" s="44" t="str">
        <f t="shared" ref="AI167:AI179" si="107">if(AH167="Done", if(AI167="",NOW(),AI167),"")</f>
        <v/>
      </c>
      <c r="AJ167" s="46">
        <v>0.0</v>
      </c>
      <c r="AK167" s="33"/>
      <c r="AL167" s="22">
        <v>1.0</v>
      </c>
      <c r="AM167" s="23" t="s">
        <v>224</v>
      </c>
      <c r="AN167" s="44">
        <f t="shared" ref="AN167:AN179" si="108">if(AM167&lt;&gt;"", if(AN167="",NOW(),AN167),"")</f>
        <v>46316.37741</v>
      </c>
      <c r="AO167" s="25" t="s">
        <v>69</v>
      </c>
      <c r="AP167" s="34">
        <v>46316.412693101855</v>
      </c>
      <c r="AQ167" s="29">
        <f t="shared" ref="AQ167:AQ179" si="109">IF(AND(AN167&lt;&gt;"",AP167&lt;&gt;""),(AP167-AN167)*1440,"")</f>
        <v>50.81346667</v>
      </c>
      <c r="AR167" s="29">
        <f t="shared" ref="AR167:AR179" si="110">IF(
  INT(AN167)=INT(AP167),
  IF(
    AND(MOD(AN167,1)&lt;TIME(12,0,0), MOD(AP167,1)&gt;TIME(12,0,0)),
    60,
    0
  ),
  IF(
    MOD(AP167,1)&lt;=TIME(12,0,0),
    (INT(AP167)-INT(AN167))*960,
    (INT(AP167)-INT(AN167))*1020
  )
)</f>
        <v>0</v>
      </c>
      <c r="AS167" s="29">
        <f t="shared" ref="AS167:AS179" si="111">(AQ167-AR167)/60</f>
        <v>0.8468911112</v>
      </c>
      <c r="AT167" s="22" t="str">
        <f t="shared" ref="AT167:AT179" si="112">AW167</f>
        <v/>
      </c>
      <c r="AU167" s="23"/>
      <c r="AV167" s="44" t="str">
        <f t="shared" ref="AV167:AV179" si="113">if(AU167&lt;&gt;"", if(AV167="",NOW(),AV167),"")</f>
        <v/>
      </c>
      <c r="AW167" s="25"/>
      <c r="AX167" s="44" t="str">
        <f t="shared" ref="AX167:AX179" si="114">if(AW167="Done", if(AX167="",NOW(),AX167),"")</f>
        <v/>
      </c>
      <c r="AY167" s="54"/>
      <c r="AZ167" s="22" t="str">
        <f t="shared" ref="AZ167:AZ179" si="115">BC167</f>
        <v/>
      </c>
      <c r="BA167" s="23"/>
      <c r="BB167" s="44" t="str">
        <f t="shared" ref="BB167:BB179" si="116">if(BA167&lt;&gt;"", if(BB167="",NOW(),BB167),"")</f>
        <v/>
      </c>
      <c r="BC167" s="25"/>
      <c r="BD167" s="44" t="str">
        <f t="shared" ref="BD167:BD179" si="117">if(BC167="Done", if(BD167="",NOW(),BD167),"")</f>
        <v/>
      </c>
      <c r="BE167" s="54"/>
      <c r="BF167" s="22" t="str">
        <f t="shared" ref="BF167:BF179" si="118">BI167</f>
        <v/>
      </c>
      <c r="BG167" s="23"/>
      <c r="BH167" s="44" t="str">
        <f t="shared" ref="BH167:BH179" si="119">if(BG167&lt;&gt;"", if(BH167="",NOW(),BH167),"")</f>
        <v/>
      </c>
      <c r="BI167" s="25"/>
      <c r="BJ167" s="44" t="str">
        <f t="shared" ref="BJ167:BJ179" si="120">if(BI167="Done", if(BJ167="",NOW(),BJ167),"")</f>
        <v/>
      </c>
      <c r="BK167" s="46">
        <v>0.0</v>
      </c>
      <c r="BL167" s="33"/>
      <c r="BM167" s="22" t="str">
        <f t="shared" ref="BM167:BM179" si="121">BI167</f>
        <v/>
      </c>
      <c r="BN167" s="23"/>
      <c r="BO167" s="44" t="str">
        <f t="shared" ref="BO167:BO179" si="122">if(BN167&lt;&gt;"", if(BO167="",NOW(),BO167),"")</f>
        <v/>
      </c>
      <c r="BP167" s="25"/>
      <c r="BQ167" s="44" t="str">
        <f t="shared" ref="BQ167:BQ179" si="123">if(BP167="Done", if(BQ167="",NOW(),BQ167),"")</f>
        <v/>
      </c>
      <c r="BR167" s="29" t="str">
        <f t="shared" ref="BR167:BR179" si="124">IF(AND(BO167&lt;&gt;"",BQ167&lt;&gt;""),(BQ167-BO167)*1440,"")</f>
        <v/>
      </c>
      <c r="BS167" s="29">
        <f t="shared" ref="BS167:BS179" si="125">IF(
  INT(BO167)=INT(BQ167),
  IF(
    AND(MOD(BO167,1)&lt;TIME(12,0,0), MOD(BQ167,1)&gt;TIME(12,0,0)),
    60,
    0
  ),
  IF(
    MOD(BQ167,1)&lt;=TIME(12,0,0),
    (INT(BQ167)-INT(BO167))*960,
    (INT(BQ167)-INT(BO167))*1020
  )
)</f>
        <v>0</v>
      </c>
      <c r="BT167" s="29">
        <f t="shared" ref="BT167:BT179" si="126">(BR167-BS167)/60</f>
        <v>0</v>
      </c>
      <c r="BU167" s="22" t="str">
        <f t="shared" ref="BU167:BU179" si="127">BX167</f>
        <v/>
      </c>
      <c r="BV167" s="23"/>
      <c r="BW167" s="44" t="str">
        <f t="shared" ref="BW167:BW179" si="128">if(BV167&lt;&gt;"", if(BW167="",NOW(),BW167),"")</f>
        <v/>
      </c>
      <c r="BX167" s="25"/>
      <c r="BY167" s="44" t="str">
        <f t="shared" ref="BY167:BY179" si="129">if(BX167="Done", if(BY167="",NOW(),BY167),"")</f>
        <v/>
      </c>
      <c r="BZ167" s="54"/>
      <c r="CA167" s="22" t="str">
        <f t="shared" ref="CA167:CA179" si="130">CD167</f>
        <v/>
      </c>
      <c r="CB167" s="23"/>
      <c r="CC167" s="44" t="str">
        <f t="shared" ref="CC167:CC179" si="131">if(CB167&lt;&gt;"", if(CC167="",NOW(),CC167),"")</f>
        <v/>
      </c>
      <c r="CD167" s="25"/>
      <c r="CE167" s="44" t="str">
        <f t="shared" ref="CE167:CE179" si="132">if(CD167="Done", if(CE167="",NOW(),CE167),"")</f>
        <v/>
      </c>
      <c r="CF167" s="54"/>
      <c r="CG167" s="22" t="str">
        <f t="shared" ref="CG167:CG179" si="133">CJ167</f>
        <v/>
      </c>
      <c r="CH167" s="26"/>
      <c r="CI167" s="91"/>
      <c r="CJ167" s="26"/>
      <c r="CK167" s="91"/>
      <c r="CL167" s="26"/>
    </row>
    <row r="168">
      <c r="A168" s="26">
        <f t="shared" si="58"/>
        <v>166</v>
      </c>
      <c r="B168" s="27"/>
      <c r="C168" s="27" t="s">
        <v>471</v>
      </c>
      <c r="D168" s="27"/>
      <c r="E168" s="26"/>
      <c r="F168" s="26"/>
      <c r="G168" s="20">
        <v>1.0</v>
      </c>
      <c r="H168" s="20">
        <v>1.0</v>
      </c>
      <c r="I168" s="23" t="s">
        <v>72</v>
      </c>
      <c r="J168" s="33"/>
      <c r="K168" s="22">
        <f t="shared" si="53"/>
        <v>1</v>
      </c>
      <c r="L168" s="23" t="s">
        <v>210</v>
      </c>
      <c r="M168" s="44">
        <f t="shared" si="95"/>
        <v>46316.39574</v>
      </c>
      <c r="N168" s="25" t="s">
        <v>147</v>
      </c>
      <c r="O168" s="34"/>
      <c r="P168" s="29" t="str">
        <f t="shared" si="96"/>
        <v/>
      </c>
      <c r="Q168" s="29">
        <f t="shared" si="97"/>
        <v>-44463360</v>
      </c>
      <c r="R168" s="29">
        <f t="shared" si="98"/>
        <v>741056</v>
      </c>
      <c r="S168" s="22" t="str">
        <f t="shared" si="99"/>
        <v/>
      </c>
      <c r="T168" s="23"/>
      <c r="U168" s="44" t="str">
        <f t="shared" si="100"/>
        <v/>
      </c>
      <c r="V168" s="25"/>
      <c r="W168" s="44" t="str">
        <f t="shared" si="101"/>
        <v/>
      </c>
      <c r="X168" s="54"/>
      <c r="Y168" s="22" t="str">
        <f t="shared" si="102"/>
        <v/>
      </c>
      <c r="Z168" s="23"/>
      <c r="AA168" s="44" t="str">
        <f t="shared" si="103"/>
        <v/>
      </c>
      <c r="AB168" s="25"/>
      <c r="AC168" s="44" t="str">
        <f t="shared" si="104"/>
        <v/>
      </c>
      <c r="AD168" s="54"/>
      <c r="AE168" s="22" t="str">
        <f t="shared" si="105"/>
        <v/>
      </c>
      <c r="AF168" s="23"/>
      <c r="AG168" s="44" t="str">
        <f t="shared" si="106"/>
        <v/>
      </c>
      <c r="AH168" s="25"/>
      <c r="AI168" s="44" t="str">
        <f t="shared" si="107"/>
        <v/>
      </c>
      <c r="AJ168" s="46">
        <v>0.0</v>
      </c>
      <c r="AK168" s="33"/>
      <c r="AL168" s="22">
        <v>1.0</v>
      </c>
      <c r="AM168" s="23"/>
      <c r="AN168" s="44" t="str">
        <f t="shared" si="108"/>
        <v/>
      </c>
      <c r="AO168" s="25"/>
      <c r="AP168" s="44" t="str">
        <f t="shared" ref="AP168:AP179" si="134">if(AO168="Done", if(AP168="",NOW(),AP168),"")</f>
        <v/>
      </c>
      <c r="AQ168" s="29" t="str">
        <f t="shared" si="109"/>
        <v/>
      </c>
      <c r="AR168" s="29">
        <f t="shared" si="110"/>
        <v>0</v>
      </c>
      <c r="AS168" s="29">
        <f t="shared" si="111"/>
        <v>0</v>
      </c>
      <c r="AT168" s="22" t="str">
        <f t="shared" si="112"/>
        <v/>
      </c>
      <c r="AU168" s="23"/>
      <c r="AV168" s="44" t="str">
        <f t="shared" si="113"/>
        <v/>
      </c>
      <c r="AW168" s="25"/>
      <c r="AX168" s="44" t="str">
        <f t="shared" si="114"/>
        <v/>
      </c>
      <c r="AY168" s="54"/>
      <c r="AZ168" s="22" t="str">
        <f t="shared" si="115"/>
        <v/>
      </c>
      <c r="BA168" s="23"/>
      <c r="BB168" s="44" t="str">
        <f t="shared" si="116"/>
        <v/>
      </c>
      <c r="BC168" s="25"/>
      <c r="BD168" s="44" t="str">
        <f t="shared" si="117"/>
        <v/>
      </c>
      <c r="BE168" s="54"/>
      <c r="BF168" s="22" t="str">
        <f t="shared" si="118"/>
        <v/>
      </c>
      <c r="BG168" s="23"/>
      <c r="BH168" s="44" t="str">
        <f t="shared" si="119"/>
        <v/>
      </c>
      <c r="BI168" s="25"/>
      <c r="BJ168" s="44" t="str">
        <f t="shared" si="120"/>
        <v/>
      </c>
      <c r="BK168" s="46">
        <v>0.0</v>
      </c>
      <c r="BL168" s="33"/>
      <c r="BM168" s="22" t="str">
        <f t="shared" si="121"/>
        <v/>
      </c>
      <c r="BN168" s="23"/>
      <c r="BO168" s="44" t="str">
        <f t="shared" si="122"/>
        <v/>
      </c>
      <c r="BP168" s="25"/>
      <c r="BQ168" s="44" t="str">
        <f t="shared" si="123"/>
        <v/>
      </c>
      <c r="BR168" s="29" t="str">
        <f t="shared" si="124"/>
        <v/>
      </c>
      <c r="BS168" s="29">
        <f t="shared" si="125"/>
        <v>0</v>
      </c>
      <c r="BT168" s="29">
        <f t="shared" si="126"/>
        <v>0</v>
      </c>
      <c r="BU168" s="22" t="str">
        <f t="shared" si="127"/>
        <v/>
      </c>
      <c r="BV168" s="23"/>
      <c r="BW168" s="44" t="str">
        <f t="shared" si="128"/>
        <v/>
      </c>
      <c r="BX168" s="25"/>
      <c r="BY168" s="44" t="str">
        <f t="shared" si="129"/>
        <v/>
      </c>
      <c r="BZ168" s="54"/>
      <c r="CA168" s="22" t="str">
        <f t="shared" si="130"/>
        <v/>
      </c>
      <c r="CB168" s="23"/>
      <c r="CC168" s="44" t="str">
        <f t="shared" si="131"/>
        <v/>
      </c>
      <c r="CD168" s="25"/>
      <c r="CE168" s="44" t="str">
        <f t="shared" si="132"/>
        <v/>
      </c>
      <c r="CF168" s="54"/>
      <c r="CG168" s="22" t="str">
        <f t="shared" si="133"/>
        <v/>
      </c>
      <c r="CH168" s="26"/>
      <c r="CI168" s="91"/>
      <c r="CJ168" s="26"/>
      <c r="CK168" s="91"/>
      <c r="CL168" s="26"/>
    </row>
    <row r="169">
      <c r="A169" s="26">
        <f t="shared" si="58"/>
        <v>167</v>
      </c>
      <c r="B169" s="27"/>
      <c r="C169" s="27" t="s">
        <v>472</v>
      </c>
      <c r="D169" s="27"/>
      <c r="E169" s="26"/>
      <c r="F169" s="26"/>
      <c r="G169" s="20">
        <v>3.0</v>
      </c>
      <c r="H169" s="20">
        <v>2.0</v>
      </c>
      <c r="I169" s="23" t="s">
        <v>72</v>
      </c>
      <c r="J169" s="33"/>
      <c r="K169" s="22">
        <f t="shared" si="53"/>
        <v>3</v>
      </c>
      <c r="L169" s="23"/>
      <c r="M169" s="44"/>
      <c r="N169" s="25"/>
      <c r="O169" s="44"/>
      <c r="P169" s="29"/>
      <c r="Q169" s="29"/>
      <c r="R169" s="29"/>
      <c r="S169" s="22" t="str">
        <f t="shared" si="99"/>
        <v/>
      </c>
      <c r="T169" s="23"/>
      <c r="U169" s="44" t="str">
        <f t="shared" si="100"/>
        <v/>
      </c>
      <c r="V169" s="25"/>
      <c r="W169" s="44" t="str">
        <f t="shared" si="101"/>
        <v/>
      </c>
      <c r="X169" s="54"/>
      <c r="Y169" s="22" t="str">
        <f t="shared" si="102"/>
        <v/>
      </c>
      <c r="Z169" s="23"/>
      <c r="AA169" s="44" t="str">
        <f t="shared" si="103"/>
        <v/>
      </c>
      <c r="AB169" s="25"/>
      <c r="AC169" s="44" t="str">
        <f t="shared" si="104"/>
        <v/>
      </c>
      <c r="AD169" s="54"/>
      <c r="AE169" s="22" t="str">
        <f t="shared" si="105"/>
        <v/>
      </c>
      <c r="AF169" s="23"/>
      <c r="AG169" s="44" t="str">
        <f t="shared" si="106"/>
        <v/>
      </c>
      <c r="AH169" s="25"/>
      <c r="AI169" s="44" t="str">
        <f t="shared" si="107"/>
        <v/>
      </c>
      <c r="AJ169" s="46">
        <v>0.0</v>
      </c>
      <c r="AK169" s="33"/>
      <c r="AL169" s="22">
        <v>2.0</v>
      </c>
      <c r="AM169" s="23"/>
      <c r="AN169" s="44" t="str">
        <f t="shared" si="108"/>
        <v/>
      </c>
      <c r="AO169" s="25"/>
      <c r="AP169" s="44" t="str">
        <f t="shared" si="134"/>
        <v/>
      </c>
      <c r="AQ169" s="29" t="str">
        <f t="shared" si="109"/>
        <v/>
      </c>
      <c r="AR169" s="29">
        <f t="shared" si="110"/>
        <v>0</v>
      </c>
      <c r="AS169" s="29">
        <f t="shared" si="111"/>
        <v>0</v>
      </c>
      <c r="AT169" s="22" t="str">
        <f t="shared" si="112"/>
        <v/>
      </c>
      <c r="AU169" s="23"/>
      <c r="AV169" s="44" t="str">
        <f t="shared" si="113"/>
        <v/>
      </c>
      <c r="AW169" s="25"/>
      <c r="AX169" s="44" t="str">
        <f t="shared" si="114"/>
        <v/>
      </c>
      <c r="AY169" s="54"/>
      <c r="AZ169" s="22" t="str">
        <f t="shared" si="115"/>
        <v/>
      </c>
      <c r="BA169" s="23"/>
      <c r="BB169" s="44" t="str">
        <f t="shared" si="116"/>
        <v/>
      </c>
      <c r="BC169" s="25"/>
      <c r="BD169" s="44" t="str">
        <f t="shared" si="117"/>
        <v/>
      </c>
      <c r="BE169" s="54"/>
      <c r="BF169" s="22" t="str">
        <f t="shared" si="118"/>
        <v/>
      </c>
      <c r="BG169" s="23"/>
      <c r="BH169" s="44" t="str">
        <f t="shared" si="119"/>
        <v/>
      </c>
      <c r="BI169" s="25"/>
      <c r="BJ169" s="44" t="str">
        <f t="shared" si="120"/>
        <v/>
      </c>
      <c r="BK169" s="46">
        <v>0.0</v>
      </c>
      <c r="BL169" s="33"/>
      <c r="BM169" s="22" t="str">
        <f t="shared" si="121"/>
        <v/>
      </c>
      <c r="BN169" s="23"/>
      <c r="BO169" s="44" t="str">
        <f t="shared" si="122"/>
        <v/>
      </c>
      <c r="BP169" s="25"/>
      <c r="BQ169" s="44" t="str">
        <f t="shared" si="123"/>
        <v/>
      </c>
      <c r="BR169" s="29" t="str">
        <f t="shared" si="124"/>
        <v/>
      </c>
      <c r="BS169" s="29">
        <f t="shared" si="125"/>
        <v>0</v>
      </c>
      <c r="BT169" s="29">
        <f t="shared" si="126"/>
        <v>0</v>
      </c>
      <c r="BU169" s="22" t="str">
        <f t="shared" si="127"/>
        <v/>
      </c>
      <c r="BV169" s="23"/>
      <c r="BW169" s="44" t="str">
        <f t="shared" si="128"/>
        <v/>
      </c>
      <c r="BX169" s="25"/>
      <c r="BY169" s="44" t="str">
        <f t="shared" si="129"/>
        <v/>
      </c>
      <c r="BZ169" s="54"/>
      <c r="CA169" s="22" t="str">
        <f t="shared" si="130"/>
        <v/>
      </c>
      <c r="CB169" s="23"/>
      <c r="CC169" s="44" t="str">
        <f t="shared" si="131"/>
        <v/>
      </c>
      <c r="CD169" s="25"/>
      <c r="CE169" s="44" t="str">
        <f t="shared" si="132"/>
        <v/>
      </c>
      <c r="CF169" s="54"/>
      <c r="CG169" s="22" t="str">
        <f t="shared" si="133"/>
        <v/>
      </c>
      <c r="CH169" s="26"/>
      <c r="CI169" s="91"/>
      <c r="CJ169" s="26"/>
      <c r="CK169" s="91"/>
      <c r="CL169" s="26"/>
    </row>
    <row r="170">
      <c r="A170" s="26" t="str">
        <f t="shared" si="58"/>
        <v/>
      </c>
      <c r="B170" s="27"/>
      <c r="C170" s="27"/>
      <c r="D170" s="27"/>
      <c r="E170" s="26"/>
      <c r="F170" s="26"/>
      <c r="G170" s="20"/>
      <c r="H170" s="20"/>
      <c r="I170" s="23"/>
      <c r="J170" s="33"/>
      <c r="K170" s="22" t="str">
        <f t="shared" si="53"/>
        <v/>
      </c>
      <c r="L170" s="23"/>
      <c r="M170" s="44"/>
      <c r="N170" s="25"/>
      <c r="O170" s="44"/>
      <c r="P170" s="29"/>
      <c r="Q170" s="29"/>
      <c r="R170" s="29"/>
      <c r="S170" s="22" t="str">
        <f t="shared" si="99"/>
        <v/>
      </c>
      <c r="T170" s="23"/>
      <c r="U170" s="44" t="str">
        <f t="shared" si="100"/>
        <v/>
      </c>
      <c r="V170" s="25"/>
      <c r="W170" s="44" t="str">
        <f t="shared" si="101"/>
        <v/>
      </c>
      <c r="X170" s="54"/>
      <c r="Y170" s="22" t="str">
        <f t="shared" si="102"/>
        <v/>
      </c>
      <c r="Z170" s="23"/>
      <c r="AA170" s="44" t="str">
        <f t="shared" si="103"/>
        <v/>
      </c>
      <c r="AB170" s="25"/>
      <c r="AC170" s="44" t="str">
        <f t="shared" si="104"/>
        <v/>
      </c>
      <c r="AD170" s="54"/>
      <c r="AE170" s="22" t="str">
        <f t="shared" si="105"/>
        <v/>
      </c>
      <c r="AF170" s="23"/>
      <c r="AG170" s="44" t="str">
        <f t="shared" si="106"/>
        <v/>
      </c>
      <c r="AH170" s="25"/>
      <c r="AI170" s="44" t="str">
        <f t="shared" si="107"/>
        <v/>
      </c>
      <c r="AJ170" s="46">
        <v>0.0</v>
      </c>
      <c r="AK170" s="33"/>
      <c r="AL170" s="22"/>
      <c r="AM170" s="23"/>
      <c r="AN170" s="44" t="str">
        <f t="shared" si="108"/>
        <v/>
      </c>
      <c r="AO170" s="25"/>
      <c r="AP170" s="44" t="str">
        <f t="shared" si="134"/>
        <v/>
      </c>
      <c r="AQ170" s="29" t="str">
        <f t="shared" si="109"/>
        <v/>
      </c>
      <c r="AR170" s="29">
        <f t="shared" si="110"/>
        <v>0</v>
      </c>
      <c r="AS170" s="29">
        <f t="shared" si="111"/>
        <v>0</v>
      </c>
      <c r="AT170" s="22" t="str">
        <f t="shared" si="112"/>
        <v/>
      </c>
      <c r="AU170" s="23"/>
      <c r="AV170" s="44" t="str">
        <f t="shared" si="113"/>
        <v/>
      </c>
      <c r="AW170" s="25"/>
      <c r="AX170" s="44" t="str">
        <f t="shared" si="114"/>
        <v/>
      </c>
      <c r="AY170" s="54"/>
      <c r="AZ170" s="22" t="str">
        <f t="shared" si="115"/>
        <v/>
      </c>
      <c r="BA170" s="23"/>
      <c r="BB170" s="44" t="str">
        <f t="shared" si="116"/>
        <v/>
      </c>
      <c r="BC170" s="25"/>
      <c r="BD170" s="44" t="str">
        <f t="shared" si="117"/>
        <v/>
      </c>
      <c r="BE170" s="54"/>
      <c r="BF170" s="22" t="str">
        <f t="shared" si="118"/>
        <v/>
      </c>
      <c r="BG170" s="23"/>
      <c r="BH170" s="44" t="str">
        <f t="shared" si="119"/>
        <v/>
      </c>
      <c r="BI170" s="25"/>
      <c r="BJ170" s="44" t="str">
        <f t="shared" si="120"/>
        <v/>
      </c>
      <c r="BK170" s="46">
        <v>0.0</v>
      </c>
      <c r="BL170" s="33"/>
      <c r="BM170" s="22" t="str">
        <f t="shared" si="121"/>
        <v/>
      </c>
      <c r="BN170" s="23"/>
      <c r="BO170" s="44" t="str">
        <f t="shared" si="122"/>
        <v/>
      </c>
      <c r="BP170" s="25"/>
      <c r="BQ170" s="44" t="str">
        <f t="shared" si="123"/>
        <v/>
      </c>
      <c r="BR170" s="29" t="str">
        <f t="shared" si="124"/>
        <v/>
      </c>
      <c r="BS170" s="29">
        <f t="shared" si="125"/>
        <v>0</v>
      </c>
      <c r="BT170" s="29">
        <f t="shared" si="126"/>
        <v>0</v>
      </c>
      <c r="BU170" s="22" t="str">
        <f t="shared" si="127"/>
        <v/>
      </c>
      <c r="BV170" s="23"/>
      <c r="BW170" s="44" t="str">
        <f t="shared" si="128"/>
        <v/>
      </c>
      <c r="BX170" s="25"/>
      <c r="BY170" s="44" t="str">
        <f t="shared" si="129"/>
        <v/>
      </c>
      <c r="BZ170" s="54"/>
      <c r="CA170" s="22" t="str">
        <f t="shared" si="130"/>
        <v/>
      </c>
      <c r="CB170" s="23"/>
      <c r="CC170" s="44" t="str">
        <f t="shared" si="131"/>
        <v/>
      </c>
      <c r="CD170" s="25"/>
      <c r="CE170" s="44" t="str">
        <f t="shared" si="132"/>
        <v/>
      </c>
      <c r="CF170" s="54"/>
      <c r="CG170" s="22" t="str">
        <f t="shared" si="133"/>
        <v/>
      </c>
      <c r="CH170" s="26"/>
      <c r="CI170" s="91"/>
      <c r="CJ170" s="26"/>
      <c r="CK170" s="91"/>
      <c r="CL170" s="26"/>
    </row>
    <row r="171">
      <c r="A171" s="26" t="str">
        <f t="shared" si="58"/>
        <v/>
      </c>
      <c r="B171" s="27"/>
      <c r="C171" s="27"/>
      <c r="D171" s="27"/>
      <c r="E171" s="26"/>
      <c r="F171" s="26"/>
      <c r="G171" s="20"/>
      <c r="H171" s="20"/>
      <c r="I171" s="23"/>
      <c r="J171" s="33"/>
      <c r="K171" s="22" t="str">
        <f t="shared" si="53"/>
        <v/>
      </c>
      <c r="L171" s="23"/>
      <c r="M171" s="44"/>
      <c r="N171" s="25"/>
      <c r="O171" s="44"/>
      <c r="P171" s="29"/>
      <c r="Q171" s="29"/>
      <c r="R171" s="29"/>
      <c r="S171" s="22" t="str">
        <f t="shared" si="99"/>
        <v/>
      </c>
      <c r="T171" s="23"/>
      <c r="U171" s="44" t="str">
        <f t="shared" si="100"/>
        <v/>
      </c>
      <c r="V171" s="25"/>
      <c r="W171" s="44" t="str">
        <f t="shared" si="101"/>
        <v/>
      </c>
      <c r="X171" s="54"/>
      <c r="Y171" s="22" t="str">
        <f t="shared" si="102"/>
        <v/>
      </c>
      <c r="Z171" s="23"/>
      <c r="AA171" s="44" t="str">
        <f t="shared" si="103"/>
        <v/>
      </c>
      <c r="AB171" s="25"/>
      <c r="AC171" s="44" t="str">
        <f t="shared" si="104"/>
        <v/>
      </c>
      <c r="AD171" s="54"/>
      <c r="AE171" s="22" t="str">
        <f t="shared" si="105"/>
        <v/>
      </c>
      <c r="AF171" s="23"/>
      <c r="AG171" s="44" t="str">
        <f t="shared" si="106"/>
        <v/>
      </c>
      <c r="AH171" s="25"/>
      <c r="AI171" s="44" t="str">
        <f t="shared" si="107"/>
        <v/>
      </c>
      <c r="AJ171" s="46">
        <v>0.0</v>
      </c>
      <c r="AK171" s="33"/>
      <c r="AL171" s="22"/>
      <c r="AM171" s="23"/>
      <c r="AN171" s="44" t="str">
        <f t="shared" si="108"/>
        <v/>
      </c>
      <c r="AO171" s="25"/>
      <c r="AP171" s="44" t="str">
        <f t="shared" si="134"/>
        <v/>
      </c>
      <c r="AQ171" s="29" t="str">
        <f t="shared" si="109"/>
        <v/>
      </c>
      <c r="AR171" s="29">
        <f t="shared" si="110"/>
        <v>0</v>
      </c>
      <c r="AS171" s="29">
        <f t="shared" si="111"/>
        <v>0</v>
      </c>
      <c r="AT171" s="22" t="str">
        <f t="shared" si="112"/>
        <v/>
      </c>
      <c r="AU171" s="23"/>
      <c r="AV171" s="44" t="str">
        <f t="shared" si="113"/>
        <v/>
      </c>
      <c r="AW171" s="25"/>
      <c r="AX171" s="44" t="str">
        <f t="shared" si="114"/>
        <v/>
      </c>
      <c r="AY171" s="54"/>
      <c r="AZ171" s="22" t="str">
        <f t="shared" si="115"/>
        <v/>
      </c>
      <c r="BA171" s="23"/>
      <c r="BB171" s="44" t="str">
        <f t="shared" si="116"/>
        <v/>
      </c>
      <c r="BC171" s="25"/>
      <c r="BD171" s="44" t="str">
        <f t="shared" si="117"/>
        <v/>
      </c>
      <c r="BE171" s="54"/>
      <c r="BF171" s="22" t="str">
        <f t="shared" si="118"/>
        <v/>
      </c>
      <c r="BG171" s="23"/>
      <c r="BH171" s="44" t="str">
        <f t="shared" si="119"/>
        <v/>
      </c>
      <c r="BI171" s="25"/>
      <c r="BJ171" s="44" t="str">
        <f t="shared" si="120"/>
        <v/>
      </c>
      <c r="BK171" s="46">
        <v>0.0</v>
      </c>
      <c r="BL171" s="33"/>
      <c r="BM171" s="22" t="str">
        <f t="shared" si="121"/>
        <v/>
      </c>
      <c r="BN171" s="23"/>
      <c r="BO171" s="44" t="str">
        <f t="shared" si="122"/>
        <v/>
      </c>
      <c r="BP171" s="25"/>
      <c r="BQ171" s="44" t="str">
        <f t="shared" si="123"/>
        <v/>
      </c>
      <c r="BR171" s="29" t="str">
        <f t="shared" si="124"/>
        <v/>
      </c>
      <c r="BS171" s="29">
        <f t="shared" si="125"/>
        <v>0</v>
      </c>
      <c r="BT171" s="29">
        <f t="shared" si="126"/>
        <v>0</v>
      </c>
      <c r="BU171" s="22" t="str">
        <f t="shared" si="127"/>
        <v/>
      </c>
      <c r="BV171" s="23"/>
      <c r="BW171" s="44" t="str">
        <f t="shared" si="128"/>
        <v/>
      </c>
      <c r="BX171" s="25"/>
      <c r="BY171" s="44" t="str">
        <f t="shared" si="129"/>
        <v/>
      </c>
      <c r="BZ171" s="54"/>
      <c r="CA171" s="22" t="str">
        <f t="shared" si="130"/>
        <v/>
      </c>
      <c r="CB171" s="23"/>
      <c r="CC171" s="44" t="str">
        <f t="shared" si="131"/>
        <v/>
      </c>
      <c r="CD171" s="25"/>
      <c r="CE171" s="44" t="str">
        <f t="shared" si="132"/>
        <v/>
      </c>
      <c r="CF171" s="54"/>
      <c r="CG171" s="22" t="str">
        <f t="shared" si="133"/>
        <v/>
      </c>
      <c r="CH171" s="26"/>
      <c r="CI171" s="91"/>
      <c r="CJ171" s="26"/>
      <c r="CK171" s="91"/>
      <c r="CL171" s="26"/>
    </row>
    <row r="172">
      <c r="A172" s="26" t="str">
        <f t="shared" si="58"/>
        <v/>
      </c>
      <c r="B172" s="27"/>
      <c r="C172" s="27"/>
      <c r="D172" s="27"/>
      <c r="E172" s="26"/>
      <c r="F172" s="26"/>
      <c r="G172" s="20"/>
      <c r="H172" s="20"/>
      <c r="I172" s="23"/>
      <c r="J172" s="33"/>
      <c r="K172" s="22" t="str">
        <f t="shared" si="53"/>
        <v/>
      </c>
      <c r="L172" s="23"/>
      <c r="M172" s="44"/>
      <c r="N172" s="25"/>
      <c r="O172" s="44"/>
      <c r="P172" s="29"/>
      <c r="Q172" s="29"/>
      <c r="R172" s="29"/>
      <c r="S172" s="22" t="str">
        <f t="shared" si="99"/>
        <v/>
      </c>
      <c r="T172" s="23"/>
      <c r="U172" s="44" t="str">
        <f t="shared" si="100"/>
        <v/>
      </c>
      <c r="V172" s="25"/>
      <c r="W172" s="44" t="str">
        <f t="shared" si="101"/>
        <v/>
      </c>
      <c r="X172" s="54"/>
      <c r="Y172" s="22" t="str">
        <f t="shared" si="102"/>
        <v/>
      </c>
      <c r="Z172" s="23"/>
      <c r="AA172" s="44" t="str">
        <f t="shared" si="103"/>
        <v/>
      </c>
      <c r="AB172" s="25"/>
      <c r="AC172" s="44" t="str">
        <f t="shared" si="104"/>
        <v/>
      </c>
      <c r="AD172" s="54"/>
      <c r="AE172" s="22" t="str">
        <f t="shared" si="105"/>
        <v/>
      </c>
      <c r="AF172" s="23"/>
      <c r="AG172" s="44" t="str">
        <f t="shared" si="106"/>
        <v/>
      </c>
      <c r="AH172" s="25"/>
      <c r="AI172" s="44" t="str">
        <f t="shared" si="107"/>
        <v/>
      </c>
      <c r="AJ172" s="46">
        <v>0.0</v>
      </c>
      <c r="AK172" s="33"/>
      <c r="AL172" s="22"/>
      <c r="AM172" s="23"/>
      <c r="AN172" s="44" t="str">
        <f t="shared" si="108"/>
        <v/>
      </c>
      <c r="AO172" s="25"/>
      <c r="AP172" s="44" t="str">
        <f t="shared" si="134"/>
        <v/>
      </c>
      <c r="AQ172" s="29" t="str">
        <f t="shared" si="109"/>
        <v/>
      </c>
      <c r="AR172" s="29">
        <f t="shared" si="110"/>
        <v>0</v>
      </c>
      <c r="AS172" s="29">
        <f t="shared" si="111"/>
        <v>0</v>
      </c>
      <c r="AT172" s="22" t="str">
        <f t="shared" si="112"/>
        <v/>
      </c>
      <c r="AU172" s="23"/>
      <c r="AV172" s="44" t="str">
        <f t="shared" si="113"/>
        <v/>
      </c>
      <c r="AW172" s="25"/>
      <c r="AX172" s="44" t="str">
        <f t="shared" si="114"/>
        <v/>
      </c>
      <c r="AY172" s="54"/>
      <c r="AZ172" s="22" t="str">
        <f t="shared" si="115"/>
        <v/>
      </c>
      <c r="BA172" s="23"/>
      <c r="BB172" s="44" t="str">
        <f t="shared" si="116"/>
        <v/>
      </c>
      <c r="BC172" s="25"/>
      <c r="BD172" s="44" t="str">
        <f t="shared" si="117"/>
        <v/>
      </c>
      <c r="BE172" s="54"/>
      <c r="BF172" s="22" t="str">
        <f t="shared" si="118"/>
        <v/>
      </c>
      <c r="BG172" s="23"/>
      <c r="BH172" s="44" t="str">
        <f t="shared" si="119"/>
        <v/>
      </c>
      <c r="BI172" s="25"/>
      <c r="BJ172" s="44" t="str">
        <f t="shared" si="120"/>
        <v/>
      </c>
      <c r="BK172" s="46">
        <v>0.0</v>
      </c>
      <c r="BL172" s="33"/>
      <c r="BM172" s="22" t="str">
        <f t="shared" si="121"/>
        <v/>
      </c>
      <c r="BN172" s="23"/>
      <c r="BO172" s="44" t="str">
        <f t="shared" si="122"/>
        <v/>
      </c>
      <c r="BP172" s="25"/>
      <c r="BQ172" s="44" t="str">
        <f t="shared" si="123"/>
        <v/>
      </c>
      <c r="BR172" s="29" t="str">
        <f t="shared" si="124"/>
        <v/>
      </c>
      <c r="BS172" s="29">
        <f t="shared" si="125"/>
        <v>0</v>
      </c>
      <c r="BT172" s="29">
        <f t="shared" si="126"/>
        <v>0</v>
      </c>
      <c r="BU172" s="22" t="str">
        <f t="shared" si="127"/>
        <v/>
      </c>
      <c r="BV172" s="23"/>
      <c r="BW172" s="44" t="str">
        <f t="shared" si="128"/>
        <v/>
      </c>
      <c r="BX172" s="25"/>
      <c r="BY172" s="44" t="str">
        <f t="shared" si="129"/>
        <v/>
      </c>
      <c r="BZ172" s="54"/>
      <c r="CA172" s="22" t="str">
        <f t="shared" si="130"/>
        <v/>
      </c>
      <c r="CB172" s="23"/>
      <c r="CC172" s="44" t="str">
        <f t="shared" si="131"/>
        <v/>
      </c>
      <c r="CD172" s="25"/>
      <c r="CE172" s="44" t="str">
        <f t="shared" si="132"/>
        <v/>
      </c>
      <c r="CF172" s="54"/>
      <c r="CG172" s="22" t="str">
        <f t="shared" si="133"/>
        <v/>
      </c>
      <c r="CH172" s="26"/>
      <c r="CI172" s="91"/>
      <c r="CJ172" s="26"/>
      <c r="CK172" s="91"/>
      <c r="CL172" s="26"/>
    </row>
    <row r="173">
      <c r="A173" s="26" t="str">
        <f t="shared" si="58"/>
        <v/>
      </c>
      <c r="B173" s="27"/>
      <c r="C173" s="27"/>
      <c r="D173" s="27"/>
      <c r="E173" s="26"/>
      <c r="F173" s="26"/>
      <c r="G173" s="20"/>
      <c r="H173" s="20"/>
      <c r="I173" s="23"/>
      <c r="J173" s="33"/>
      <c r="K173" s="22" t="str">
        <f t="shared" si="53"/>
        <v/>
      </c>
      <c r="L173" s="23"/>
      <c r="M173" s="44"/>
      <c r="N173" s="25"/>
      <c r="O173" s="44"/>
      <c r="P173" s="29"/>
      <c r="Q173" s="29"/>
      <c r="R173" s="29"/>
      <c r="S173" s="22" t="str">
        <f t="shared" si="99"/>
        <v/>
      </c>
      <c r="T173" s="23"/>
      <c r="U173" s="44" t="str">
        <f t="shared" si="100"/>
        <v/>
      </c>
      <c r="V173" s="25"/>
      <c r="W173" s="44" t="str">
        <f t="shared" si="101"/>
        <v/>
      </c>
      <c r="X173" s="54"/>
      <c r="Y173" s="22" t="str">
        <f t="shared" si="102"/>
        <v/>
      </c>
      <c r="Z173" s="23"/>
      <c r="AA173" s="44" t="str">
        <f t="shared" si="103"/>
        <v/>
      </c>
      <c r="AB173" s="25"/>
      <c r="AC173" s="44" t="str">
        <f t="shared" si="104"/>
        <v/>
      </c>
      <c r="AD173" s="54"/>
      <c r="AE173" s="22" t="str">
        <f t="shared" si="105"/>
        <v/>
      </c>
      <c r="AF173" s="23"/>
      <c r="AG173" s="44" t="str">
        <f t="shared" si="106"/>
        <v/>
      </c>
      <c r="AH173" s="25"/>
      <c r="AI173" s="44" t="str">
        <f t="shared" si="107"/>
        <v/>
      </c>
      <c r="AJ173" s="46">
        <v>0.0</v>
      </c>
      <c r="AK173" s="33"/>
      <c r="AL173" s="22"/>
      <c r="AM173" s="23"/>
      <c r="AN173" s="44" t="str">
        <f t="shared" si="108"/>
        <v/>
      </c>
      <c r="AO173" s="25"/>
      <c r="AP173" s="44" t="str">
        <f t="shared" si="134"/>
        <v/>
      </c>
      <c r="AQ173" s="29" t="str">
        <f t="shared" si="109"/>
        <v/>
      </c>
      <c r="AR173" s="29">
        <f t="shared" si="110"/>
        <v>0</v>
      </c>
      <c r="AS173" s="29">
        <f t="shared" si="111"/>
        <v>0</v>
      </c>
      <c r="AT173" s="22" t="str">
        <f t="shared" si="112"/>
        <v/>
      </c>
      <c r="AU173" s="23"/>
      <c r="AV173" s="44" t="str">
        <f t="shared" si="113"/>
        <v/>
      </c>
      <c r="AW173" s="25"/>
      <c r="AX173" s="44" t="str">
        <f t="shared" si="114"/>
        <v/>
      </c>
      <c r="AY173" s="54"/>
      <c r="AZ173" s="22" t="str">
        <f t="shared" si="115"/>
        <v/>
      </c>
      <c r="BA173" s="23"/>
      <c r="BB173" s="44" t="str">
        <f t="shared" si="116"/>
        <v/>
      </c>
      <c r="BC173" s="25"/>
      <c r="BD173" s="44" t="str">
        <f t="shared" si="117"/>
        <v/>
      </c>
      <c r="BE173" s="54"/>
      <c r="BF173" s="22" t="str">
        <f t="shared" si="118"/>
        <v/>
      </c>
      <c r="BG173" s="23"/>
      <c r="BH173" s="44" t="str">
        <f t="shared" si="119"/>
        <v/>
      </c>
      <c r="BI173" s="25"/>
      <c r="BJ173" s="44" t="str">
        <f t="shared" si="120"/>
        <v/>
      </c>
      <c r="BK173" s="46">
        <v>0.0</v>
      </c>
      <c r="BL173" s="33"/>
      <c r="BM173" s="22" t="str">
        <f t="shared" si="121"/>
        <v/>
      </c>
      <c r="BN173" s="23"/>
      <c r="BO173" s="44" t="str">
        <f t="shared" si="122"/>
        <v/>
      </c>
      <c r="BP173" s="25"/>
      <c r="BQ173" s="44" t="str">
        <f t="shared" si="123"/>
        <v/>
      </c>
      <c r="BR173" s="29" t="str">
        <f t="shared" si="124"/>
        <v/>
      </c>
      <c r="BS173" s="29">
        <f t="shared" si="125"/>
        <v>0</v>
      </c>
      <c r="BT173" s="29">
        <f t="shared" si="126"/>
        <v>0</v>
      </c>
      <c r="BU173" s="22" t="str">
        <f t="shared" si="127"/>
        <v/>
      </c>
      <c r="BV173" s="23"/>
      <c r="BW173" s="44" t="str">
        <f t="shared" si="128"/>
        <v/>
      </c>
      <c r="BX173" s="25"/>
      <c r="BY173" s="44" t="str">
        <f t="shared" si="129"/>
        <v/>
      </c>
      <c r="BZ173" s="54"/>
      <c r="CA173" s="22" t="str">
        <f t="shared" si="130"/>
        <v/>
      </c>
      <c r="CB173" s="23"/>
      <c r="CC173" s="44" t="str">
        <f t="shared" si="131"/>
        <v/>
      </c>
      <c r="CD173" s="25"/>
      <c r="CE173" s="44" t="str">
        <f t="shared" si="132"/>
        <v/>
      </c>
      <c r="CF173" s="54"/>
      <c r="CG173" s="22" t="str">
        <f t="shared" si="133"/>
        <v/>
      </c>
      <c r="CH173" s="26"/>
      <c r="CI173" s="91"/>
      <c r="CJ173" s="26"/>
      <c r="CK173" s="91"/>
      <c r="CL173" s="26"/>
    </row>
    <row r="174">
      <c r="A174" s="26" t="str">
        <f t="shared" si="58"/>
        <v/>
      </c>
      <c r="B174" s="27"/>
      <c r="C174" s="27"/>
      <c r="D174" s="27"/>
      <c r="E174" s="26"/>
      <c r="F174" s="26"/>
      <c r="G174" s="20"/>
      <c r="H174" s="20"/>
      <c r="I174" s="23"/>
      <c r="J174" s="33"/>
      <c r="K174" s="22" t="str">
        <f t="shared" si="53"/>
        <v/>
      </c>
      <c r="L174" s="23"/>
      <c r="M174" s="44"/>
      <c r="N174" s="25"/>
      <c r="O174" s="44"/>
      <c r="P174" s="29"/>
      <c r="Q174" s="29"/>
      <c r="R174" s="29"/>
      <c r="S174" s="22" t="str">
        <f t="shared" si="99"/>
        <v/>
      </c>
      <c r="T174" s="23"/>
      <c r="U174" s="44" t="str">
        <f t="shared" si="100"/>
        <v/>
      </c>
      <c r="V174" s="25"/>
      <c r="W174" s="44" t="str">
        <f t="shared" si="101"/>
        <v/>
      </c>
      <c r="X174" s="54"/>
      <c r="Y174" s="22" t="str">
        <f t="shared" si="102"/>
        <v/>
      </c>
      <c r="Z174" s="23"/>
      <c r="AA174" s="44" t="str">
        <f t="shared" si="103"/>
        <v/>
      </c>
      <c r="AB174" s="25"/>
      <c r="AC174" s="44" t="str">
        <f t="shared" si="104"/>
        <v/>
      </c>
      <c r="AD174" s="54"/>
      <c r="AE174" s="22" t="str">
        <f t="shared" si="105"/>
        <v/>
      </c>
      <c r="AF174" s="23"/>
      <c r="AG174" s="44" t="str">
        <f t="shared" si="106"/>
        <v/>
      </c>
      <c r="AH174" s="25"/>
      <c r="AI174" s="44" t="str">
        <f t="shared" si="107"/>
        <v/>
      </c>
      <c r="AJ174" s="46">
        <v>0.0</v>
      </c>
      <c r="AK174" s="33"/>
      <c r="AL174" s="22"/>
      <c r="AM174" s="23"/>
      <c r="AN174" s="44" t="str">
        <f t="shared" si="108"/>
        <v/>
      </c>
      <c r="AO174" s="25"/>
      <c r="AP174" s="44" t="str">
        <f t="shared" si="134"/>
        <v/>
      </c>
      <c r="AQ174" s="29" t="str">
        <f t="shared" si="109"/>
        <v/>
      </c>
      <c r="AR174" s="29">
        <f t="shared" si="110"/>
        <v>0</v>
      </c>
      <c r="AS174" s="29">
        <f t="shared" si="111"/>
        <v>0</v>
      </c>
      <c r="AT174" s="22" t="str">
        <f t="shared" si="112"/>
        <v/>
      </c>
      <c r="AU174" s="23"/>
      <c r="AV174" s="44" t="str">
        <f t="shared" si="113"/>
        <v/>
      </c>
      <c r="AW174" s="25"/>
      <c r="AX174" s="44" t="str">
        <f t="shared" si="114"/>
        <v/>
      </c>
      <c r="AY174" s="54"/>
      <c r="AZ174" s="22" t="str">
        <f t="shared" si="115"/>
        <v/>
      </c>
      <c r="BA174" s="23"/>
      <c r="BB174" s="44" t="str">
        <f t="shared" si="116"/>
        <v/>
      </c>
      <c r="BC174" s="25"/>
      <c r="BD174" s="44" t="str">
        <f t="shared" si="117"/>
        <v/>
      </c>
      <c r="BE174" s="54"/>
      <c r="BF174" s="22" t="str">
        <f t="shared" si="118"/>
        <v/>
      </c>
      <c r="BG174" s="23"/>
      <c r="BH174" s="44" t="str">
        <f t="shared" si="119"/>
        <v/>
      </c>
      <c r="BI174" s="25"/>
      <c r="BJ174" s="44" t="str">
        <f t="shared" si="120"/>
        <v/>
      </c>
      <c r="BK174" s="46">
        <v>0.0</v>
      </c>
      <c r="BL174" s="33"/>
      <c r="BM174" s="22" t="str">
        <f t="shared" si="121"/>
        <v/>
      </c>
      <c r="BN174" s="23"/>
      <c r="BO174" s="44" t="str">
        <f t="shared" si="122"/>
        <v/>
      </c>
      <c r="BP174" s="25"/>
      <c r="BQ174" s="44" t="str">
        <f t="shared" si="123"/>
        <v/>
      </c>
      <c r="BR174" s="29" t="str">
        <f t="shared" si="124"/>
        <v/>
      </c>
      <c r="BS174" s="29">
        <f t="shared" si="125"/>
        <v>0</v>
      </c>
      <c r="BT174" s="29">
        <f t="shared" si="126"/>
        <v>0</v>
      </c>
      <c r="BU174" s="22" t="str">
        <f t="shared" si="127"/>
        <v/>
      </c>
      <c r="BV174" s="23"/>
      <c r="BW174" s="44" t="str">
        <f t="shared" si="128"/>
        <v/>
      </c>
      <c r="BX174" s="25"/>
      <c r="BY174" s="44" t="str">
        <f t="shared" si="129"/>
        <v/>
      </c>
      <c r="BZ174" s="54"/>
      <c r="CA174" s="22" t="str">
        <f t="shared" si="130"/>
        <v/>
      </c>
      <c r="CB174" s="23"/>
      <c r="CC174" s="44" t="str">
        <f t="shared" si="131"/>
        <v/>
      </c>
      <c r="CD174" s="25"/>
      <c r="CE174" s="44" t="str">
        <f t="shared" si="132"/>
        <v/>
      </c>
      <c r="CF174" s="54"/>
      <c r="CG174" s="22" t="str">
        <f t="shared" si="133"/>
        <v/>
      </c>
      <c r="CH174" s="26"/>
      <c r="CI174" s="91"/>
      <c r="CJ174" s="26"/>
      <c r="CK174" s="91"/>
      <c r="CL174" s="26"/>
    </row>
    <row r="175">
      <c r="A175" s="26" t="str">
        <f t="shared" si="58"/>
        <v/>
      </c>
      <c r="B175" s="27"/>
      <c r="C175" s="27"/>
      <c r="D175" s="27"/>
      <c r="E175" s="26"/>
      <c r="F175" s="26"/>
      <c r="G175" s="20"/>
      <c r="H175" s="20"/>
      <c r="I175" s="23"/>
      <c r="J175" s="33"/>
      <c r="K175" s="22" t="str">
        <f t="shared" si="53"/>
        <v/>
      </c>
      <c r="L175" s="23"/>
      <c r="M175" s="44"/>
      <c r="N175" s="25"/>
      <c r="O175" s="44"/>
      <c r="P175" s="29"/>
      <c r="Q175" s="29"/>
      <c r="R175" s="29"/>
      <c r="S175" s="22" t="str">
        <f t="shared" si="99"/>
        <v/>
      </c>
      <c r="T175" s="23"/>
      <c r="U175" s="44" t="str">
        <f t="shared" si="100"/>
        <v/>
      </c>
      <c r="V175" s="25"/>
      <c r="W175" s="44" t="str">
        <f t="shared" si="101"/>
        <v/>
      </c>
      <c r="X175" s="54"/>
      <c r="Y175" s="22" t="str">
        <f t="shared" si="102"/>
        <v/>
      </c>
      <c r="Z175" s="23"/>
      <c r="AA175" s="44" t="str">
        <f t="shared" si="103"/>
        <v/>
      </c>
      <c r="AB175" s="25"/>
      <c r="AC175" s="44" t="str">
        <f t="shared" si="104"/>
        <v/>
      </c>
      <c r="AD175" s="54"/>
      <c r="AE175" s="22" t="str">
        <f t="shared" si="105"/>
        <v/>
      </c>
      <c r="AF175" s="23"/>
      <c r="AG175" s="44" t="str">
        <f t="shared" si="106"/>
        <v/>
      </c>
      <c r="AH175" s="25"/>
      <c r="AI175" s="44" t="str">
        <f t="shared" si="107"/>
        <v/>
      </c>
      <c r="AJ175" s="46">
        <v>0.0</v>
      </c>
      <c r="AK175" s="33"/>
      <c r="AL175" s="22"/>
      <c r="AM175" s="23"/>
      <c r="AN175" s="44" t="str">
        <f t="shared" si="108"/>
        <v/>
      </c>
      <c r="AO175" s="25"/>
      <c r="AP175" s="44" t="str">
        <f t="shared" si="134"/>
        <v/>
      </c>
      <c r="AQ175" s="29" t="str">
        <f t="shared" si="109"/>
        <v/>
      </c>
      <c r="AR175" s="29">
        <f t="shared" si="110"/>
        <v>0</v>
      </c>
      <c r="AS175" s="29">
        <f t="shared" si="111"/>
        <v>0</v>
      </c>
      <c r="AT175" s="22" t="str">
        <f t="shared" si="112"/>
        <v/>
      </c>
      <c r="AU175" s="23"/>
      <c r="AV175" s="44" t="str">
        <f t="shared" si="113"/>
        <v/>
      </c>
      <c r="AW175" s="25"/>
      <c r="AX175" s="44" t="str">
        <f t="shared" si="114"/>
        <v/>
      </c>
      <c r="AY175" s="54"/>
      <c r="AZ175" s="22" t="str">
        <f t="shared" si="115"/>
        <v/>
      </c>
      <c r="BA175" s="23"/>
      <c r="BB175" s="44" t="str">
        <f t="shared" si="116"/>
        <v/>
      </c>
      <c r="BC175" s="25"/>
      <c r="BD175" s="44" t="str">
        <f t="shared" si="117"/>
        <v/>
      </c>
      <c r="BE175" s="54"/>
      <c r="BF175" s="22" t="str">
        <f t="shared" si="118"/>
        <v/>
      </c>
      <c r="BG175" s="23"/>
      <c r="BH175" s="44" t="str">
        <f t="shared" si="119"/>
        <v/>
      </c>
      <c r="BI175" s="25"/>
      <c r="BJ175" s="44" t="str">
        <f t="shared" si="120"/>
        <v/>
      </c>
      <c r="BK175" s="46">
        <v>0.0</v>
      </c>
      <c r="BL175" s="33"/>
      <c r="BM175" s="22" t="str">
        <f t="shared" si="121"/>
        <v/>
      </c>
      <c r="BN175" s="23"/>
      <c r="BO175" s="44" t="str">
        <f t="shared" si="122"/>
        <v/>
      </c>
      <c r="BP175" s="25"/>
      <c r="BQ175" s="44" t="str">
        <f t="shared" si="123"/>
        <v/>
      </c>
      <c r="BR175" s="29" t="str">
        <f t="shared" si="124"/>
        <v/>
      </c>
      <c r="BS175" s="29">
        <f t="shared" si="125"/>
        <v>0</v>
      </c>
      <c r="BT175" s="29">
        <f t="shared" si="126"/>
        <v>0</v>
      </c>
      <c r="BU175" s="22" t="str">
        <f t="shared" si="127"/>
        <v/>
      </c>
      <c r="BV175" s="23"/>
      <c r="BW175" s="44" t="str">
        <f t="shared" si="128"/>
        <v/>
      </c>
      <c r="BX175" s="25"/>
      <c r="BY175" s="44" t="str">
        <f t="shared" si="129"/>
        <v/>
      </c>
      <c r="BZ175" s="54"/>
      <c r="CA175" s="22" t="str">
        <f t="shared" si="130"/>
        <v/>
      </c>
      <c r="CB175" s="23"/>
      <c r="CC175" s="44" t="str">
        <f t="shared" si="131"/>
        <v/>
      </c>
      <c r="CD175" s="25"/>
      <c r="CE175" s="44" t="str">
        <f t="shared" si="132"/>
        <v/>
      </c>
      <c r="CF175" s="54"/>
      <c r="CG175" s="22" t="str">
        <f t="shared" si="133"/>
        <v/>
      </c>
      <c r="CH175" s="26"/>
      <c r="CI175" s="91"/>
      <c r="CJ175" s="26"/>
      <c r="CK175" s="91"/>
      <c r="CL175" s="26"/>
    </row>
    <row r="176">
      <c r="A176" s="26" t="str">
        <f t="shared" si="58"/>
        <v/>
      </c>
      <c r="B176" s="27"/>
      <c r="C176" s="27"/>
      <c r="D176" s="27"/>
      <c r="E176" s="26"/>
      <c r="F176" s="26"/>
      <c r="G176" s="20"/>
      <c r="H176" s="20"/>
      <c r="I176" s="23"/>
      <c r="J176" s="33"/>
      <c r="K176" s="22" t="str">
        <f t="shared" si="53"/>
        <v/>
      </c>
      <c r="L176" s="23"/>
      <c r="M176" s="44"/>
      <c r="N176" s="25"/>
      <c r="O176" s="44"/>
      <c r="P176" s="29"/>
      <c r="Q176" s="29"/>
      <c r="R176" s="29"/>
      <c r="S176" s="22" t="str">
        <f t="shared" si="99"/>
        <v/>
      </c>
      <c r="T176" s="23"/>
      <c r="U176" s="44" t="str">
        <f t="shared" si="100"/>
        <v/>
      </c>
      <c r="V176" s="25"/>
      <c r="W176" s="44" t="str">
        <f t="shared" si="101"/>
        <v/>
      </c>
      <c r="X176" s="54"/>
      <c r="Y176" s="22" t="str">
        <f t="shared" si="102"/>
        <v/>
      </c>
      <c r="Z176" s="23"/>
      <c r="AA176" s="44" t="str">
        <f t="shared" si="103"/>
        <v/>
      </c>
      <c r="AB176" s="25"/>
      <c r="AC176" s="44" t="str">
        <f t="shared" si="104"/>
        <v/>
      </c>
      <c r="AD176" s="54"/>
      <c r="AE176" s="22" t="str">
        <f t="shared" si="105"/>
        <v/>
      </c>
      <c r="AF176" s="23"/>
      <c r="AG176" s="44" t="str">
        <f t="shared" si="106"/>
        <v/>
      </c>
      <c r="AH176" s="25"/>
      <c r="AI176" s="44" t="str">
        <f t="shared" si="107"/>
        <v/>
      </c>
      <c r="AJ176" s="46">
        <v>0.0</v>
      </c>
      <c r="AK176" s="33"/>
      <c r="AL176" s="22"/>
      <c r="AM176" s="23"/>
      <c r="AN176" s="44" t="str">
        <f t="shared" si="108"/>
        <v/>
      </c>
      <c r="AO176" s="25"/>
      <c r="AP176" s="44" t="str">
        <f t="shared" si="134"/>
        <v/>
      </c>
      <c r="AQ176" s="29" t="str">
        <f t="shared" si="109"/>
        <v/>
      </c>
      <c r="AR176" s="29">
        <f t="shared" si="110"/>
        <v>0</v>
      </c>
      <c r="AS176" s="29">
        <f t="shared" si="111"/>
        <v>0</v>
      </c>
      <c r="AT176" s="22" t="str">
        <f t="shared" si="112"/>
        <v/>
      </c>
      <c r="AU176" s="23"/>
      <c r="AV176" s="44" t="str">
        <f t="shared" si="113"/>
        <v/>
      </c>
      <c r="AW176" s="25"/>
      <c r="AX176" s="44" t="str">
        <f t="shared" si="114"/>
        <v/>
      </c>
      <c r="AY176" s="54"/>
      <c r="AZ176" s="22" t="str">
        <f t="shared" si="115"/>
        <v/>
      </c>
      <c r="BA176" s="23"/>
      <c r="BB176" s="44" t="str">
        <f t="shared" si="116"/>
        <v/>
      </c>
      <c r="BC176" s="25"/>
      <c r="BD176" s="44" t="str">
        <f t="shared" si="117"/>
        <v/>
      </c>
      <c r="BE176" s="54"/>
      <c r="BF176" s="22" t="str">
        <f t="shared" si="118"/>
        <v/>
      </c>
      <c r="BG176" s="23"/>
      <c r="BH176" s="44" t="str">
        <f t="shared" si="119"/>
        <v/>
      </c>
      <c r="BI176" s="25"/>
      <c r="BJ176" s="44" t="str">
        <f t="shared" si="120"/>
        <v/>
      </c>
      <c r="BK176" s="46">
        <v>0.0</v>
      </c>
      <c r="BL176" s="33"/>
      <c r="BM176" s="22" t="str">
        <f t="shared" si="121"/>
        <v/>
      </c>
      <c r="BN176" s="23"/>
      <c r="BO176" s="44" t="str">
        <f t="shared" si="122"/>
        <v/>
      </c>
      <c r="BP176" s="25"/>
      <c r="BQ176" s="44" t="str">
        <f t="shared" si="123"/>
        <v/>
      </c>
      <c r="BR176" s="29" t="str">
        <f t="shared" si="124"/>
        <v/>
      </c>
      <c r="BS176" s="29">
        <f t="shared" si="125"/>
        <v>0</v>
      </c>
      <c r="BT176" s="29">
        <f t="shared" si="126"/>
        <v>0</v>
      </c>
      <c r="BU176" s="22" t="str">
        <f t="shared" si="127"/>
        <v/>
      </c>
      <c r="BV176" s="23"/>
      <c r="BW176" s="44" t="str">
        <f t="shared" si="128"/>
        <v/>
      </c>
      <c r="BX176" s="25"/>
      <c r="BY176" s="44" t="str">
        <f t="shared" si="129"/>
        <v/>
      </c>
      <c r="BZ176" s="54"/>
      <c r="CA176" s="22" t="str">
        <f t="shared" si="130"/>
        <v/>
      </c>
      <c r="CB176" s="23"/>
      <c r="CC176" s="44" t="str">
        <f t="shared" si="131"/>
        <v/>
      </c>
      <c r="CD176" s="25"/>
      <c r="CE176" s="44" t="str">
        <f t="shared" si="132"/>
        <v/>
      </c>
      <c r="CF176" s="54"/>
      <c r="CG176" s="22" t="str">
        <f t="shared" si="133"/>
        <v/>
      </c>
      <c r="CH176" s="26"/>
      <c r="CI176" s="91"/>
      <c r="CJ176" s="26"/>
      <c r="CK176" s="91"/>
      <c r="CL176" s="26"/>
    </row>
    <row r="177">
      <c r="A177" s="26" t="str">
        <f t="shared" si="58"/>
        <v/>
      </c>
      <c r="B177" s="27"/>
      <c r="C177" s="27"/>
      <c r="D177" s="27"/>
      <c r="E177" s="26"/>
      <c r="F177" s="26"/>
      <c r="G177" s="20"/>
      <c r="H177" s="20"/>
      <c r="I177" s="23"/>
      <c r="J177" s="33"/>
      <c r="K177" s="22" t="str">
        <f t="shared" si="53"/>
        <v/>
      </c>
      <c r="L177" s="23"/>
      <c r="M177" s="44"/>
      <c r="N177" s="25"/>
      <c r="O177" s="44"/>
      <c r="P177" s="29"/>
      <c r="Q177" s="29"/>
      <c r="R177" s="29"/>
      <c r="S177" s="22" t="str">
        <f t="shared" si="99"/>
        <v/>
      </c>
      <c r="T177" s="23"/>
      <c r="U177" s="44" t="str">
        <f t="shared" si="100"/>
        <v/>
      </c>
      <c r="V177" s="25"/>
      <c r="W177" s="44" t="str">
        <f t="shared" si="101"/>
        <v/>
      </c>
      <c r="X177" s="54"/>
      <c r="Y177" s="22" t="str">
        <f t="shared" si="102"/>
        <v/>
      </c>
      <c r="Z177" s="23"/>
      <c r="AA177" s="44" t="str">
        <f t="shared" si="103"/>
        <v/>
      </c>
      <c r="AB177" s="25"/>
      <c r="AC177" s="44" t="str">
        <f t="shared" si="104"/>
        <v/>
      </c>
      <c r="AD177" s="54"/>
      <c r="AE177" s="22" t="str">
        <f t="shared" si="105"/>
        <v/>
      </c>
      <c r="AF177" s="23"/>
      <c r="AG177" s="44" t="str">
        <f t="shared" si="106"/>
        <v/>
      </c>
      <c r="AH177" s="25"/>
      <c r="AI177" s="44" t="str">
        <f t="shared" si="107"/>
        <v/>
      </c>
      <c r="AJ177" s="46">
        <v>0.0</v>
      </c>
      <c r="AK177" s="33"/>
      <c r="AL177" s="22"/>
      <c r="AM177" s="23"/>
      <c r="AN177" s="44" t="str">
        <f t="shared" si="108"/>
        <v/>
      </c>
      <c r="AO177" s="25"/>
      <c r="AP177" s="44" t="str">
        <f t="shared" si="134"/>
        <v/>
      </c>
      <c r="AQ177" s="29" t="str">
        <f t="shared" si="109"/>
        <v/>
      </c>
      <c r="AR177" s="29">
        <f t="shared" si="110"/>
        <v>0</v>
      </c>
      <c r="AS177" s="29">
        <f t="shared" si="111"/>
        <v>0</v>
      </c>
      <c r="AT177" s="22" t="str">
        <f t="shared" si="112"/>
        <v/>
      </c>
      <c r="AU177" s="23"/>
      <c r="AV177" s="44" t="str">
        <f t="shared" si="113"/>
        <v/>
      </c>
      <c r="AW177" s="25"/>
      <c r="AX177" s="44" t="str">
        <f t="shared" si="114"/>
        <v/>
      </c>
      <c r="AY177" s="54"/>
      <c r="AZ177" s="22" t="str">
        <f t="shared" si="115"/>
        <v/>
      </c>
      <c r="BA177" s="23"/>
      <c r="BB177" s="44" t="str">
        <f t="shared" si="116"/>
        <v/>
      </c>
      <c r="BC177" s="25"/>
      <c r="BD177" s="44" t="str">
        <f t="shared" si="117"/>
        <v/>
      </c>
      <c r="BE177" s="54"/>
      <c r="BF177" s="22" t="str">
        <f t="shared" si="118"/>
        <v/>
      </c>
      <c r="BG177" s="23"/>
      <c r="BH177" s="44" t="str">
        <f t="shared" si="119"/>
        <v/>
      </c>
      <c r="BI177" s="25"/>
      <c r="BJ177" s="44" t="str">
        <f t="shared" si="120"/>
        <v/>
      </c>
      <c r="BK177" s="46">
        <v>0.0</v>
      </c>
      <c r="BL177" s="33"/>
      <c r="BM177" s="22" t="str">
        <f t="shared" si="121"/>
        <v/>
      </c>
      <c r="BN177" s="23"/>
      <c r="BO177" s="44" t="str">
        <f t="shared" si="122"/>
        <v/>
      </c>
      <c r="BP177" s="25"/>
      <c r="BQ177" s="44" t="str">
        <f t="shared" si="123"/>
        <v/>
      </c>
      <c r="BR177" s="29" t="str">
        <f t="shared" si="124"/>
        <v/>
      </c>
      <c r="BS177" s="29">
        <f t="shared" si="125"/>
        <v>0</v>
      </c>
      <c r="BT177" s="29">
        <f t="shared" si="126"/>
        <v>0</v>
      </c>
      <c r="BU177" s="22" t="str">
        <f t="shared" si="127"/>
        <v/>
      </c>
      <c r="BV177" s="23"/>
      <c r="BW177" s="44" t="str">
        <f t="shared" si="128"/>
        <v/>
      </c>
      <c r="BX177" s="25"/>
      <c r="BY177" s="44" t="str">
        <f t="shared" si="129"/>
        <v/>
      </c>
      <c r="BZ177" s="54"/>
      <c r="CA177" s="22" t="str">
        <f t="shared" si="130"/>
        <v/>
      </c>
      <c r="CB177" s="23"/>
      <c r="CC177" s="44" t="str">
        <f t="shared" si="131"/>
        <v/>
      </c>
      <c r="CD177" s="25"/>
      <c r="CE177" s="44" t="str">
        <f t="shared" si="132"/>
        <v/>
      </c>
      <c r="CF177" s="54"/>
      <c r="CG177" s="22" t="str">
        <f t="shared" si="133"/>
        <v/>
      </c>
      <c r="CH177" s="26"/>
      <c r="CI177" s="91"/>
      <c r="CJ177" s="26"/>
      <c r="CK177" s="91"/>
      <c r="CL177" s="26"/>
    </row>
    <row r="178">
      <c r="A178" s="26" t="str">
        <f t="shared" si="58"/>
        <v/>
      </c>
      <c r="B178" s="27"/>
      <c r="C178" s="27"/>
      <c r="D178" s="27"/>
      <c r="E178" s="26"/>
      <c r="F178" s="26"/>
      <c r="G178" s="20"/>
      <c r="H178" s="20"/>
      <c r="I178" s="23"/>
      <c r="J178" s="33"/>
      <c r="K178" s="22" t="str">
        <f t="shared" si="53"/>
        <v/>
      </c>
      <c r="L178" s="23"/>
      <c r="M178" s="44"/>
      <c r="N178" s="25"/>
      <c r="O178" s="44"/>
      <c r="P178" s="29"/>
      <c r="Q178" s="29"/>
      <c r="R178" s="29"/>
      <c r="S178" s="22" t="str">
        <f t="shared" si="99"/>
        <v/>
      </c>
      <c r="T178" s="23"/>
      <c r="U178" s="44" t="str">
        <f t="shared" si="100"/>
        <v/>
      </c>
      <c r="V178" s="25"/>
      <c r="W178" s="44" t="str">
        <f t="shared" si="101"/>
        <v/>
      </c>
      <c r="X178" s="54"/>
      <c r="Y178" s="22" t="str">
        <f t="shared" si="102"/>
        <v/>
      </c>
      <c r="Z178" s="23"/>
      <c r="AA178" s="44" t="str">
        <f t="shared" si="103"/>
        <v/>
      </c>
      <c r="AB178" s="25"/>
      <c r="AC178" s="44" t="str">
        <f t="shared" si="104"/>
        <v/>
      </c>
      <c r="AD178" s="54"/>
      <c r="AE178" s="22" t="str">
        <f t="shared" si="105"/>
        <v/>
      </c>
      <c r="AF178" s="23"/>
      <c r="AG178" s="44" t="str">
        <f t="shared" si="106"/>
        <v/>
      </c>
      <c r="AH178" s="25"/>
      <c r="AI178" s="44" t="str">
        <f t="shared" si="107"/>
        <v/>
      </c>
      <c r="AJ178" s="46">
        <v>0.0</v>
      </c>
      <c r="AK178" s="33"/>
      <c r="AL178" s="22"/>
      <c r="AM178" s="23"/>
      <c r="AN178" s="44" t="str">
        <f t="shared" si="108"/>
        <v/>
      </c>
      <c r="AO178" s="25"/>
      <c r="AP178" s="44" t="str">
        <f t="shared" si="134"/>
        <v/>
      </c>
      <c r="AQ178" s="29" t="str">
        <f t="shared" si="109"/>
        <v/>
      </c>
      <c r="AR178" s="29">
        <f t="shared" si="110"/>
        <v>0</v>
      </c>
      <c r="AS178" s="29">
        <f t="shared" si="111"/>
        <v>0</v>
      </c>
      <c r="AT178" s="22" t="str">
        <f t="shared" si="112"/>
        <v/>
      </c>
      <c r="AU178" s="23"/>
      <c r="AV178" s="44" t="str">
        <f t="shared" si="113"/>
        <v/>
      </c>
      <c r="AW178" s="25"/>
      <c r="AX178" s="44" t="str">
        <f t="shared" si="114"/>
        <v/>
      </c>
      <c r="AY178" s="54"/>
      <c r="AZ178" s="22" t="str">
        <f t="shared" si="115"/>
        <v/>
      </c>
      <c r="BA178" s="23"/>
      <c r="BB178" s="44" t="str">
        <f t="shared" si="116"/>
        <v/>
      </c>
      <c r="BC178" s="25"/>
      <c r="BD178" s="44" t="str">
        <f t="shared" si="117"/>
        <v/>
      </c>
      <c r="BE178" s="54"/>
      <c r="BF178" s="22" t="str">
        <f t="shared" si="118"/>
        <v/>
      </c>
      <c r="BG178" s="23"/>
      <c r="BH178" s="44" t="str">
        <f t="shared" si="119"/>
        <v/>
      </c>
      <c r="BI178" s="25"/>
      <c r="BJ178" s="44" t="str">
        <f t="shared" si="120"/>
        <v/>
      </c>
      <c r="BK178" s="46">
        <v>0.0</v>
      </c>
      <c r="BL178" s="33"/>
      <c r="BM178" s="22" t="str">
        <f t="shared" si="121"/>
        <v/>
      </c>
      <c r="BN178" s="23"/>
      <c r="BO178" s="44" t="str">
        <f t="shared" si="122"/>
        <v/>
      </c>
      <c r="BP178" s="25"/>
      <c r="BQ178" s="44" t="str">
        <f t="shared" si="123"/>
        <v/>
      </c>
      <c r="BR178" s="29" t="str">
        <f t="shared" si="124"/>
        <v/>
      </c>
      <c r="BS178" s="29">
        <f t="shared" si="125"/>
        <v>0</v>
      </c>
      <c r="BT178" s="29">
        <f t="shared" si="126"/>
        <v>0</v>
      </c>
      <c r="BU178" s="22" t="str">
        <f t="shared" si="127"/>
        <v/>
      </c>
      <c r="BV178" s="23"/>
      <c r="BW178" s="44" t="str">
        <f t="shared" si="128"/>
        <v/>
      </c>
      <c r="BX178" s="25"/>
      <c r="BY178" s="44" t="str">
        <f t="shared" si="129"/>
        <v/>
      </c>
      <c r="BZ178" s="54"/>
      <c r="CA178" s="22" t="str">
        <f t="shared" si="130"/>
        <v/>
      </c>
      <c r="CB178" s="23"/>
      <c r="CC178" s="44" t="str">
        <f t="shared" si="131"/>
        <v/>
      </c>
      <c r="CD178" s="25"/>
      <c r="CE178" s="44" t="str">
        <f t="shared" si="132"/>
        <v/>
      </c>
      <c r="CF178" s="54"/>
      <c r="CG178" s="22" t="str">
        <f t="shared" si="133"/>
        <v/>
      </c>
      <c r="CH178" s="26"/>
      <c r="CI178" s="91"/>
      <c r="CJ178" s="26"/>
      <c r="CK178" s="91"/>
      <c r="CL178" s="26"/>
    </row>
    <row r="179">
      <c r="A179" s="26" t="str">
        <f t="shared" si="58"/>
        <v/>
      </c>
      <c r="B179" s="27"/>
      <c r="C179" s="27"/>
      <c r="D179" s="27"/>
      <c r="E179" s="26"/>
      <c r="F179" s="26"/>
      <c r="G179" s="20"/>
      <c r="H179" s="20"/>
      <c r="I179" s="23"/>
      <c r="J179" s="33"/>
      <c r="K179" s="22" t="str">
        <f t="shared" si="53"/>
        <v/>
      </c>
      <c r="L179" s="23"/>
      <c r="M179" s="44"/>
      <c r="N179" s="25"/>
      <c r="O179" s="44"/>
      <c r="P179" s="29"/>
      <c r="Q179" s="29"/>
      <c r="R179" s="29"/>
      <c r="S179" s="22" t="str">
        <f t="shared" si="99"/>
        <v/>
      </c>
      <c r="T179" s="23"/>
      <c r="U179" s="44" t="str">
        <f t="shared" si="100"/>
        <v/>
      </c>
      <c r="V179" s="25"/>
      <c r="W179" s="44" t="str">
        <f t="shared" si="101"/>
        <v/>
      </c>
      <c r="X179" s="54"/>
      <c r="Y179" s="22" t="str">
        <f t="shared" si="102"/>
        <v/>
      </c>
      <c r="Z179" s="23"/>
      <c r="AA179" s="44" t="str">
        <f t="shared" si="103"/>
        <v/>
      </c>
      <c r="AB179" s="25"/>
      <c r="AC179" s="44" t="str">
        <f t="shared" si="104"/>
        <v/>
      </c>
      <c r="AD179" s="54"/>
      <c r="AE179" s="22" t="str">
        <f t="shared" si="105"/>
        <v/>
      </c>
      <c r="AF179" s="23"/>
      <c r="AG179" s="44" t="str">
        <f t="shared" si="106"/>
        <v/>
      </c>
      <c r="AH179" s="25"/>
      <c r="AI179" s="44" t="str">
        <f t="shared" si="107"/>
        <v/>
      </c>
      <c r="AJ179" s="46">
        <v>0.0</v>
      </c>
      <c r="AK179" s="33"/>
      <c r="AL179" s="22"/>
      <c r="AM179" s="23"/>
      <c r="AN179" s="44" t="str">
        <f t="shared" si="108"/>
        <v/>
      </c>
      <c r="AO179" s="25"/>
      <c r="AP179" s="44" t="str">
        <f t="shared" si="134"/>
        <v/>
      </c>
      <c r="AQ179" s="29" t="str">
        <f t="shared" si="109"/>
        <v/>
      </c>
      <c r="AR179" s="29">
        <f t="shared" si="110"/>
        <v>0</v>
      </c>
      <c r="AS179" s="29">
        <f t="shared" si="111"/>
        <v>0</v>
      </c>
      <c r="AT179" s="22" t="str">
        <f t="shared" si="112"/>
        <v/>
      </c>
      <c r="AU179" s="23"/>
      <c r="AV179" s="44" t="str">
        <f t="shared" si="113"/>
        <v/>
      </c>
      <c r="AW179" s="25"/>
      <c r="AX179" s="44" t="str">
        <f t="shared" si="114"/>
        <v/>
      </c>
      <c r="AY179" s="54"/>
      <c r="AZ179" s="22" t="str">
        <f t="shared" si="115"/>
        <v/>
      </c>
      <c r="BA179" s="23"/>
      <c r="BB179" s="44" t="str">
        <f t="shared" si="116"/>
        <v/>
      </c>
      <c r="BC179" s="25"/>
      <c r="BD179" s="44" t="str">
        <f t="shared" si="117"/>
        <v/>
      </c>
      <c r="BE179" s="54"/>
      <c r="BF179" s="22" t="str">
        <f t="shared" si="118"/>
        <v/>
      </c>
      <c r="BG179" s="23"/>
      <c r="BH179" s="44" t="str">
        <f t="shared" si="119"/>
        <v/>
      </c>
      <c r="BI179" s="25"/>
      <c r="BJ179" s="44" t="str">
        <f t="shared" si="120"/>
        <v/>
      </c>
      <c r="BK179" s="46">
        <v>0.0</v>
      </c>
      <c r="BL179" s="33"/>
      <c r="BM179" s="22" t="str">
        <f t="shared" si="121"/>
        <v/>
      </c>
      <c r="BN179" s="23"/>
      <c r="BO179" s="44" t="str">
        <f t="shared" si="122"/>
        <v/>
      </c>
      <c r="BP179" s="25"/>
      <c r="BQ179" s="44" t="str">
        <f t="shared" si="123"/>
        <v/>
      </c>
      <c r="BR179" s="29" t="str">
        <f t="shared" si="124"/>
        <v/>
      </c>
      <c r="BS179" s="29">
        <f t="shared" si="125"/>
        <v>0</v>
      </c>
      <c r="BT179" s="29">
        <f t="shared" si="126"/>
        <v>0</v>
      </c>
      <c r="BU179" s="22" t="str">
        <f t="shared" si="127"/>
        <v/>
      </c>
      <c r="BV179" s="23"/>
      <c r="BW179" s="44" t="str">
        <f t="shared" si="128"/>
        <v/>
      </c>
      <c r="BX179" s="25"/>
      <c r="BY179" s="44" t="str">
        <f t="shared" si="129"/>
        <v/>
      </c>
      <c r="BZ179" s="54"/>
      <c r="CA179" s="22" t="str">
        <f t="shared" si="130"/>
        <v/>
      </c>
      <c r="CB179" s="23"/>
      <c r="CC179" s="44" t="str">
        <f t="shared" si="131"/>
        <v/>
      </c>
      <c r="CD179" s="25"/>
      <c r="CE179" s="44" t="str">
        <f t="shared" si="132"/>
        <v/>
      </c>
      <c r="CF179" s="54"/>
      <c r="CG179" s="22" t="str">
        <f t="shared" si="133"/>
        <v/>
      </c>
      <c r="CH179" s="26"/>
      <c r="CI179" s="91"/>
      <c r="CJ179" s="26"/>
      <c r="CK179" s="91"/>
      <c r="CL179" s="26"/>
    </row>
    <row r="180">
      <c r="A180" s="26"/>
      <c r="B180" s="27"/>
      <c r="C180" s="27"/>
      <c r="D180" s="27"/>
      <c r="E180" s="26"/>
      <c r="F180" s="26"/>
      <c r="G180" s="20"/>
      <c r="H180" s="20"/>
      <c r="I180" s="23"/>
      <c r="J180" s="33"/>
      <c r="K180" s="22"/>
      <c r="L180" s="23"/>
      <c r="M180" s="44"/>
      <c r="N180" s="25"/>
      <c r="O180" s="44"/>
      <c r="P180" s="29"/>
      <c r="Q180" s="29"/>
      <c r="R180" s="29"/>
      <c r="S180" s="22"/>
      <c r="T180" s="23"/>
      <c r="U180" s="44"/>
      <c r="V180" s="25"/>
      <c r="W180" s="44"/>
      <c r="X180" s="54"/>
      <c r="Y180" s="22"/>
      <c r="Z180" s="23"/>
      <c r="AA180" s="44"/>
      <c r="AB180" s="25"/>
      <c r="AC180" s="44"/>
      <c r="AD180" s="54"/>
      <c r="AE180" s="22"/>
      <c r="AF180" s="23"/>
      <c r="AG180" s="44"/>
      <c r="AH180" s="25"/>
      <c r="AI180" s="44"/>
      <c r="AJ180" s="46"/>
      <c r="AK180" s="33"/>
      <c r="AL180" s="22"/>
      <c r="AM180" s="23"/>
      <c r="AN180" s="44"/>
      <c r="AO180" s="25"/>
      <c r="AP180" s="44"/>
      <c r="AQ180" s="29"/>
      <c r="AR180" s="29"/>
      <c r="AS180" s="29"/>
      <c r="AT180" s="22"/>
      <c r="AU180" s="23"/>
      <c r="AV180" s="44"/>
      <c r="AW180" s="25"/>
      <c r="AX180" s="44"/>
      <c r="AY180" s="54"/>
      <c r="AZ180" s="22"/>
      <c r="BA180" s="23"/>
      <c r="BB180" s="44"/>
      <c r="BC180" s="25"/>
      <c r="BD180" s="44"/>
      <c r="BE180" s="54"/>
      <c r="BF180" s="22"/>
      <c r="BG180" s="23"/>
      <c r="BH180" s="44"/>
      <c r="BI180" s="25"/>
      <c r="BJ180" s="44"/>
      <c r="BK180" s="46"/>
      <c r="BL180" s="33"/>
      <c r="BM180" s="22"/>
      <c r="BN180" s="23"/>
      <c r="BO180" s="44"/>
      <c r="BP180" s="25"/>
      <c r="BQ180" s="44"/>
      <c r="BR180" s="29"/>
      <c r="BS180" s="29"/>
      <c r="BT180" s="29"/>
      <c r="BU180" s="22"/>
      <c r="BV180" s="23"/>
      <c r="BW180" s="44"/>
      <c r="BX180" s="25"/>
      <c r="BY180" s="44"/>
      <c r="BZ180" s="54"/>
      <c r="CA180" s="22"/>
      <c r="CB180" s="23"/>
      <c r="CC180" s="44"/>
      <c r="CD180" s="25"/>
      <c r="CE180" s="44"/>
      <c r="CF180" s="54"/>
      <c r="CG180" s="22"/>
      <c r="CH180" s="26"/>
      <c r="CI180" s="91"/>
      <c r="CJ180" s="26"/>
      <c r="CK180" s="91"/>
      <c r="CL180" s="26"/>
    </row>
    <row r="181">
      <c r="A181" s="26"/>
      <c r="B181" s="27"/>
      <c r="C181" s="27"/>
      <c r="D181" s="27"/>
      <c r="E181" s="26"/>
      <c r="F181" s="26"/>
      <c r="G181" s="20"/>
      <c r="H181" s="20"/>
      <c r="I181" s="23"/>
      <c r="J181" s="33"/>
      <c r="K181" s="22"/>
      <c r="L181" s="23"/>
      <c r="M181" s="44"/>
      <c r="N181" s="25"/>
      <c r="O181" s="44"/>
      <c r="P181" s="29"/>
      <c r="Q181" s="29"/>
      <c r="R181" s="29"/>
      <c r="S181" s="22"/>
      <c r="T181" s="23"/>
      <c r="U181" s="44"/>
      <c r="V181" s="25"/>
      <c r="W181" s="44"/>
      <c r="X181" s="54"/>
      <c r="Y181" s="22"/>
      <c r="Z181" s="23"/>
      <c r="AA181" s="44"/>
      <c r="AB181" s="25"/>
      <c r="AC181" s="44"/>
      <c r="AD181" s="54"/>
      <c r="AE181" s="22"/>
      <c r="AF181" s="23"/>
      <c r="AG181" s="44"/>
      <c r="AH181" s="25"/>
      <c r="AI181" s="44"/>
      <c r="AJ181" s="46"/>
      <c r="AK181" s="33"/>
      <c r="AL181" s="22"/>
      <c r="AM181" s="23"/>
      <c r="AN181" s="44"/>
      <c r="AO181" s="25"/>
      <c r="AP181" s="44"/>
      <c r="AQ181" s="29"/>
      <c r="AR181" s="29"/>
      <c r="AS181" s="29"/>
      <c r="AT181" s="22"/>
      <c r="AU181" s="23"/>
      <c r="AV181" s="44"/>
      <c r="AW181" s="25"/>
      <c r="AX181" s="44"/>
      <c r="AY181" s="54"/>
      <c r="AZ181" s="22"/>
      <c r="BA181" s="23"/>
      <c r="BB181" s="44"/>
      <c r="BC181" s="25"/>
      <c r="BD181" s="44"/>
      <c r="BE181" s="54"/>
      <c r="BF181" s="22"/>
      <c r="BG181" s="23"/>
      <c r="BH181" s="44"/>
      <c r="BI181" s="25"/>
      <c r="BJ181" s="44"/>
      <c r="BK181" s="46"/>
      <c r="BL181" s="33"/>
      <c r="BM181" s="22"/>
      <c r="BN181" s="23"/>
      <c r="BO181" s="44"/>
      <c r="BP181" s="25"/>
      <c r="BQ181" s="44"/>
      <c r="BR181" s="29"/>
      <c r="BS181" s="29"/>
      <c r="BT181" s="29"/>
      <c r="BU181" s="22"/>
      <c r="BV181" s="23"/>
      <c r="BW181" s="44"/>
      <c r="BX181" s="25"/>
      <c r="BY181" s="44"/>
      <c r="BZ181" s="54"/>
      <c r="CA181" s="22"/>
      <c r="CB181" s="23"/>
      <c r="CC181" s="44"/>
      <c r="CD181" s="25"/>
      <c r="CE181" s="44"/>
      <c r="CF181" s="54"/>
      <c r="CG181" s="22"/>
      <c r="CH181" s="26"/>
      <c r="CI181" s="91"/>
      <c r="CJ181" s="26"/>
      <c r="CK181" s="91"/>
      <c r="CL181" s="26"/>
    </row>
    <row r="182">
      <c r="A182" s="26"/>
      <c r="B182" s="27"/>
      <c r="C182" s="27"/>
      <c r="D182" s="27"/>
      <c r="E182" s="26"/>
      <c r="F182" s="26"/>
      <c r="G182" s="20"/>
      <c r="H182" s="20"/>
      <c r="I182" s="23"/>
      <c r="J182" s="33"/>
      <c r="K182" s="22"/>
      <c r="L182" s="23"/>
      <c r="M182" s="44"/>
      <c r="N182" s="25"/>
      <c r="O182" s="44"/>
      <c r="P182" s="29"/>
      <c r="Q182" s="29"/>
      <c r="R182" s="29"/>
      <c r="S182" s="22"/>
      <c r="T182" s="23"/>
      <c r="U182" s="44"/>
      <c r="V182" s="25"/>
      <c r="W182" s="44"/>
      <c r="X182" s="54"/>
      <c r="Y182" s="22"/>
      <c r="Z182" s="23"/>
      <c r="AA182" s="44"/>
      <c r="AB182" s="25"/>
      <c r="AC182" s="44"/>
      <c r="AD182" s="54"/>
      <c r="AE182" s="22"/>
      <c r="AF182" s="23"/>
      <c r="AG182" s="44"/>
      <c r="AH182" s="25"/>
      <c r="AI182" s="44"/>
      <c r="AJ182" s="46"/>
      <c r="AK182" s="33"/>
      <c r="AL182" s="22"/>
      <c r="AM182" s="23"/>
      <c r="AN182" s="44"/>
      <c r="AO182" s="25"/>
      <c r="AP182" s="44"/>
      <c r="AQ182" s="29"/>
      <c r="AR182" s="29"/>
      <c r="AS182" s="29"/>
      <c r="AT182" s="22"/>
      <c r="AU182" s="23"/>
      <c r="AV182" s="44"/>
      <c r="AW182" s="25"/>
      <c r="AX182" s="44"/>
      <c r="AY182" s="54"/>
      <c r="AZ182" s="22"/>
      <c r="BA182" s="23"/>
      <c r="BB182" s="44"/>
      <c r="BC182" s="25"/>
      <c r="BD182" s="44"/>
      <c r="BE182" s="54"/>
      <c r="BF182" s="22"/>
      <c r="BG182" s="23"/>
      <c r="BH182" s="44"/>
      <c r="BI182" s="25"/>
      <c r="BJ182" s="44"/>
      <c r="BK182" s="46"/>
      <c r="BL182" s="33"/>
      <c r="BM182" s="22"/>
      <c r="BN182" s="23"/>
      <c r="BO182" s="44"/>
      <c r="BP182" s="25"/>
      <c r="BQ182" s="44"/>
      <c r="BR182" s="29"/>
      <c r="BS182" s="29"/>
      <c r="BT182" s="29"/>
      <c r="BU182" s="22"/>
      <c r="BV182" s="23"/>
      <c r="BW182" s="44"/>
      <c r="BX182" s="25"/>
      <c r="BY182" s="44"/>
      <c r="BZ182" s="54"/>
      <c r="CA182" s="22"/>
      <c r="CB182" s="23"/>
      <c r="CC182" s="44"/>
      <c r="CD182" s="25"/>
      <c r="CE182" s="44"/>
      <c r="CF182" s="54"/>
      <c r="CG182" s="22"/>
      <c r="CH182" s="26"/>
      <c r="CI182" s="91"/>
      <c r="CJ182" s="26"/>
      <c r="CK182" s="91"/>
      <c r="CL182" s="26"/>
    </row>
    <row r="183">
      <c r="A183" s="26"/>
      <c r="B183" s="27"/>
      <c r="C183" s="27"/>
      <c r="D183" s="27"/>
      <c r="E183" s="26"/>
      <c r="F183" s="26"/>
      <c r="G183" s="20"/>
      <c r="H183" s="20"/>
      <c r="I183" s="23"/>
      <c r="J183" s="33"/>
      <c r="K183" s="22"/>
      <c r="L183" s="23"/>
      <c r="M183" s="44"/>
      <c r="N183" s="25"/>
      <c r="O183" s="44"/>
      <c r="P183" s="29"/>
      <c r="Q183" s="29"/>
      <c r="R183" s="29"/>
      <c r="S183" s="22"/>
      <c r="T183" s="23"/>
      <c r="U183" s="44"/>
      <c r="V183" s="25"/>
      <c r="W183" s="44"/>
      <c r="X183" s="54"/>
      <c r="Y183" s="22"/>
      <c r="Z183" s="23"/>
      <c r="AA183" s="44"/>
      <c r="AB183" s="25"/>
      <c r="AC183" s="44"/>
      <c r="AD183" s="54"/>
      <c r="AE183" s="22"/>
      <c r="AF183" s="23"/>
      <c r="AG183" s="44"/>
      <c r="AH183" s="25"/>
      <c r="AI183" s="44"/>
      <c r="AJ183" s="46"/>
      <c r="AK183" s="33"/>
      <c r="AL183" s="22"/>
      <c r="AM183" s="23"/>
      <c r="AN183" s="44"/>
      <c r="AO183" s="25"/>
      <c r="AP183" s="44"/>
      <c r="AQ183" s="29"/>
      <c r="AR183" s="29"/>
      <c r="AS183" s="29"/>
      <c r="AT183" s="22"/>
      <c r="AU183" s="23"/>
      <c r="AV183" s="44"/>
      <c r="AW183" s="25"/>
      <c r="AX183" s="44"/>
      <c r="AY183" s="54"/>
      <c r="AZ183" s="22"/>
      <c r="BA183" s="23"/>
      <c r="BB183" s="44"/>
      <c r="BC183" s="25"/>
      <c r="BD183" s="44"/>
      <c r="BE183" s="54"/>
      <c r="BF183" s="22"/>
      <c r="BG183" s="23"/>
      <c r="BH183" s="44"/>
      <c r="BI183" s="25"/>
      <c r="BJ183" s="44"/>
      <c r="BK183" s="46"/>
      <c r="BL183" s="33"/>
      <c r="BM183" s="22"/>
      <c r="BN183" s="23"/>
      <c r="BO183" s="44"/>
      <c r="BP183" s="25"/>
      <c r="BQ183" s="44"/>
      <c r="BR183" s="29"/>
      <c r="BS183" s="29"/>
      <c r="BT183" s="29"/>
      <c r="BU183" s="22"/>
      <c r="BV183" s="23"/>
      <c r="BW183" s="44"/>
      <c r="BX183" s="25"/>
      <c r="BY183" s="44"/>
      <c r="BZ183" s="54"/>
      <c r="CA183" s="22"/>
      <c r="CB183" s="23"/>
      <c r="CC183" s="44"/>
      <c r="CD183" s="25"/>
      <c r="CE183" s="44"/>
      <c r="CF183" s="54"/>
      <c r="CG183" s="22"/>
      <c r="CH183" s="26"/>
      <c r="CI183" s="91"/>
      <c r="CJ183" s="26"/>
      <c r="CK183" s="91"/>
      <c r="CL183" s="26"/>
    </row>
    <row r="184">
      <c r="A184" s="26"/>
      <c r="B184" s="27"/>
      <c r="C184" s="27"/>
      <c r="D184" s="27"/>
      <c r="E184" s="26"/>
      <c r="F184" s="26"/>
      <c r="G184" s="20"/>
      <c r="H184" s="20"/>
      <c r="I184" s="23"/>
      <c r="J184" s="33"/>
      <c r="K184" s="22"/>
      <c r="L184" s="23"/>
      <c r="M184" s="44"/>
      <c r="N184" s="25"/>
      <c r="O184" s="44"/>
      <c r="P184" s="29"/>
      <c r="Q184" s="29"/>
      <c r="R184" s="29"/>
      <c r="S184" s="22"/>
      <c r="T184" s="23"/>
      <c r="U184" s="44"/>
      <c r="V184" s="25"/>
      <c r="W184" s="44"/>
      <c r="X184" s="54"/>
      <c r="Y184" s="22"/>
      <c r="Z184" s="23"/>
      <c r="AA184" s="44"/>
      <c r="AB184" s="25"/>
      <c r="AC184" s="44"/>
      <c r="AD184" s="54"/>
      <c r="AE184" s="22"/>
      <c r="AF184" s="23"/>
      <c r="AG184" s="44"/>
      <c r="AH184" s="25"/>
      <c r="AI184" s="44"/>
      <c r="AJ184" s="46"/>
      <c r="AK184" s="33"/>
      <c r="AL184" s="22"/>
      <c r="AM184" s="23"/>
      <c r="AN184" s="44"/>
      <c r="AO184" s="25"/>
      <c r="AP184" s="44"/>
      <c r="AQ184" s="29"/>
      <c r="AR184" s="29"/>
      <c r="AS184" s="29"/>
      <c r="AT184" s="22"/>
      <c r="AU184" s="23"/>
      <c r="AV184" s="44"/>
      <c r="AW184" s="25"/>
      <c r="AX184" s="44"/>
      <c r="AY184" s="54"/>
      <c r="AZ184" s="22"/>
      <c r="BA184" s="23"/>
      <c r="BB184" s="44"/>
      <c r="BC184" s="25"/>
      <c r="BD184" s="44"/>
      <c r="BE184" s="54"/>
      <c r="BF184" s="22"/>
      <c r="BG184" s="23"/>
      <c r="BH184" s="44"/>
      <c r="BI184" s="25"/>
      <c r="BJ184" s="44"/>
      <c r="BK184" s="46"/>
      <c r="BL184" s="33"/>
      <c r="BM184" s="22"/>
      <c r="BN184" s="23"/>
      <c r="BO184" s="44"/>
      <c r="BP184" s="25"/>
      <c r="BQ184" s="44"/>
      <c r="BR184" s="29"/>
      <c r="BS184" s="29"/>
      <c r="BT184" s="29"/>
      <c r="BU184" s="22"/>
      <c r="BV184" s="23"/>
      <c r="BW184" s="44"/>
      <c r="BX184" s="25"/>
      <c r="BY184" s="44"/>
      <c r="BZ184" s="54"/>
      <c r="CA184" s="22"/>
      <c r="CB184" s="23"/>
      <c r="CC184" s="44"/>
      <c r="CD184" s="25"/>
      <c r="CE184" s="44"/>
      <c r="CF184" s="54"/>
      <c r="CG184" s="22"/>
      <c r="CH184" s="26"/>
      <c r="CI184" s="91"/>
      <c r="CJ184" s="26"/>
      <c r="CK184" s="91"/>
      <c r="CL184" s="26"/>
    </row>
    <row r="185">
      <c r="A185" s="26"/>
      <c r="B185" s="27"/>
      <c r="C185" s="27"/>
      <c r="D185" s="27"/>
      <c r="E185" s="26"/>
      <c r="F185" s="26"/>
      <c r="G185" s="20"/>
      <c r="H185" s="20"/>
      <c r="I185" s="23"/>
      <c r="J185" s="33"/>
      <c r="K185" s="22"/>
      <c r="L185" s="23"/>
      <c r="M185" s="44"/>
      <c r="N185" s="25"/>
      <c r="O185" s="44"/>
      <c r="P185" s="29"/>
      <c r="Q185" s="29"/>
      <c r="R185" s="29"/>
      <c r="S185" s="22"/>
      <c r="T185" s="23"/>
      <c r="U185" s="44"/>
      <c r="V185" s="25"/>
      <c r="W185" s="44"/>
      <c r="X185" s="54"/>
      <c r="Y185" s="22"/>
      <c r="Z185" s="23"/>
      <c r="AA185" s="44"/>
      <c r="AB185" s="25"/>
      <c r="AC185" s="44"/>
      <c r="AD185" s="54"/>
      <c r="AE185" s="22"/>
      <c r="AF185" s="23"/>
      <c r="AG185" s="44"/>
      <c r="AH185" s="25"/>
      <c r="AI185" s="44"/>
      <c r="AJ185" s="46"/>
      <c r="AK185" s="33"/>
      <c r="AL185" s="22"/>
      <c r="AM185" s="23"/>
      <c r="AN185" s="44"/>
      <c r="AO185" s="25"/>
      <c r="AP185" s="44"/>
      <c r="AQ185" s="29"/>
      <c r="AR185" s="29"/>
      <c r="AS185" s="29"/>
      <c r="AT185" s="22"/>
      <c r="AU185" s="23"/>
      <c r="AV185" s="44"/>
      <c r="AW185" s="25"/>
      <c r="AX185" s="44"/>
      <c r="AY185" s="54"/>
      <c r="AZ185" s="22"/>
      <c r="BA185" s="23"/>
      <c r="BB185" s="44"/>
      <c r="BC185" s="25"/>
      <c r="BD185" s="44"/>
      <c r="BE185" s="54"/>
      <c r="BF185" s="22"/>
      <c r="BG185" s="23"/>
      <c r="BH185" s="44"/>
      <c r="BI185" s="25"/>
      <c r="BJ185" s="44"/>
      <c r="BK185" s="46"/>
      <c r="BL185" s="33"/>
      <c r="BM185" s="22"/>
      <c r="BN185" s="23"/>
      <c r="BO185" s="44"/>
      <c r="BP185" s="25"/>
      <c r="BQ185" s="44"/>
      <c r="BR185" s="29"/>
      <c r="BS185" s="29"/>
      <c r="BT185" s="29"/>
      <c r="BU185" s="22"/>
      <c r="BV185" s="23"/>
      <c r="BW185" s="44"/>
      <c r="BX185" s="25"/>
      <c r="BY185" s="44"/>
      <c r="BZ185" s="54"/>
      <c r="CA185" s="22"/>
      <c r="CB185" s="23"/>
      <c r="CC185" s="44"/>
      <c r="CD185" s="25"/>
      <c r="CE185" s="44"/>
      <c r="CF185" s="54"/>
      <c r="CG185" s="22"/>
      <c r="CH185" s="26"/>
      <c r="CI185" s="91"/>
      <c r="CJ185" s="26"/>
      <c r="CK185" s="91"/>
      <c r="CL185" s="26"/>
    </row>
    <row r="186">
      <c r="A186" s="26"/>
      <c r="B186" s="27"/>
      <c r="C186" s="27"/>
      <c r="D186" s="27"/>
      <c r="E186" s="26"/>
      <c r="F186" s="26"/>
      <c r="G186" s="20"/>
      <c r="H186" s="20"/>
      <c r="I186" s="23"/>
      <c r="J186" s="33"/>
      <c r="K186" s="22"/>
      <c r="L186" s="23"/>
      <c r="M186" s="44"/>
      <c r="N186" s="25"/>
      <c r="O186" s="44"/>
      <c r="P186" s="29"/>
      <c r="Q186" s="29"/>
      <c r="R186" s="29"/>
      <c r="S186" s="22"/>
      <c r="T186" s="23"/>
      <c r="U186" s="44"/>
      <c r="V186" s="25"/>
      <c r="W186" s="44"/>
      <c r="X186" s="54"/>
      <c r="Y186" s="22"/>
      <c r="Z186" s="23"/>
      <c r="AA186" s="44"/>
      <c r="AB186" s="25"/>
      <c r="AC186" s="44"/>
      <c r="AD186" s="54"/>
      <c r="AE186" s="22"/>
      <c r="AF186" s="23"/>
      <c r="AG186" s="44"/>
      <c r="AH186" s="25"/>
      <c r="AI186" s="44"/>
      <c r="AJ186" s="46"/>
      <c r="AK186" s="33"/>
      <c r="AL186" s="22"/>
      <c r="AM186" s="23"/>
      <c r="AN186" s="44"/>
      <c r="AO186" s="25"/>
      <c r="AP186" s="44"/>
      <c r="AQ186" s="29"/>
      <c r="AR186" s="29"/>
      <c r="AS186" s="29"/>
      <c r="AT186" s="22"/>
      <c r="AU186" s="23"/>
      <c r="AV186" s="44"/>
      <c r="AW186" s="25"/>
      <c r="AX186" s="44"/>
      <c r="AY186" s="54"/>
      <c r="AZ186" s="22"/>
      <c r="BA186" s="23"/>
      <c r="BB186" s="44"/>
      <c r="BC186" s="25"/>
      <c r="BD186" s="44"/>
      <c r="BE186" s="54"/>
      <c r="BF186" s="22"/>
      <c r="BG186" s="23"/>
      <c r="BH186" s="44"/>
      <c r="BI186" s="25"/>
      <c r="BJ186" s="44"/>
      <c r="BK186" s="46"/>
      <c r="BL186" s="33"/>
      <c r="BM186" s="22"/>
      <c r="BN186" s="23"/>
      <c r="BO186" s="44"/>
      <c r="BP186" s="25"/>
      <c r="BQ186" s="44"/>
      <c r="BR186" s="29"/>
      <c r="BS186" s="29"/>
      <c r="BT186" s="29"/>
      <c r="BU186" s="22"/>
      <c r="BV186" s="23"/>
      <c r="BW186" s="44"/>
      <c r="BX186" s="25"/>
      <c r="BY186" s="44"/>
      <c r="BZ186" s="54"/>
      <c r="CA186" s="22"/>
      <c r="CB186" s="23"/>
      <c r="CC186" s="44"/>
      <c r="CD186" s="25"/>
      <c r="CE186" s="44"/>
      <c r="CF186" s="54"/>
      <c r="CG186" s="22"/>
      <c r="CH186" s="26"/>
      <c r="CI186" s="91"/>
      <c r="CJ186" s="26"/>
      <c r="CK186" s="91"/>
      <c r="CL186" s="26"/>
    </row>
    <row r="187">
      <c r="A187" s="26"/>
      <c r="B187" s="27"/>
      <c r="C187" s="27"/>
      <c r="D187" s="27"/>
      <c r="E187" s="26"/>
      <c r="F187" s="26"/>
      <c r="G187" s="20"/>
      <c r="H187" s="20"/>
      <c r="I187" s="23"/>
      <c r="J187" s="33"/>
      <c r="K187" s="22"/>
      <c r="L187" s="23"/>
      <c r="M187" s="44"/>
      <c r="N187" s="25"/>
      <c r="O187" s="44"/>
      <c r="P187" s="29"/>
      <c r="Q187" s="29"/>
      <c r="R187" s="29"/>
      <c r="S187" s="22"/>
      <c r="T187" s="23"/>
      <c r="U187" s="44"/>
      <c r="V187" s="25"/>
      <c r="W187" s="44"/>
      <c r="X187" s="54"/>
      <c r="Y187" s="22"/>
      <c r="Z187" s="23"/>
      <c r="AA187" s="44"/>
      <c r="AB187" s="25"/>
      <c r="AC187" s="44"/>
      <c r="AD187" s="54"/>
      <c r="AE187" s="22"/>
      <c r="AF187" s="23"/>
      <c r="AG187" s="44"/>
      <c r="AH187" s="25"/>
      <c r="AI187" s="44"/>
      <c r="AJ187" s="46"/>
      <c r="AK187" s="33"/>
      <c r="AL187" s="22"/>
      <c r="AM187" s="23"/>
      <c r="AN187" s="44"/>
      <c r="AO187" s="25"/>
      <c r="AP187" s="44"/>
      <c r="AQ187" s="29"/>
      <c r="AR187" s="29"/>
      <c r="AS187" s="29"/>
      <c r="AT187" s="22"/>
      <c r="AU187" s="23"/>
      <c r="AV187" s="44"/>
      <c r="AW187" s="25"/>
      <c r="AX187" s="44"/>
      <c r="AY187" s="54"/>
      <c r="AZ187" s="22"/>
      <c r="BA187" s="23"/>
      <c r="BB187" s="44"/>
      <c r="BC187" s="25"/>
      <c r="BD187" s="44"/>
      <c r="BE187" s="54"/>
      <c r="BF187" s="22"/>
      <c r="BG187" s="23"/>
      <c r="BH187" s="44"/>
      <c r="BI187" s="25"/>
      <c r="BJ187" s="44"/>
      <c r="BK187" s="46"/>
      <c r="BL187" s="33"/>
      <c r="BM187" s="22"/>
      <c r="BN187" s="23"/>
      <c r="BO187" s="44"/>
      <c r="BP187" s="25"/>
      <c r="BQ187" s="44"/>
      <c r="BR187" s="29"/>
      <c r="BS187" s="29"/>
      <c r="BT187" s="29"/>
      <c r="BU187" s="22"/>
      <c r="BV187" s="23"/>
      <c r="BW187" s="44"/>
      <c r="BX187" s="25"/>
      <c r="BY187" s="44"/>
      <c r="BZ187" s="54"/>
      <c r="CA187" s="22"/>
      <c r="CB187" s="23"/>
      <c r="CC187" s="44"/>
      <c r="CD187" s="25"/>
      <c r="CE187" s="44"/>
      <c r="CF187" s="54"/>
      <c r="CG187" s="22"/>
      <c r="CH187" s="26"/>
      <c r="CI187" s="91"/>
      <c r="CJ187" s="26"/>
      <c r="CK187" s="91"/>
      <c r="CL187" s="26"/>
    </row>
    <row r="188">
      <c r="A188" s="26"/>
      <c r="B188" s="27"/>
      <c r="C188" s="27"/>
      <c r="D188" s="27"/>
      <c r="E188" s="26"/>
      <c r="F188" s="26"/>
      <c r="G188" s="20"/>
      <c r="H188" s="20"/>
      <c r="I188" s="23"/>
      <c r="J188" s="33"/>
      <c r="K188" s="22"/>
      <c r="L188" s="23"/>
      <c r="M188" s="44"/>
      <c r="N188" s="25"/>
      <c r="O188" s="44"/>
      <c r="P188" s="29"/>
      <c r="Q188" s="29"/>
      <c r="R188" s="29"/>
      <c r="S188" s="22"/>
      <c r="T188" s="23"/>
      <c r="U188" s="44"/>
      <c r="V188" s="25"/>
      <c r="W188" s="44"/>
      <c r="X188" s="54"/>
      <c r="Y188" s="22"/>
      <c r="Z188" s="23"/>
      <c r="AA188" s="44"/>
      <c r="AB188" s="25"/>
      <c r="AC188" s="44"/>
      <c r="AD188" s="54"/>
      <c r="AE188" s="22"/>
      <c r="AF188" s="23"/>
      <c r="AG188" s="44"/>
      <c r="AH188" s="25"/>
      <c r="AI188" s="44"/>
      <c r="AJ188" s="46"/>
      <c r="AK188" s="33"/>
      <c r="AL188" s="22"/>
      <c r="AM188" s="23"/>
      <c r="AN188" s="44"/>
      <c r="AO188" s="25"/>
      <c r="AP188" s="44"/>
      <c r="AQ188" s="29"/>
      <c r="AR188" s="29"/>
      <c r="AS188" s="29"/>
      <c r="AT188" s="22"/>
      <c r="AU188" s="23"/>
      <c r="AV188" s="44"/>
      <c r="AW188" s="25"/>
      <c r="AX188" s="44"/>
      <c r="AY188" s="54"/>
      <c r="AZ188" s="22"/>
      <c r="BA188" s="23"/>
      <c r="BB188" s="44"/>
      <c r="BC188" s="25"/>
      <c r="BD188" s="44"/>
      <c r="BE188" s="54"/>
      <c r="BF188" s="22"/>
      <c r="BG188" s="23"/>
      <c r="BH188" s="44"/>
      <c r="BI188" s="25"/>
      <c r="BJ188" s="44"/>
      <c r="BK188" s="46"/>
      <c r="BL188" s="33"/>
      <c r="BM188" s="22"/>
      <c r="BN188" s="23"/>
      <c r="BO188" s="44"/>
      <c r="BP188" s="25"/>
      <c r="BQ188" s="44"/>
      <c r="BR188" s="29"/>
      <c r="BS188" s="29"/>
      <c r="BT188" s="29"/>
      <c r="BU188" s="22"/>
      <c r="BV188" s="23"/>
      <c r="BW188" s="44"/>
      <c r="BX188" s="25"/>
      <c r="BY188" s="44"/>
      <c r="BZ188" s="54"/>
      <c r="CA188" s="22"/>
      <c r="CB188" s="23"/>
      <c r="CC188" s="44"/>
      <c r="CD188" s="25"/>
      <c r="CE188" s="44"/>
      <c r="CF188" s="54"/>
      <c r="CG188" s="22"/>
      <c r="CH188" s="26"/>
      <c r="CI188" s="91"/>
      <c r="CJ188" s="26"/>
      <c r="CK188" s="91"/>
      <c r="CL188" s="26"/>
    </row>
    <row r="189">
      <c r="A189" s="26"/>
      <c r="B189" s="27"/>
      <c r="C189" s="27"/>
      <c r="D189" s="27"/>
      <c r="E189" s="26"/>
      <c r="F189" s="26"/>
      <c r="G189" s="20"/>
      <c r="H189" s="20"/>
      <c r="I189" s="23"/>
      <c r="J189" s="33"/>
      <c r="K189" s="22"/>
      <c r="L189" s="23"/>
      <c r="M189" s="44"/>
      <c r="N189" s="25"/>
      <c r="O189" s="44"/>
      <c r="P189" s="29"/>
      <c r="Q189" s="29"/>
      <c r="R189" s="29"/>
      <c r="S189" s="22"/>
      <c r="T189" s="23"/>
      <c r="U189" s="44"/>
      <c r="V189" s="25"/>
      <c r="W189" s="44"/>
      <c r="X189" s="54"/>
      <c r="Y189" s="22"/>
      <c r="Z189" s="23"/>
      <c r="AA189" s="44"/>
      <c r="AB189" s="25"/>
      <c r="AC189" s="44"/>
      <c r="AD189" s="54"/>
      <c r="AE189" s="22"/>
      <c r="AF189" s="23"/>
      <c r="AG189" s="44"/>
      <c r="AH189" s="25"/>
      <c r="AI189" s="44"/>
      <c r="AJ189" s="46"/>
      <c r="AK189" s="33"/>
      <c r="AL189" s="22"/>
      <c r="AM189" s="23"/>
      <c r="AN189" s="44"/>
      <c r="AO189" s="25"/>
      <c r="AP189" s="44"/>
      <c r="AQ189" s="29"/>
      <c r="AR189" s="29"/>
      <c r="AS189" s="29"/>
      <c r="AT189" s="22"/>
      <c r="AU189" s="23"/>
      <c r="AV189" s="44"/>
      <c r="AW189" s="25"/>
      <c r="AX189" s="44"/>
      <c r="AY189" s="54"/>
      <c r="AZ189" s="22"/>
      <c r="BA189" s="23"/>
      <c r="BB189" s="44"/>
      <c r="BC189" s="25"/>
      <c r="BD189" s="44"/>
      <c r="BE189" s="54"/>
      <c r="BF189" s="22"/>
      <c r="BG189" s="23"/>
      <c r="BH189" s="44"/>
      <c r="BI189" s="25"/>
      <c r="BJ189" s="44"/>
      <c r="BK189" s="46"/>
      <c r="BL189" s="33"/>
      <c r="BM189" s="22"/>
      <c r="BN189" s="23"/>
      <c r="BO189" s="44"/>
      <c r="BP189" s="25"/>
      <c r="BQ189" s="44"/>
      <c r="BR189" s="29"/>
      <c r="BS189" s="29"/>
      <c r="BT189" s="29"/>
      <c r="BU189" s="22"/>
      <c r="BV189" s="23"/>
      <c r="BW189" s="44"/>
      <c r="BX189" s="25"/>
      <c r="BY189" s="44"/>
      <c r="BZ189" s="54"/>
      <c r="CA189" s="22"/>
      <c r="CB189" s="23"/>
      <c r="CC189" s="44"/>
      <c r="CD189" s="25"/>
      <c r="CE189" s="44"/>
      <c r="CF189" s="54"/>
      <c r="CG189" s="22"/>
      <c r="CH189" s="26"/>
      <c r="CI189" s="91"/>
      <c r="CJ189" s="26"/>
      <c r="CK189" s="91"/>
      <c r="CL189" s="26"/>
    </row>
    <row r="190">
      <c r="A190" s="26"/>
      <c r="B190" s="27"/>
      <c r="C190" s="27"/>
      <c r="D190" s="27"/>
      <c r="E190" s="26"/>
      <c r="F190" s="26"/>
      <c r="G190" s="20"/>
      <c r="H190" s="20"/>
      <c r="I190" s="23"/>
      <c r="J190" s="33"/>
      <c r="K190" s="22"/>
      <c r="L190" s="23"/>
      <c r="M190" s="44"/>
      <c r="N190" s="25"/>
      <c r="O190" s="44"/>
      <c r="P190" s="29"/>
      <c r="Q190" s="29"/>
      <c r="R190" s="29"/>
      <c r="S190" s="22"/>
      <c r="T190" s="23"/>
      <c r="U190" s="44"/>
      <c r="V190" s="25"/>
      <c r="W190" s="44"/>
      <c r="X190" s="54"/>
      <c r="Y190" s="22"/>
      <c r="Z190" s="23"/>
      <c r="AA190" s="44"/>
      <c r="AB190" s="25"/>
      <c r="AC190" s="44"/>
      <c r="AD190" s="54"/>
      <c r="AE190" s="22"/>
      <c r="AF190" s="23"/>
      <c r="AG190" s="44"/>
      <c r="AH190" s="25"/>
      <c r="AI190" s="44"/>
      <c r="AJ190" s="46"/>
      <c r="AK190" s="33"/>
      <c r="AL190" s="22"/>
      <c r="AM190" s="23"/>
      <c r="AN190" s="44"/>
      <c r="AO190" s="25"/>
      <c r="AP190" s="44"/>
      <c r="AQ190" s="29"/>
      <c r="AR190" s="29"/>
      <c r="AS190" s="29"/>
      <c r="AT190" s="22"/>
      <c r="AU190" s="23"/>
      <c r="AV190" s="44"/>
      <c r="AW190" s="25"/>
      <c r="AX190" s="44"/>
      <c r="AY190" s="54"/>
      <c r="AZ190" s="22"/>
      <c r="BA190" s="23"/>
      <c r="BB190" s="44"/>
      <c r="BC190" s="25"/>
      <c r="BD190" s="44"/>
      <c r="BE190" s="54"/>
      <c r="BF190" s="22"/>
      <c r="BG190" s="23"/>
      <c r="BH190" s="44"/>
      <c r="BI190" s="25"/>
      <c r="BJ190" s="44"/>
      <c r="BK190" s="46"/>
      <c r="BL190" s="33"/>
      <c r="BM190" s="22"/>
      <c r="BN190" s="23"/>
      <c r="BO190" s="44"/>
      <c r="BP190" s="25"/>
      <c r="BQ190" s="44"/>
      <c r="BR190" s="29"/>
      <c r="BS190" s="29"/>
      <c r="BT190" s="29"/>
      <c r="BU190" s="22"/>
      <c r="BV190" s="23"/>
      <c r="BW190" s="44"/>
      <c r="BX190" s="25"/>
      <c r="BY190" s="44"/>
      <c r="BZ190" s="54"/>
      <c r="CA190" s="22"/>
      <c r="CB190" s="23"/>
      <c r="CC190" s="44"/>
      <c r="CD190" s="25"/>
      <c r="CE190" s="44"/>
      <c r="CF190" s="54"/>
      <c r="CG190" s="22"/>
      <c r="CH190" s="26"/>
      <c r="CI190" s="91"/>
      <c r="CJ190" s="26"/>
      <c r="CK190" s="91"/>
      <c r="CL190" s="26"/>
    </row>
    <row r="191">
      <c r="A191" s="26"/>
      <c r="B191" s="27"/>
      <c r="C191" s="27"/>
      <c r="D191" s="27"/>
      <c r="E191" s="26"/>
      <c r="F191" s="26"/>
      <c r="G191" s="20"/>
      <c r="H191" s="20"/>
      <c r="I191" s="23"/>
      <c r="J191" s="33"/>
      <c r="K191" s="22"/>
      <c r="L191" s="23"/>
      <c r="M191" s="44"/>
      <c r="N191" s="25"/>
      <c r="O191" s="44"/>
      <c r="P191" s="29"/>
      <c r="Q191" s="29"/>
      <c r="R191" s="29"/>
      <c r="S191" s="22"/>
      <c r="T191" s="23"/>
      <c r="U191" s="44"/>
      <c r="V191" s="25"/>
      <c r="W191" s="44"/>
      <c r="X191" s="54"/>
      <c r="Y191" s="22"/>
      <c r="Z191" s="23"/>
      <c r="AA191" s="44"/>
      <c r="AB191" s="25"/>
      <c r="AC191" s="44"/>
      <c r="AD191" s="54"/>
      <c r="AE191" s="22"/>
      <c r="AF191" s="23"/>
      <c r="AG191" s="44"/>
      <c r="AH191" s="25"/>
      <c r="AI191" s="44"/>
      <c r="AJ191" s="46"/>
      <c r="AK191" s="33"/>
      <c r="AL191" s="22"/>
      <c r="AM191" s="23"/>
      <c r="AN191" s="44"/>
      <c r="AO191" s="25"/>
      <c r="AP191" s="44"/>
      <c r="AQ191" s="29"/>
      <c r="AR191" s="29"/>
      <c r="AS191" s="29"/>
      <c r="AT191" s="22"/>
      <c r="AU191" s="23"/>
      <c r="AV191" s="44"/>
      <c r="AW191" s="25"/>
      <c r="AX191" s="44"/>
      <c r="AY191" s="54"/>
      <c r="AZ191" s="22"/>
      <c r="BA191" s="23"/>
      <c r="BB191" s="44"/>
      <c r="BC191" s="25"/>
      <c r="BD191" s="44"/>
      <c r="BE191" s="54"/>
      <c r="BF191" s="22"/>
      <c r="BG191" s="23"/>
      <c r="BH191" s="44"/>
      <c r="BI191" s="25"/>
      <c r="BJ191" s="44"/>
      <c r="BK191" s="46"/>
      <c r="BL191" s="33"/>
      <c r="BM191" s="22"/>
      <c r="BN191" s="23"/>
      <c r="BO191" s="44"/>
      <c r="BP191" s="25"/>
      <c r="BQ191" s="44"/>
      <c r="BR191" s="29"/>
      <c r="BS191" s="29"/>
      <c r="BT191" s="29"/>
      <c r="BU191" s="22"/>
      <c r="BV191" s="23"/>
      <c r="BW191" s="44"/>
      <c r="BX191" s="25"/>
      <c r="BY191" s="44"/>
      <c r="BZ191" s="54"/>
      <c r="CA191" s="22"/>
      <c r="CB191" s="23"/>
      <c r="CC191" s="44"/>
      <c r="CD191" s="25"/>
      <c r="CE191" s="44"/>
      <c r="CF191" s="54"/>
      <c r="CG191" s="22"/>
      <c r="CH191" s="26"/>
      <c r="CI191" s="91"/>
      <c r="CJ191" s="26"/>
      <c r="CK191" s="91"/>
      <c r="CL191" s="26"/>
    </row>
    <row r="192">
      <c r="A192" s="26"/>
      <c r="B192" s="27"/>
      <c r="C192" s="27"/>
      <c r="D192" s="27"/>
      <c r="E192" s="26"/>
      <c r="F192" s="26"/>
      <c r="G192" s="20"/>
      <c r="H192" s="20"/>
      <c r="I192" s="23"/>
      <c r="J192" s="33"/>
      <c r="K192" s="22"/>
      <c r="L192" s="23"/>
      <c r="M192" s="44"/>
      <c r="N192" s="25"/>
      <c r="O192" s="44"/>
      <c r="P192" s="29"/>
      <c r="Q192" s="29"/>
      <c r="R192" s="29"/>
      <c r="S192" s="22"/>
      <c r="T192" s="23"/>
      <c r="U192" s="44"/>
      <c r="V192" s="25"/>
      <c r="W192" s="44"/>
      <c r="X192" s="54"/>
      <c r="Y192" s="22"/>
      <c r="Z192" s="23"/>
      <c r="AA192" s="44"/>
      <c r="AB192" s="25"/>
      <c r="AC192" s="44"/>
      <c r="AD192" s="54"/>
      <c r="AE192" s="22"/>
      <c r="AF192" s="23"/>
      <c r="AG192" s="44"/>
      <c r="AH192" s="25"/>
      <c r="AI192" s="44"/>
      <c r="AJ192" s="46"/>
      <c r="AK192" s="33"/>
      <c r="AL192" s="22"/>
      <c r="AM192" s="23"/>
      <c r="AN192" s="44"/>
      <c r="AO192" s="25"/>
      <c r="AP192" s="44"/>
      <c r="AQ192" s="29"/>
      <c r="AR192" s="29"/>
      <c r="AS192" s="29"/>
      <c r="AT192" s="22"/>
      <c r="AU192" s="23"/>
      <c r="AV192" s="44"/>
      <c r="AW192" s="25"/>
      <c r="AX192" s="44"/>
      <c r="AY192" s="54"/>
      <c r="AZ192" s="22"/>
      <c r="BA192" s="23"/>
      <c r="BB192" s="44"/>
      <c r="BC192" s="25"/>
      <c r="BD192" s="44"/>
      <c r="BE192" s="54"/>
      <c r="BF192" s="22"/>
      <c r="BG192" s="23"/>
      <c r="BH192" s="44"/>
      <c r="BI192" s="25"/>
      <c r="BJ192" s="44"/>
      <c r="BK192" s="46"/>
      <c r="BL192" s="33"/>
      <c r="BM192" s="22"/>
      <c r="BN192" s="23"/>
      <c r="BO192" s="44"/>
      <c r="BP192" s="25"/>
      <c r="BQ192" s="44"/>
      <c r="BR192" s="29"/>
      <c r="BS192" s="29"/>
      <c r="BT192" s="29"/>
      <c r="BU192" s="22"/>
      <c r="BV192" s="23"/>
      <c r="BW192" s="44"/>
      <c r="BX192" s="25"/>
      <c r="BY192" s="44"/>
      <c r="BZ192" s="54"/>
      <c r="CA192" s="22"/>
      <c r="CB192" s="23"/>
      <c r="CC192" s="44"/>
      <c r="CD192" s="25"/>
      <c r="CE192" s="44"/>
      <c r="CF192" s="54"/>
      <c r="CG192" s="22"/>
      <c r="CH192" s="26"/>
      <c r="CI192" s="91"/>
      <c r="CJ192" s="26"/>
      <c r="CK192" s="91"/>
      <c r="CL192" s="26"/>
    </row>
    <row r="193">
      <c r="A193" s="26"/>
      <c r="B193" s="27"/>
      <c r="C193" s="27"/>
      <c r="D193" s="27"/>
      <c r="E193" s="26"/>
      <c r="F193" s="26"/>
      <c r="G193" s="20"/>
      <c r="H193" s="20"/>
      <c r="I193" s="23"/>
      <c r="J193" s="33"/>
      <c r="K193" s="22"/>
      <c r="L193" s="23"/>
      <c r="M193" s="44"/>
      <c r="N193" s="25"/>
      <c r="O193" s="44"/>
      <c r="P193" s="29"/>
      <c r="Q193" s="29"/>
      <c r="R193" s="29"/>
      <c r="S193" s="22"/>
      <c r="T193" s="23"/>
      <c r="U193" s="44"/>
      <c r="V193" s="25"/>
      <c r="W193" s="44"/>
      <c r="X193" s="54"/>
      <c r="Y193" s="22"/>
      <c r="Z193" s="23"/>
      <c r="AA193" s="44"/>
      <c r="AB193" s="25"/>
      <c r="AC193" s="44"/>
      <c r="AD193" s="54"/>
      <c r="AE193" s="22"/>
      <c r="AF193" s="23"/>
      <c r="AG193" s="44"/>
      <c r="AH193" s="25"/>
      <c r="AI193" s="44"/>
      <c r="AJ193" s="46"/>
      <c r="AK193" s="33"/>
      <c r="AL193" s="22"/>
      <c r="AM193" s="23"/>
      <c r="AN193" s="44"/>
      <c r="AO193" s="25"/>
      <c r="AP193" s="44"/>
      <c r="AQ193" s="29"/>
      <c r="AR193" s="29"/>
      <c r="AS193" s="29"/>
      <c r="AT193" s="22"/>
      <c r="AU193" s="23"/>
      <c r="AV193" s="44"/>
      <c r="AW193" s="25"/>
      <c r="AX193" s="44"/>
      <c r="AY193" s="54"/>
      <c r="AZ193" s="22"/>
      <c r="BA193" s="23"/>
      <c r="BB193" s="44"/>
      <c r="BC193" s="25"/>
      <c r="BD193" s="44"/>
      <c r="BE193" s="54"/>
      <c r="BF193" s="22"/>
      <c r="BG193" s="23"/>
      <c r="BH193" s="44"/>
      <c r="BI193" s="25"/>
      <c r="BJ193" s="44"/>
      <c r="BK193" s="46"/>
      <c r="BL193" s="33"/>
      <c r="BM193" s="22"/>
      <c r="BN193" s="23"/>
      <c r="BO193" s="44"/>
      <c r="BP193" s="25"/>
      <c r="BQ193" s="44"/>
      <c r="BR193" s="29"/>
      <c r="BS193" s="29"/>
      <c r="BT193" s="29"/>
      <c r="BU193" s="22"/>
      <c r="BV193" s="23"/>
      <c r="BW193" s="44"/>
      <c r="BX193" s="25"/>
      <c r="BY193" s="44"/>
      <c r="BZ193" s="54"/>
      <c r="CA193" s="22"/>
      <c r="CB193" s="23"/>
      <c r="CC193" s="44"/>
      <c r="CD193" s="25"/>
      <c r="CE193" s="44"/>
      <c r="CF193" s="54"/>
      <c r="CG193" s="22"/>
      <c r="CH193" s="26"/>
      <c r="CI193" s="91"/>
      <c r="CJ193" s="26"/>
      <c r="CK193" s="91"/>
      <c r="CL193" s="26"/>
    </row>
    <row r="194">
      <c r="A194" s="26"/>
      <c r="B194" s="27"/>
      <c r="C194" s="27"/>
      <c r="D194" s="27"/>
      <c r="E194" s="26"/>
      <c r="F194" s="26"/>
      <c r="G194" s="20"/>
      <c r="H194" s="20"/>
      <c r="I194" s="23"/>
      <c r="J194" s="33"/>
      <c r="K194" s="22"/>
      <c r="L194" s="23"/>
      <c r="M194" s="44"/>
      <c r="N194" s="25"/>
      <c r="O194" s="44"/>
      <c r="P194" s="29"/>
      <c r="Q194" s="29"/>
      <c r="R194" s="29"/>
      <c r="S194" s="22"/>
      <c r="T194" s="23"/>
      <c r="U194" s="44"/>
      <c r="V194" s="25"/>
      <c r="W194" s="44"/>
      <c r="X194" s="54"/>
      <c r="Y194" s="22"/>
      <c r="Z194" s="23"/>
      <c r="AA194" s="44"/>
      <c r="AB194" s="25"/>
      <c r="AC194" s="44"/>
      <c r="AD194" s="54"/>
      <c r="AE194" s="22"/>
      <c r="AF194" s="23"/>
      <c r="AG194" s="44"/>
      <c r="AH194" s="25"/>
      <c r="AI194" s="44"/>
      <c r="AJ194" s="46"/>
      <c r="AK194" s="33"/>
      <c r="AL194" s="22"/>
      <c r="AM194" s="23"/>
      <c r="AN194" s="44"/>
      <c r="AO194" s="25"/>
      <c r="AP194" s="44"/>
      <c r="AQ194" s="29"/>
      <c r="AR194" s="29"/>
      <c r="AS194" s="29"/>
      <c r="AT194" s="22"/>
      <c r="AU194" s="23"/>
      <c r="AV194" s="44"/>
      <c r="AW194" s="25"/>
      <c r="AX194" s="44"/>
      <c r="AY194" s="54"/>
      <c r="AZ194" s="22"/>
      <c r="BA194" s="23"/>
      <c r="BB194" s="44"/>
      <c r="BC194" s="25"/>
      <c r="BD194" s="44"/>
      <c r="BE194" s="54"/>
      <c r="BF194" s="22"/>
      <c r="BG194" s="23"/>
      <c r="BH194" s="44"/>
      <c r="BI194" s="25"/>
      <c r="BJ194" s="44"/>
      <c r="BK194" s="46"/>
      <c r="BL194" s="33"/>
      <c r="BM194" s="22"/>
      <c r="BN194" s="23"/>
      <c r="BO194" s="44"/>
      <c r="BP194" s="25"/>
      <c r="BQ194" s="44"/>
      <c r="BR194" s="29"/>
      <c r="BS194" s="29"/>
      <c r="BT194" s="29"/>
      <c r="BU194" s="22"/>
      <c r="BV194" s="23"/>
      <c r="BW194" s="44"/>
      <c r="BX194" s="25"/>
      <c r="BY194" s="44"/>
      <c r="BZ194" s="54"/>
      <c r="CA194" s="22"/>
      <c r="CB194" s="23"/>
      <c r="CC194" s="44"/>
      <c r="CD194" s="25"/>
      <c r="CE194" s="44"/>
      <c r="CF194" s="54"/>
      <c r="CG194" s="22"/>
      <c r="CH194" s="26"/>
      <c r="CI194" s="91"/>
      <c r="CJ194" s="26"/>
      <c r="CK194" s="91"/>
      <c r="CL194" s="26"/>
    </row>
    <row r="195">
      <c r="A195" s="26"/>
      <c r="B195" s="27"/>
      <c r="C195" s="27"/>
      <c r="D195" s="27"/>
      <c r="E195" s="26"/>
      <c r="F195" s="26"/>
      <c r="G195" s="20"/>
      <c r="H195" s="20"/>
      <c r="I195" s="23"/>
      <c r="J195" s="33"/>
      <c r="K195" s="22"/>
      <c r="L195" s="23"/>
      <c r="M195" s="44"/>
      <c r="N195" s="25"/>
      <c r="O195" s="44"/>
      <c r="P195" s="29"/>
      <c r="Q195" s="29"/>
      <c r="R195" s="29"/>
      <c r="S195" s="22"/>
      <c r="T195" s="23"/>
      <c r="U195" s="44"/>
      <c r="V195" s="25"/>
      <c r="W195" s="44"/>
      <c r="X195" s="54"/>
      <c r="Y195" s="22"/>
      <c r="Z195" s="23"/>
      <c r="AA195" s="44"/>
      <c r="AB195" s="25"/>
      <c r="AC195" s="44"/>
      <c r="AD195" s="54"/>
      <c r="AE195" s="22"/>
      <c r="AF195" s="23"/>
      <c r="AG195" s="44"/>
      <c r="AH195" s="25"/>
      <c r="AI195" s="44"/>
      <c r="AJ195" s="46"/>
      <c r="AK195" s="33"/>
      <c r="AL195" s="22"/>
      <c r="AM195" s="23"/>
      <c r="AN195" s="44"/>
      <c r="AO195" s="25"/>
      <c r="AP195" s="44"/>
      <c r="AQ195" s="29"/>
      <c r="AR195" s="29"/>
      <c r="AS195" s="29"/>
      <c r="AT195" s="22"/>
      <c r="AU195" s="23"/>
      <c r="AV195" s="44"/>
      <c r="AW195" s="25"/>
      <c r="AX195" s="44"/>
      <c r="AY195" s="54"/>
      <c r="AZ195" s="22"/>
      <c r="BA195" s="23"/>
      <c r="BB195" s="44"/>
      <c r="BC195" s="25"/>
      <c r="BD195" s="44"/>
      <c r="BE195" s="54"/>
      <c r="BF195" s="22"/>
      <c r="BG195" s="23"/>
      <c r="BH195" s="44"/>
      <c r="BI195" s="25"/>
      <c r="BJ195" s="44"/>
      <c r="BK195" s="46"/>
      <c r="BL195" s="33"/>
      <c r="BM195" s="22"/>
      <c r="BN195" s="23"/>
      <c r="BO195" s="44"/>
      <c r="BP195" s="25"/>
      <c r="BQ195" s="44"/>
      <c r="BR195" s="29"/>
      <c r="BS195" s="29"/>
      <c r="BT195" s="29"/>
      <c r="BU195" s="22"/>
      <c r="BV195" s="23"/>
      <c r="BW195" s="44"/>
      <c r="BX195" s="25"/>
      <c r="BY195" s="44"/>
      <c r="BZ195" s="54"/>
      <c r="CA195" s="22"/>
      <c r="CB195" s="23"/>
      <c r="CC195" s="44"/>
      <c r="CD195" s="25"/>
      <c r="CE195" s="44"/>
      <c r="CF195" s="54"/>
      <c r="CG195" s="22"/>
      <c r="CH195" s="26"/>
      <c r="CI195" s="91"/>
      <c r="CJ195" s="26"/>
      <c r="CK195" s="91"/>
      <c r="CL195" s="26"/>
    </row>
    <row r="196">
      <c r="A196" s="26"/>
      <c r="B196" s="27"/>
      <c r="C196" s="27"/>
      <c r="D196" s="27"/>
      <c r="E196" s="26"/>
      <c r="F196" s="26"/>
      <c r="G196" s="20"/>
      <c r="H196" s="20"/>
      <c r="I196" s="23"/>
      <c r="J196" s="33"/>
      <c r="K196" s="22"/>
      <c r="L196" s="23"/>
      <c r="M196" s="44"/>
      <c r="N196" s="25"/>
      <c r="O196" s="44"/>
      <c r="P196" s="29"/>
      <c r="Q196" s="29"/>
      <c r="R196" s="29"/>
      <c r="S196" s="22"/>
      <c r="T196" s="23"/>
      <c r="U196" s="44"/>
      <c r="V196" s="25"/>
      <c r="W196" s="44"/>
      <c r="X196" s="54"/>
      <c r="Y196" s="22"/>
      <c r="Z196" s="23"/>
      <c r="AA196" s="44"/>
      <c r="AB196" s="25"/>
      <c r="AC196" s="44"/>
      <c r="AD196" s="54"/>
      <c r="AE196" s="22"/>
      <c r="AF196" s="23"/>
      <c r="AG196" s="44"/>
      <c r="AH196" s="25"/>
      <c r="AI196" s="44"/>
      <c r="AJ196" s="46"/>
      <c r="AK196" s="33"/>
      <c r="AL196" s="22"/>
      <c r="AM196" s="23"/>
      <c r="AN196" s="44"/>
      <c r="AO196" s="25"/>
      <c r="AP196" s="44"/>
      <c r="AQ196" s="29"/>
      <c r="AR196" s="29"/>
      <c r="AS196" s="29"/>
      <c r="AT196" s="22"/>
      <c r="AU196" s="23"/>
      <c r="AV196" s="44"/>
      <c r="AW196" s="25"/>
      <c r="AX196" s="44"/>
      <c r="AY196" s="54"/>
      <c r="AZ196" s="22"/>
      <c r="BA196" s="23"/>
      <c r="BB196" s="44"/>
      <c r="BC196" s="25"/>
      <c r="BD196" s="44"/>
      <c r="BE196" s="54"/>
      <c r="BF196" s="22"/>
      <c r="BG196" s="23"/>
      <c r="BH196" s="44"/>
      <c r="BI196" s="25"/>
      <c r="BJ196" s="44"/>
      <c r="BK196" s="46"/>
      <c r="BL196" s="33"/>
      <c r="BM196" s="22"/>
      <c r="BN196" s="23"/>
      <c r="BO196" s="44"/>
      <c r="BP196" s="25"/>
      <c r="BQ196" s="44"/>
      <c r="BR196" s="29"/>
      <c r="BS196" s="29"/>
      <c r="BT196" s="29"/>
      <c r="BU196" s="22"/>
      <c r="BV196" s="23"/>
      <c r="BW196" s="44"/>
      <c r="BX196" s="25"/>
      <c r="BY196" s="44"/>
      <c r="BZ196" s="54"/>
      <c r="CA196" s="22"/>
      <c r="CB196" s="23"/>
      <c r="CC196" s="44"/>
      <c r="CD196" s="25"/>
      <c r="CE196" s="44"/>
      <c r="CF196" s="54"/>
      <c r="CG196" s="22"/>
      <c r="CH196" s="26"/>
      <c r="CI196" s="91"/>
      <c r="CJ196" s="26"/>
      <c r="CK196" s="91"/>
      <c r="CL196" s="26"/>
    </row>
    <row r="197">
      <c r="A197" s="26"/>
      <c r="B197" s="27"/>
      <c r="C197" s="27"/>
      <c r="D197" s="27"/>
      <c r="E197" s="26"/>
      <c r="F197" s="26"/>
      <c r="G197" s="20"/>
      <c r="H197" s="20"/>
      <c r="I197" s="23"/>
      <c r="J197" s="33"/>
      <c r="K197" s="22"/>
      <c r="L197" s="23"/>
      <c r="M197" s="44"/>
      <c r="N197" s="25"/>
      <c r="O197" s="44"/>
      <c r="P197" s="29"/>
      <c r="Q197" s="29"/>
      <c r="R197" s="29"/>
      <c r="S197" s="22"/>
      <c r="T197" s="23"/>
      <c r="U197" s="44"/>
      <c r="V197" s="25"/>
      <c r="W197" s="44"/>
      <c r="X197" s="54"/>
      <c r="Y197" s="22"/>
      <c r="Z197" s="23"/>
      <c r="AA197" s="44"/>
      <c r="AB197" s="25"/>
      <c r="AC197" s="44"/>
      <c r="AD197" s="54"/>
      <c r="AE197" s="22"/>
      <c r="AF197" s="23"/>
      <c r="AG197" s="44"/>
      <c r="AH197" s="25"/>
      <c r="AI197" s="44"/>
      <c r="AJ197" s="46"/>
      <c r="AK197" s="33"/>
      <c r="AL197" s="22"/>
      <c r="AM197" s="23"/>
      <c r="AN197" s="44"/>
      <c r="AO197" s="25"/>
      <c r="AP197" s="44"/>
      <c r="AQ197" s="29"/>
      <c r="AR197" s="29"/>
      <c r="AS197" s="29"/>
      <c r="AT197" s="22"/>
      <c r="AU197" s="23"/>
      <c r="AV197" s="44"/>
      <c r="AW197" s="25"/>
      <c r="AX197" s="44"/>
      <c r="AY197" s="54"/>
      <c r="AZ197" s="22"/>
      <c r="BA197" s="23"/>
      <c r="BB197" s="44"/>
      <c r="BC197" s="25"/>
      <c r="BD197" s="44"/>
      <c r="BE197" s="54"/>
      <c r="BF197" s="22"/>
      <c r="BG197" s="23"/>
      <c r="BH197" s="44"/>
      <c r="BI197" s="25"/>
      <c r="BJ197" s="44"/>
      <c r="BK197" s="46"/>
      <c r="BL197" s="33"/>
      <c r="BM197" s="22"/>
      <c r="BN197" s="23"/>
      <c r="BO197" s="44"/>
      <c r="BP197" s="25"/>
      <c r="BQ197" s="44"/>
      <c r="BR197" s="29"/>
      <c r="BS197" s="29"/>
      <c r="BT197" s="29"/>
      <c r="BU197" s="22"/>
      <c r="BV197" s="23"/>
      <c r="BW197" s="44"/>
      <c r="BX197" s="25"/>
      <c r="BY197" s="44"/>
      <c r="BZ197" s="54"/>
      <c r="CA197" s="22"/>
      <c r="CB197" s="23"/>
      <c r="CC197" s="44"/>
      <c r="CD197" s="25"/>
      <c r="CE197" s="44"/>
      <c r="CF197" s="54"/>
      <c r="CG197" s="22"/>
      <c r="CH197" s="26"/>
      <c r="CI197" s="91"/>
      <c r="CJ197" s="26"/>
      <c r="CK197" s="91"/>
      <c r="CL197" s="26"/>
    </row>
    <row r="198">
      <c r="A198" s="26"/>
      <c r="B198" s="27"/>
      <c r="C198" s="27"/>
      <c r="D198" s="27"/>
      <c r="E198" s="26"/>
      <c r="F198" s="26"/>
      <c r="G198" s="20"/>
      <c r="H198" s="20"/>
      <c r="I198" s="23"/>
      <c r="J198" s="33"/>
      <c r="K198" s="22"/>
      <c r="L198" s="23"/>
      <c r="M198" s="44"/>
      <c r="N198" s="25"/>
      <c r="O198" s="44"/>
      <c r="P198" s="29"/>
      <c r="Q198" s="29"/>
      <c r="R198" s="29"/>
      <c r="S198" s="22"/>
      <c r="T198" s="23"/>
      <c r="U198" s="44"/>
      <c r="V198" s="25"/>
      <c r="W198" s="44"/>
      <c r="X198" s="54"/>
      <c r="Y198" s="22"/>
      <c r="Z198" s="23"/>
      <c r="AA198" s="44"/>
      <c r="AB198" s="25"/>
      <c r="AC198" s="44"/>
      <c r="AD198" s="54"/>
      <c r="AE198" s="22"/>
      <c r="AF198" s="23"/>
      <c r="AG198" s="44"/>
      <c r="AH198" s="25"/>
      <c r="AI198" s="44"/>
      <c r="AJ198" s="46"/>
      <c r="AK198" s="33"/>
      <c r="AL198" s="22"/>
      <c r="AM198" s="23"/>
      <c r="AN198" s="44"/>
      <c r="AO198" s="25"/>
      <c r="AP198" s="44"/>
      <c r="AQ198" s="29"/>
      <c r="AR198" s="29"/>
      <c r="AS198" s="29"/>
      <c r="AT198" s="22"/>
      <c r="AU198" s="23"/>
      <c r="AV198" s="44"/>
      <c r="AW198" s="25"/>
      <c r="AX198" s="44"/>
      <c r="AY198" s="54"/>
      <c r="AZ198" s="22"/>
      <c r="BA198" s="23"/>
      <c r="BB198" s="44"/>
      <c r="BC198" s="25"/>
      <c r="BD198" s="44"/>
      <c r="BE198" s="54"/>
      <c r="BF198" s="22"/>
      <c r="BG198" s="23"/>
      <c r="BH198" s="44"/>
      <c r="BI198" s="25"/>
      <c r="BJ198" s="44"/>
      <c r="BK198" s="46"/>
      <c r="BL198" s="33"/>
      <c r="BM198" s="22"/>
      <c r="BN198" s="23"/>
      <c r="BO198" s="44"/>
      <c r="BP198" s="25"/>
      <c r="BQ198" s="44"/>
      <c r="BR198" s="29"/>
      <c r="BS198" s="29"/>
      <c r="BT198" s="29"/>
      <c r="BU198" s="22"/>
      <c r="BV198" s="23"/>
      <c r="BW198" s="44"/>
      <c r="BX198" s="25"/>
      <c r="BY198" s="44"/>
      <c r="BZ198" s="54"/>
      <c r="CA198" s="22"/>
      <c r="CB198" s="23"/>
      <c r="CC198" s="44"/>
      <c r="CD198" s="25"/>
      <c r="CE198" s="44"/>
      <c r="CF198" s="54"/>
      <c r="CG198" s="22"/>
      <c r="CH198" s="26"/>
      <c r="CI198" s="91"/>
      <c r="CJ198" s="26"/>
      <c r="CK198" s="91"/>
      <c r="CL198" s="26"/>
    </row>
    <row r="199">
      <c r="A199" s="26"/>
      <c r="B199" s="27"/>
      <c r="C199" s="27"/>
      <c r="D199" s="27"/>
      <c r="E199" s="26"/>
      <c r="F199" s="26"/>
      <c r="G199" s="20"/>
      <c r="H199" s="20"/>
      <c r="I199" s="23"/>
      <c r="J199" s="33"/>
      <c r="K199" s="22"/>
      <c r="L199" s="23"/>
      <c r="M199" s="44"/>
      <c r="N199" s="25"/>
      <c r="O199" s="44"/>
      <c r="P199" s="29"/>
      <c r="Q199" s="29"/>
      <c r="R199" s="29"/>
      <c r="S199" s="22"/>
      <c r="T199" s="23"/>
      <c r="U199" s="44"/>
      <c r="V199" s="25"/>
      <c r="W199" s="44"/>
      <c r="X199" s="54"/>
      <c r="Y199" s="22"/>
      <c r="Z199" s="23"/>
      <c r="AA199" s="44"/>
      <c r="AB199" s="25"/>
      <c r="AC199" s="44"/>
      <c r="AD199" s="54"/>
      <c r="AE199" s="22"/>
      <c r="AF199" s="23"/>
      <c r="AG199" s="44"/>
      <c r="AH199" s="25"/>
      <c r="AI199" s="44"/>
      <c r="AJ199" s="46"/>
      <c r="AK199" s="33"/>
      <c r="AL199" s="22"/>
      <c r="AM199" s="23"/>
      <c r="AN199" s="44"/>
      <c r="AO199" s="25"/>
      <c r="AP199" s="44"/>
      <c r="AQ199" s="29"/>
      <c r="AR199" s="29"/>
      <c r="AS199" s="29"/>
      <c r="AT199" s="22"/>
      <c r="AU199" s="23"/>
      <c r="AV199" s="44"/>
      <c r="AW199" s="25"/>
      <c r="AX199" s="44"/>
      <c r="AY199" s="54"/>
      <c r="AZ199" s="22"/>
      <c r="BA199" s="23"/>
      <c r="BB199" s="44"/>
      <c r="BC199" s="25"/>
      <c r="BD199" s="44"/>
      <c r="BE199" s="54"/>
      <c r="BF199" s="22"/>
      <c r="BG199" s="23"/>
      <c r="BH199" s="44"/>
      <c r="BI199" s="25"/>
      <c r="BJ199" s="44"/>
      <c r="BK199" s="46"/>
      <c r="BL199" s="33"/>
      <c r="BM199" s="22"/>
      <c r="BN199" s="23"/>
      <c r="BO199" s="44"/>
      <c r="BP199" s="25"/>
      <c r="BQ199" s="44"/>
      <c r="BR199" s="29"/>
      <c r="BS199" s="29"/>
      <c r="BT199" s="29"/>
      <c r="BU199" s="22"/>
      <c r="BV199" s="23"/>
      <c r="BW199" s="44"/>
      <c r="BX199" s="25"/>
      <c r="BY199" s="44"/>
      <c r="BZ199" s="54"/>
      <c r="CA199" s="22"/>
      <c r="CB199" s="23"/>
      <c r="CC199" s="44"/>
      <c r="CD199" s="25"/>
      <c r="CE199" s="44"/>
      <c r="CF199" s="54"/>
      <c r="CG199" s="22"/>
      <c r="CH199" s="26"/>
      <c r="CI199" s="91"/>
      <c r="CJ199" s="26"/>
      <c r="CK199" s="91"/>
      <c r="CL199" s="26"/>
    </row>
    <row r="200">
      <c r="A200" s="26"/>
      <c r="B200" s="27"/>
      <c r="C200" s="27"/>
      <c r="D200" s="27"/>
      <c r="E200" s="26"/>
      <c r="F200" s="26"/>
      <c r="G200" s="20"/>
      <c r="H200" s="20"/>
      <c r="I200" s="23"/>
      <c r="J200" s="33"/>
      <c r="K200" s="22"/>
      <c r="L200" s="23"/>
      <c r="M200" s="44"/>
      <c r="N200" s="25"/>
      <c r="O200" s="44"/>
      <c r="P200" s="29"/>
      <c r="Q200" s="29"/>
      <c r="R200" s="29"/>
      <c r="S200" s="22"/>
      <c r="T200" s="23"/>
      <c r="U200" s="44"/>
      <c r="V200" s="25"/>
      <c r="W200" s="44"/>
      <c r="X200" s="54"/>
      <c r="Y200" s="22"/>
      <c r="Z200" s="23"/>
      <c r="AA200" s="44"/>
      <c r="AB200" s="25"/>
      <c r="AC200" s="44"/>
      <c r="AD200" s="54"/>
      <c r="AE200" s="22"/>
      <c r="AF200" s="23"/>
      <c r="AG200" s="44"/>
      <c r="AH200" s="25"/>
      <c r="AI200" s="44"/>
      <c r="AJ200" s="46"/>
      <c r="AK200" s="33"/>
      <c r="AL200" s="22"/>
      <c r="AM200" s="23"/>
      <c r="AN200" s="44"/>
      <c r="AO200" s="25"/>
      <c r="AP200" s="44"/>
      <c r="AQ200" s="29"/>
      <c r="AR200" s="29"/>
      <c r="AS200" s="29"/>
      <c r="AT200" s="22"/>
      <c r="AU200" s="23"/>
      <c r="AV200" s="44"/>
      <c r="AW200" s="25"/>
      <c r="AX200" s="44"/>
      <c r="AY200" s="54"/>
      <c r="AZ200" s="22"/>
      <c r="BA200" s="23"/>
      <c r="BB200" s="44"/>
      <c r="BC200" s="25"/>
      <c r="BD200" s="44"/>
      <c r="BE200" s="54"/>
      <c r="BF200" s="22"/>
      <c r="BG200" s="23"/>
      <c r="BH200" s="44"/>
      <c r="BI200" s="25"/>
      <c r="BJ200" s="44"/>
      <c r="BK200" s="46"/>
      <c r="BL200" s="33"/>
      <c r="BM200" s="22"/>
      <c r="BN200" s="23"/>
      <c r="BO200" s="44"/>
      <c r="BP200" s="25"/>
      <c r="BQ200" s="44"/>
      <c r="BR200" s="29"/>
      <c r="BS200" s="29"/>
      <c r="BT200" s="29"/>
      <c r="BU200" s="22"/>
      <c r="BV200" s="23"/>
      <c r="BW200" s="44"/>
      <c r="BX200" s="25"/>
      <c r="BY200" s="44"/>
      <c r="BZ200" s="54"/>
      <c r="CA200" s="22"/>
      <c r="CB200" s="23"/>
      <c r="CC200" s="44"/>
      <c r="CD200" s="25"/>
      <c r="CE200" s="44"/>
      <c r="CF200" s="54"/>
      <c r="CG200" s="22"/>
      <c r="CH200" s="26"/>
      <c r="CI200" s="91"/>
      <c r="CJ200" s="26"/>
      <c r="CK200" s="91"/>
      <c r="CL200" s="26"/>
    </row>
    <row r="201">
      <c r="A201" s="26"/>
      <c r="B201" s="27"/>
      <c r="C201" s="27"/>
      <c r="D201" s="27"/>
      <c r="E201" s="26"/>
      <c r="F201" s="26"/>
      <c r="G201" s="20"/>
      <c r="H201" s="20"/>
      <c r="I201" s="23"/>
      <c r="J201" s="33"/>
      <c r="K201" s="22"/>
      <c r="L201" s="23"/>
      <c r="M201" s="44"/>
      <c r="N201" s="25"/>
      <c r="O201" s="44"/>
      <c r="P201" s="29"/>
      <c r="Q201" s="29"/>
      <c r="R201" s="29"/>
      <c r="S201" s="22"/>
      <c r="T201" s="23"/>
      <c r="U201" s="44"/>
      <c r="V201" s="25"/>
      <c r="W201" s="44"/>
      <c r="X201" s="54"/>
      <c r="Y201" s="22"/>
      <c r="Z201" s="23"/>
      <c r="AA201" s="44"/>
      <c r="AB201" s="25"/>
      <c r="AC201" s="44"/>
      <c r="AD201" s="54"/>
      <c r="AE201" s="22"/>
      <c r="AF201" s="23"/>
      <c r="AG201" s="44"/>
      <c r="AH201" s="25"/>
      <c r="AI201" s="44"/>
      <c r="AJ201" s="46"/>
      <c r="AK201" s="33"/>
      <c r="AL201" s="22"/>
      <c r="AM201" s="23"/>
      <c r="AN201" s="44"/>
      <c r="AO201" s="25"/>
      <c r="AP201" s="44"/>
      <c r="AQ201" s="29"/>
      <c r="AR201" s="29"/>
      <c r="AS201" s="29"/>
      <c r="AT201" s="22"/>
      <c r="AU201" s="23"/>
      <c r="AV201" s="44"/>
      <c r="AW201" s="25"/>
      <c r="AX201" s="44"/>
      <c r="AY201" s="54"/>
      <c r="AZ201" s="22"/>
      <c r="BA201" s="23"/>
      <c r="BB201" s="44"/>
      <c r="BC201" s="25"/>
      <c r="BD201" s="44"/>
      <c r="BE201" s="54"/>
      <c r="BF201" s="22"/>
      <c r="BG201" s="23"/>
      <c r="BH201" s="44"/>
      <c r="BI201" s="25"/>
      <c r="BJ201" s="44"/>
      <c r="BK201" s="46"/>
      <c r="BL201" s="33"/>
      <c r="BM201" s="22"/>
      <c r="BN201" s="23"/>
      <c r="BO201" s="44"/>
      <c r="BP201" s="25"/>
      <c r="BQ201" s="44"/>
      <c r="BR201" s="29"/>
      <c r="BS201" s="29"/>
      <c r="BT201" s="29"/>
      <c r="BU201" s="22"/>
      <c r="BV201" s="23"/>
      <c r="BW201" s="44"/>
      <c r="BX201" s="25"/>
      <c r="BY201" s="44"/>
      <c r="BZ201" s="54"/>
      <c r="CA201" s="22"/>
      <c r="CB201" s="23"/>
      <c r="CC201" s="44"/>
      <c r="CD201" s="25"/>
      <c r="CE201" s="44"/>
      <c r="CF201" s="54"/>
      <c r="CG201" s="22"/>
      <c r="CH201" s="26"/>
      <c r="CI201" s="91"/>
      <c r="CJ201" s="26"/>
      <c r="CK201" s="91"/>
      <c r="CL201" s="26"/>
    </row>
    <row r="202">
      <c r="A202" s="26"/>
      <c r="B202" s="27"/>
      <c r="C202" s="27"/>
      <c r="D202" s="27"/>
      <c r="E202" s="26"/>
      <c r="F202" s="26"/>
      <c r="G202" s="20"/>
      <c r="H202" s="20"/>
      <c r="I202" s="23"/>
      <c r="J202" s="33"/>
      <c r="K202" s="22"/>
      <c r="L202" s="23"/>
      <c r="M202" s="44"/>
      <c r="N202" s="25"/>
      <c r="O202" s="44"/>
      <c r="P202" s="29"/>
      <c r="Q202" s="29"/>
      <c r="R202" s="29"/>
      <c r="S202" s="22"/>
      <c r="T202" s="23"/>
      <c r="U202" s="44"/>
      <c r="V202" s="25"/>
      <c r="W202" s="44"/>
      <c r="X202" s="54"/>
      <c r="Y202" s="22"/>
      <c r="Z202" s="23"/>
      <c r="AA202" s="44"/>
      <c r="AB202" s="25"/>
      <c r="AC202" s="44"/>
      <c r="AD202" s="54"/>
      <c r="AE202" s="22"/>
      <c r="AF202" s="23"/>
      <c r="AG202" s="44"/>
      <c r="AH202" s="25"/>
      <c r="AI202" s="44"/>
      <c r="AJ202" s="46"/>
      <c r="AK202" s="33"/>
      <c r="AL202" s="22"/>
      <c r="AM202" s="23"/>
      <c r="AN202" s="44"/>
      <c r="AO202" s="25"/>
      <c r="AP202" s="44"/>
      <c r="AQ202" s="29"/>
      <c r="AR202" s="29"/>
      <c r="AS202" s="29"/>
      <c r="AT202" s="22"/>
      <c r="AU202" s="23"/>
      <c r="AV202" s="44"/>
      <c r="AW202" s="25"/>
      <c r="AX202" s="44"/>
      <c r="AY202" s="54"/>
      <c r="AZ202" s="22"/>
      <c r="BA202" s="23"/>
      <c r="BB202" s="44"/>
      <c r="BC202" s="25"/>
      <c r="BD202" s="44"/>
      <c r="BE202" s="54"/>
      <c r="BF202" s="22"/>
      <c r="BG202" s="23"/>
      <c r="BH202" s="44"/>
      <c r="BI202" s="25"/>
      <c r="BJ202" s="44"/>
      <c r="BK202" s="46"/>
      <c r="BL202" s="33"/>
      <c r="BM202" s="22"/>
      <c r="BN202" s="23"/>
      <c r="BO202" s="44"/>
      <c r="BP202" s="25"/>
      <c r="BQ202" s="44"/>
      <c r="BR202" s="29"/>
      <c r="BS202" s="29"/>
      <c r="BT202" s="29"/>
      <c r="BU202" s="22"/>
      <c r="BV202" s="23"/>
      <c r="BW202" s="44"/>
      <c r="BX202" s="25"/>
      <c r="BY202" s="44"/>
      <c r="BZ202" s="54"/>
      <c r="CA202" s="22"/>
      <c r="CB202" s="23"/>
      <c r="CC202" s="44"/>
      <c r="CD202" s="25"/>
      <c r="CE202" s="44"/>
      <c r="CF202" s="54"/>
      <c r="CG202" s="22"/>
      <c r="CH202" s="26"/>
      <c r="CI202" s="91"/>
      <c r="CJ202" s="26"/>
      <c r="CK202" s="91"/>
      <c r="CL202" s="26"/>
    </row>
    <row r="203">
      <c r="A203" s="26"/>
      <c r="B203" s="27"/>
      <c r="C203" s="27"/>
      <c r="D203" s="27"/>
      <c r="E203" s="26"/>
      <c r="F203" s="26"/>
      <c r="G203" s="20"/>
      <c r="H203" s="20"/>
      <c r="I203" s="23"/>
      <c r="J203" s="33"/>
      <c r="K203" s="22"/>
      <c r="L203" s="23"/>
      <c r="M203" s="44"/>
      <c r="N203" s="25"/>
      <c r="O203" s="44"/>
      <c r="P203" s="29"/>
      <c r="Q203" s="29"/>
      <c r="R203" s="29"/>
      <c r="S203" s="22"/>
      <c r="T203" s="23"/>
      <c r="U203" s="44"/>
      <c r="V203" s="25"/>
      <c r="W203" s="44"/>
      <c r="X203" s="54"/>
      <c r="Y203" s="22"/>
      <c r="Z203" s="23"/>
      <c r="AA203" s="44"/>
      <c r="AB203" s="25"/>
      <c r="AC203" s="44"/>
      <c r="AD203" s="54"/>
      <c r="AE203" s="22"/>
      <c r="AF203" s="23"/>
      <c r="AG203" s="44"/>
      <c r="AH203" s="25"/>
      <c r="AI203" s="44"/>
      <c r="AJ203" s="46"/>
      <c r="AK203" s="33"/>
      <c r="AL203" s="22"/>
      <c r="AM203" s="23"/>
      <c r="AN203" s="44"/>
      <c r="AO203" s="25"/>
      <c r="AP203" s="44"/>
      <c r="AQ203" s="29"/>
      <c r="AR203" s="29"/>
      <c r="AS203" s="29"/>
      <c r="AT203" s="22"/>
      <c r="AU203" s="23"/>
      <c r="AV203" s="44"/>
      <c r="AW203" s="25"/>
      <c r="AX203" s="44"/>
      <c r="AY203" s="54"/>
      <c r="AZ203" s="22"/>
      <c r="BA203" s="23"/>
      <c r="BB203" s="44"/>
      <c r="BC203" s="25"/>
      <c r="BD203" s="44"/>
      <c r="BE203" s="54"/>
      <c r="BF203" s="22"/>
      <c r="BG203" s="23"/>
      <c r="BH203" s="44"/>
      <c r="BI203" s="25"/>
      <c r="BJ203" s="44"/>
      <c r="BK203" s="46"/>
      <c r="BL203" s="33"/>
      <c r="BM203" s="22"/>
      <c r="BN203" s="23"/>
      <c r="BO203" s="44"/>
      <c r="BP203" s="25"/>
      <c r="BQ203" s="44"/>
      <c r="BR203" s="29"/>
      <c r="BS203" s="29"/>
      <c r="BT203" s="29"/>
      <c r="BU203" s="22"/>
      <c r="BV203" s="23"/>
      <c r="BW203" s="44"/>
      <c r="BX203" s="25"/>
      <c r="BY203" s="44"/>
      <c r="BZ203" s="54"/>
      <c r="CA203" s="22"/>
      <c r="CB203" s="23"/>
      <c r="CC203" s="44"/>
      <c r="CD203" s="25"/>
      <c r="CE203" s="44"/>
      <c r="CF203" s="54"/>
      <c r="CG203" s="22"/>
      <c r="CH203" s="26"/>
      <c r="CI203" s="91"/>
      <c r="CJ203" s="26"/>
      <c r="CK203" s="91"/>
      <c r="CL203" s="26"/>
    </row>
    <row r="204">
      <c r="A204" s="26"/>
      <c r="B204" s="27"/>
      <c r="C204" s="27"/>
      <c r="D204" s="27"/>
      <c r="E204" s="26"/>
      <c r="F204" s="26"/>
      <c r="G204" s="20"/>
      <c r="H204" s="20"/>
      <c r="I204" s="23"/>
      <c r="J204" s="33"/>
      <c r="K204" s="22"/>
      <c r="L204" s="23"/>
      <c r="M204" s="44"/>
      <c r="N204" s="25"/>
      <c r="O204" s="44"/>
      <c r="P204" s="29"/>
      <c r="Q204" s="29"/>
      <c r="R204" s="29"/>
      <c r="S204" s="22"/>
      <c r="T204" s="23"/>
      <c r="U204" s="44"/>
      <c r="V204" s="25"/>
      <c r="W204" s="44"/>
      <c r="X204" s="54"/>
      <c r="Y204" s="22"/>
      <c r="Z204" s="23"/>
      <c r="AA204" s="44"/>
      <c r="AB204" s="25"/>
      <c r="AC204" s="44"/>
      <c r="AD204" s="54"/>
      <c r="AE204" s="22"/>
      <c r="AF204" s="23"/>
      <c r="AG204" s="44"/>
      <c r="AH204" s="25"/>
      <c r="AI204" s="44"/>
      <c r="AJ204" s="46"/>
      <c r="AK204" s="33"/>
      <c r="AL204" s="22"/>
      <c r="AM204" s="23"/>
      <c r="AN204" s="44"/>
      <c r="AO204" s="25"/>
      <c r="AP204" s="44"/>
      <c r="AQ204" s="29"/>
      <c r="AR204" s="29"/>
      <c r="AS204" s="29"/>
      <c r="AT204" s="22"/>
      <c r="AU204" s="23"/>
      <c r="AV204" s="44"/>
      <c r="AW204" s="25"/>
      <c r="AX204" s="44"/>
      <c r="AY204" s="54"/>
      <c r="AZ204" s="22"/>
      <c r="BA204" s="23"/>
      <c r="BB204" s="44"/>
      <c r="BC204" s="25"/>
      <c r="BD204" s="44"/>
      <c r="BE204" s="54"/>
      <c r="BF204" s="22"/>
      <c r="BG204" s="23"/>
      <c r="BH204" s="44"/>
      <c r="BI204" s="25"/>
      <c r="BJ204" s="44"/>
      <c r="BK204" s="46"/>
      <c r="BL204" s="33"/>
      <c r="BM204" s="22"/>
      <c r="BN204" s="23"/>
      <c r="BO204" s="44"/>
      <c r="BP204" s="25"/>
      <c r="BQ204" s="44"/>
      <c r="BR204" s="29"/>
      <c r="BS204" s="29"/>
      <c r="BT204" s="29"/>
      <c r="BU204" s="22"/>
      <c r="BV204" s="23"/>
      <c r="BW204" s="44"/>
      <c r="BX204" s="25"/>
      <c r="BY204" s="44"/>
      <c r="BZ204" s="54"/>
      <c r="CA204" s="22"/>
      <c r="CB204" s="23"/>
      <c r="CC204" s="44"/>
      <c r="CD204" s="25"/>
      <c r="CE204" s="44"/>
      <c r="CF204" s="54"/>
      <c r="CG204" s="22"/>
      <c r="CH204" s="26"/>
      <c r="CI204" s="91"/>
      <c r="CJ204" s="26"/>
      <c r="CK204" s="91"/>
      <c r="CL204" s="26"/>
    </row>
    <row r="205">
      <c r="A205" s="26"/>
      <c r="B205" s="27"/>
      <c r="C205" s="27"/>
      <c r="D205" s="27"/>
      <c r="E205" s="26"/>
      <c r="F205" s="26"/>
      <c r="G205" s="20"/>
      <c r="H205" s="20"/>
      <c r="I205" s="23"/>
      <c r="J205" s="33"/>
      <c r="K205" s="22"/>
      <c r="L205" s="23"/>
      <c r="M205" s="44"/>
      <c r="N205" s="25"/>
      <c r="O205" s="44"/>
      <c r="P205" s="29"/>
      <c r="Q205" s="29"/>
      <c r="R205" s="29"/>
      <c r="S205" s="22"/>
      <c r="T205" s="23"/>
      <c r="U205" s="44"/>
      <c r="V205" s="25"/>
      <c r="W205" s="44"/>
      <c r="X205" s="54"/>
      <c r="Y205" s="22"/>
      <c r="Z205" s="23"/>
      <c r="AA205" s="44"/>
      <c r="AB205" s="25"/>
      <c r="AC205" s="44"/>
      <c r="AD205" s="54"/>
      <c r="AE205" s="22"/>
      <c r="AF205" s="23"/>
      <c r="AG205" s="44"/>
      <c r="AH205" s="25"/>
      <c r="AI205" s="44"/>
      <c r="AJ205" s="46"/>
      <c r="AK205" s="33"/>
      <c r="AL205" s="22"/>
      <c r="AM205" s="23"/>
      <c r="AN205" s="44"/>
      <c r="AO205" s="25"/>
      <c r="AP205" s="44"/>
      <c r="AQ205" s="29"/>
      <c r="AR205" s="29"/>
      <c r="AS205" s="29"/>
      <c r="AT205" s="22"/>
      <c r="AU205" s="23"/>
      <c r="AV205" s="44"/>
      <c r="AW205" s="25"/>
      <c r="AX205" s="44"/>
      <c r="AY205" s="54"/>
      <c r="AZ205" s="22"/>
      <c r="BA205" s="23"/>
      <c r="BB205" s="44"/>
      <c r="BC205" s="25"/>
      <c r="BD205" s="44"/>
      <c r="BE205" s="54"/>
      <c r="BF205" s="22"/>
      <c r="BG205" s="23"/>
      <c r="BH205" s="44"/>
      <c r="BI205" s="25"/>
      <c r="BJ205" s="44"/>
      <c r="BK205" s="46"/>
      <c r="BL205" s="33"/>
      <c r="BM205" s="22"/>
      <c r="BN205" s="23"/>
      <c r="BO205" s="44"/>
      <c r="BP205" s="25"/>
      <c r="BQ205" s="44"/>
      <c r="BR205" s="29"/>
      <c r="BS205" s="29"/>
      <c r="BT205" s="29"/>
      <c r="BU205" s="22"/>
      <c r="BV205" s="23"/>
      <c r="BW205" s="44"/>
      <c r="BX205" s="25"/>
      <c r="BY205" s="44"/>
      <c r="BZ205" s="54"/>
      <c r="CA205" s="22"/>
      <c r="CB205" s="23"/>
      <c r="CC205" s="44"/>
      <c r="CD205" s="25"/>
      <c r="CE205" s="44"/>
      <c r="CF205" s="54"/>
      <c r="CG205" s="22"/>
      <c r="CH205" s="26"/>
      <c r="CI205" s="91"/>
      <c r="CJ205" s="26"/>
      <c r="CK205" s="91"/>
      <c r="CL205" s="26"/>
    </row>
    <row r="206">
      <c r="A206" s="26"/>
      <c r="B206" s="27"/>
      <c r="C206" s="27"/>
      <c r="D206" s="27"/>
      <c r="E206" s="26"/>
      <c r="F206" s="26"/>
      <c r="G206" s="20"/>
      <c r="H206" s="20"/>
      <c r="I206" s="23"/>
      <c r="J206" s="33"/>
      <c r="K206" s="22"/>
      <c r="L206" s="23"/>
      <c r="M206" s="44"/>
      <c r="N206" s="25"/>
      <c r="O206" s="44"/>
      <c r="P206" s="29"/>
      <c r="Q206" s="29"/>
      <c r="R206" s="29"/>
      <c r="S206" s="22"/>
      <c r="T206" s="23"/>
      <c r="U206" s="44"/>
      <c r="V206" s="25"/>
      <c r="W206" s="44"/>
      <c r="X206" s="54"/>
      <c r="Y206" s="22"/>
      <c r="Z206" s="23"/>
      <c r="AA206" s="44"/>
      <c r="AB206" s="25"/>
      <c r="AC206" s="44"/>
      <c r="AD206" s="54"/>
      <c r="AE206" s="22"/>
      <c r="AF206" s="23"/>
      <c r="AG206" s="44"/>
      <c r="AH206" s="25"/>
      <c r="AI206" s="44"/>
      <c r="AJ206" s="46"/>
      <c r="AK206" s="33"/>
      <c r="AL206" s="22"/>
      <c r="AM206" s="23"/>
      <c r="AN206" s="44"/>
      <c r="AO206" s="25"/>
      <c r="AP206" s="44"/>
      <c r="AQ206" s="29"/>
      <c r="AR206" s="29"/>
      <c r="AS206" s="29"/>
      <c r="AT206" s="22"/>
      <c r="AU206" s="23"/>
      <c r="AV206" s="44"/>
      <c r="AW206" s="25"/>
      <c r="AX206" s="44"/>
      <c r="AY206" s="54"/>
      <c r="AZ206" s="22"/>
      <c r="BA206" s="23"/>
      <c r="BB206" s="44"/>
      <c r="BC206" s="25"/>
      <c r="BD206" s="44"/>
      <c r="BE206" s="54"/>
      <c r="BF206" s="22"/>
      <c r="BG206" s="23"/>
      <c r="BH206" s="44"/>
      <c r="BI206" s="25"/>
      <c r="BJ206" s="44"/>
      <c r="BK206" s="46"/>
      <c r="BL206" s="33"/>
      <c r="BM206" s="22"/>
      <c r="BN206" s="23"/>
      <c r="BO206" s="44"/>
      <c r="BP206" s="25"/>
      <c r="BQ206" s="44"/>
      <c r="BR206" s="29"/>
      <c r="BS206" s="29"/>
      <c r="BT206" s="29"/>
      <c r="BU206" s="22"/>
      <c r="BV206" s="23"/>
      <c r="BW206" s="44"/>
      <c r="BX206" s="25"/>
      <c r="BY206" s="44"/>
      <c r="BZ206" s="54"/>
      <c r="CA206" s="22"/>
      <c r="CB206" s="23"/>
      <c r="CC206" s="44"/>
      <c r="CD206" s="25"/>
      <c r="CE206" s="44"/>
      <c r="CF206" s="54"/>
      <c r="CG206" s="22"/>
      <c r="CH206" s="26"/>
      <c r="CI206" s="91"/>
      <c r="CJ206" s="26"/>
      <c r="CK206" s="91"/>
      <c r="CL206" s="26"/>
    </row>
    <row r="207">
      <c r="A207" s="26"/>
      <c r="B207" s="27"/>
      <c r="C207" s="27"/>
      <c r="D207" s="27"/>
      <c r="E207" s="26"/>
      <c r="F207" s="26"/>
      <c r="G207" s="20"/>
      <c r="H207" s="20"/>
      <c r="I207" s="23"/>
      <c r="J207" s="33"/>
      <c r="K207" s="22"/>
      <c r="L207" s="23"/>
      <c r="M207" s="44"/>
      <c r="N207" s="25"/>
      <c r="O207" s="44"/>
      <c r="P207" s="29"/>
      <c r="Q207" s="29"/>
      <c r="R207" s="29"/>
      <c r="S207" s="22"/>
      <c r="T207" s="23"/>
      <c r="U207" s="44"/>
      <c r="V207" s="25"/>
      <c r="W207" s="44"/>
      <c r="X207" s="54"/>
      <c r="Y207" s="22"/>
      <c r="Z207" s="23"/>
      <c r="AA207" s="44"/>
      <c r="AB207" s="25"/>
      <c r="AC207" s="44"/>
      <c r="AD207" s="54"/>
      <c r="AE207" s="22"/>
      <c r="AF207" s="23"/>
      <c r="AG207" s="44"/>
      <c r="AH207" s="25"/>
      <c r="AI207" s="44"/>
      <c r="AJ207" s="46"/>
      <c r="AK207" s="33"/>
      <c r="AL207" s="22"/>
      <c r="AM207" s="23"/>
      <c r="AN207" s="44"/>
      <c r="AO207" s="25"/>
      <c r="AP207" s="44"/>
      <c r="AQ207" s="29"/>
      <c r="AR207" s="29"/>
      <c r="AS207" s="29"/>
      <c r="AT207" s="22"/>
      <c r="AU207" s="23"/>
      <c r="AV207" s="44"/>
      <c r="AW207" s="25"/>
      <c r="AX207" s="44"/>
      <c r="AY207" s="54"/>
      <c r="AZ207" s="22"/>
      <c r="BA207" s="23"/>
      <c r="BB207" s="44"/>
      <c r="BC207" s="25"/>
      <c r="BD207" s="44"/>
      <c r="BE207" s="54"/>
      <c r="BF207" s="22"/>
      <c r="BG207" s="23"/>
      <c r="BH207" s="44"/>
      <c r="BI207" s="25"/>
      <c r="BJ207" s="44"/>
      <c r="BK207" s="46"/>
      <c r="BL207" s="33"/>
      <c r="BM207" s="22"/>
      <c r="BN207" s="23"/>
      <c r="BO207" s="44"/>
      <c r="BP207" s="25"/>
      <c r="BQ207" s="44"/>
      <c r="BR207" s="29"/>
      <c r="BS207" s="29"/>
      <c r="BT207" s="29"/>
      <c r="BU207" s="22"/>
      <c r="BV207" s="23"/>
      <c r="BW207" s="44"/>
      <c r="BX207" s="25"/>
      <c r="BY207" s="44"/>
      <c r="BZ207" s="54"/>
      <c r="CA207" s="22"/>
      <c r="CB207" s="23"/>
      <c r="CC207" s="44"/>
      <c r="CD207" s="25"/>
      <c r="CE207" s="44"/>
      <c r="CF207" s="54"/>
      <c r="CG207" s="22"/>
      <c r="CH207" s="26"/>
      <c r="CI207" s="91"/>
      <c r="CJ207" s="26"/>
      <c r="CK207" s="91"/>
      <c r="CL207" s="26"/>
    </row>
    <row r="208">
      <c r="A208" s="26"/>
      <c r="B208" s="27"/>
      <c r="C208" s="27"/>
      <c r="D208" s="27"/>
      <c r="E208" s="26"/>
      <c r="F208" s="26"/>
      <c r="G208" s="20"/>
      <c r="H208" s="20"/>
      <c r="I208" s="23"/>
      <c r="J208" s="33"/>
      <c r="K208" s="22"/>
      <c r="L208" s="23"/>
      <c r="M208" s="44"/>
      <c r="N208" s="25"/>
      <c r="O208" s="44"/>
      <c r="P208" s="29"/>
      <c r="Q208" s="29"/>
      <c r="R208" s="29"/>
      <c r="S208" s="22"/>
      <c r="T208" s="23"/>
      <c r="U208" s="44"/>
      <c r="V208" s="25"/>
      <c r="W208" s="44"/>
      <c r="X208" s="54"/>
      <c r="Y208" s="22"/>
      <c r="Z208" s="23"/>
      <c r="AA208" s="44"/>
      <c r="AB208" s="25"/>
      <c r="AC208" s="44"/>
      <c r="AD208" s="54"/>
      <c r="AE208" s="22"/>
      <c r="AF208" s="23"/>
      <c r="AG208" s="44"/>
      <c r="AH208" s="25"/>
      <c r="AI208" s="44"/>
      <c r="AJ208" s="46"/>
      <c r="AK208" s="33"/>
      <c r="AL208" s="22"/>
      <c r="AM208" s="23"/>
      <c r="AN208" s="44"/>
      <c r="AO208" s="25"/>
      <c r="AP208" s="44"/>
      <c r="AQ208" s="29"/>
      <c r="AR208" s="29"/>
      <c r="AS208" s="29"/>
      <c r="AT208" s="22"/>
      <c r="AU208" s="23"/>
      <c r="AV208" s="44"/>
      <c r="AW208" s="25"/>
      <c r="AX208" s="44"/>
      <c r="AY208" s="54"/>
      <c r="AZ208" s="22"/>
      <c r="BA208" s="23"/>
      <c r="BB208" s="44"/>
      <c r="BC208" s="25"/>
      <c r="BD208" s="44"/>
      <c r="BE208" s="54"/>
      <c r="BF208" s="22"/>
      <c r="BG208" s="23"/>
      <c r="BH208" s="44"/>
      <c r="BI208" s="25"/>
      <c r="BJ208" s="44"/>
      <c r="BK208" s="46"/>
      <c r="BL208" s="33"/>
      <c r="BM208" s="22"/>
      <c r="BN208" s="23"/>
      <c r="BO208" s="44"/>
      <c r="BP208" s="25"/>
      <c r="BQ208" s="44"/>
      <c r="BR208" s="29"/>
      <c r="BS208" s="29"/>
      <c r="BT208" s="29"/>
      <c r="BU208" s="22"/>
      <c r="BV208" s="23"/>
      <c r="BW208" s="44"/>
      <c r="BX208" s="25"/>
      <c r="BY208" s="44"/>
      <c r="BZ208" s="54"/>
      <c r="CA208" s="22"/>
      <c r="CB208" s="23"/>
      <c r="CC208" s="44"/>
      <c r="CD208" s="25"/>
      <c r="CE208" s="44"/>
      <c r="CF208" s="54"/>
      <c r="CG208" s="22"/>
      <c r="CH208" s="26"/>
      <c r="CI208" s="91"/>
      <c r="CJ208" s="26"/>
      <c r="CK208" s="91"/>
      <c r="CL208" s="26"/>
    </row>
    <row r="209">
      <c r="A209" s="26"/>
      <c r="B209" s="27"/>
      <c r="C209" s="27"/>
      <c r="D209" s="27"/>
      <c r="E209" s="26"/>
      <c r="F209" s="26"/>
      <c r="G209" s="20"/>
      <c r="H209" s="20"/>
      <c r="I209" s="23"/>
      <c r="J209" s="33"/>
      <c r="K209" s="22"/>
      <c r="L209" s="23"/>
      <c r="M209" s="44"/>
      <c r="N209" s="25"/>
      <c r="O209" s="44"/>
      <c r="P209" s="29"/>
      <c r="Q209" s="29"/>
      <c r="R209" s="29"/>
      <c r="S209" s="22"/>
      <c r="T209" s="23"/>
      <c r="U209" s="44"/>
      <c r="V209" s="25"/>
      <c r="W209" s="44"/>
      <c r="X209" s="54"/>
      <c r="Y209" s="22"/>
      <c r="Z209" s="23"/>
      <c r="AA209" s="44"/>
      <c r="AB209" s="25"/>
      <c r="AC209" s="44"/>
      <c r="AD209" s="54"/>
      <c r="AE209" s="22"/>
      <c r="AF209" s="23"/>
      <c r="AG209" s="44"/>
      <c r="AH209" s="25"/>
      <c r="AI209" s="44"/>
      <c r="AJ209" s="46"/>
      <c r="AK209" s="33"/>
      <c r="AL209" s="22"/>
      <c r="AM209" s="23"/>
      <c r="AN209" s="44"/>
      <c r="AO209" s="25"/>
      <c r="AP209" s="44"/>
      <c r="AQ209" s="29"/>
      <c r="AR209" s="29"/>
      <c r="AS209" s="29"/>
      <c r="AT209" s="22"/>
      <c r="AU209" s="23"/>
      <c r="AV209" s="44"/>
      <c r="AW209" s="25"/>
      <c r="AX209" s="44"/>
      <c r="AY209" s="54"/>
      <c r="AZ209" s="22"/>
      <c r="BA209" s="23"/>
      <c r="BB209" s="44"/>
      <c r="BC209" s="25"/>
      <c r="BD209" s="44"/>
      <c r="BE209" s="54"/>
      <c r="BF209" s="22"/>
      <c r="BG209" s="23"/>
      <c r="BH209" s="44"/>
      <c r="BI209" s="25"/>
      <c r="BJ209" s="44"/>
      <c r="BK209" s="46"/>
      <c r="BL209" s="33"/>
      <c r="BM209" s="22"/>
      <c r="BN209" s="23"/>
      <c r="BO209" s="44"/>
      <c r="BP209" s="25"/>
      <c r="BQ209" s="44"/>
      <c r="BR209" s="29"/>
      <c r="BS209" s="29"/>
      <c r="BT209" s="29"/>
      <c r="BU209" s="22"/>
      <c r="BV209" s="23"/>
      <c r="BW209" s="44"/>
      <c r="BX209" s="25"/>
      <c r="BY209" s="44"/>
      <c r="BZ209" s="54"/>
      <c r="CA209" s="22"/>
      <c r="CB209" s="23"/>
      <c r="CC209" s="44"/>
      <c r="CD209" s="25"/>
      <c r="CE209" s="44"/>
      <c r="CF209" s="54"/>
      <c r="CG209" s="22"/>
      <c r="CH209" s="26"/>
      <c r="CI209" s="91"/>
      <c r="CJ209" s="26"/>
      <c r="CK209" s="91"/>
      <c r="CL209" s="26"/>
    </row>
    <row r="210">
      <c r="A210" s="26"/>
      <c r="B210" s="27"/>
      <c r="C210" s="27"/>
      <c r="D210" s="27"/>
      <c r="E210" s="26"/>
      <c r="F210" s="26"/>
      <c r="G210" s="20"/>
      <c r="H210" s="20"/>
      <c r="I210" s="23"/>
      <c r="J210" s="33"/>
      <c r="K210" s="22"/>
      <c r="L210" s="23"/>
      <c r="M210" s="44"/>
      <c r="N210" s="25"/>
      <c r="O210" s="44"/>
      <c r="P210" s="29"/>
      <c r="Q210" s="29"/>
      <c r="R210" s="29"/>
      <c r="S210" s="22"/>
      <c r="T210" s="23"/>
      <c r="U210" s="44"/>
      <c r="V210" s="25"/>
      <c r="W210" s="44"/>
      <c r="X210" s="54"/>
      <c r="Y210" s="22"/>
      <c r="Z210" s="23"/>
      <c r="AA210" s="44"/>
      <c r="AB210" s="25"/>
      <c r="AC210" s="44"/>
      <c r="AD210" s="54"/>
      <c r="AE210" s="22"/>
      <c r="AF210" s="23"/>
      <c r="AG210" s="44"/>
      <c r="AH210" s="25"/>
      <c r="AI210" s="44"/>
      <c r="AJ210" s="46"/>
      <c r="AK210" s="33"/>
      <c r="AL210" s="22"/>
      <c r="AM210" s="23"/>
      <c r="AN210" s="44"/>
      <c r="AO210" s="25"/>
      <c r="AP210" s="44"/>
      <c r="AQ210" s="29"/>
      <c r="AR210" s="29"/>
      <c r="AS210" s="29"/>
      <c r="AT210" s="22"/>
      <c r="AU210" s="23"/>
      <c r="AV210" s="44"/>
      <c r="AW210" s="25"/>
      <c r="AX210" s="44"/>
      <c r="AY210" s="54"/>
      <c r="AZ210" s="22"/>
      <c r="BA210" s="23"/>
      <c r="BB210" s="44"/>
      <c r="BC210" s="25"/>
      <c r="BD210" s="44"/>
      <c r="BE210" s="54"/>
      <c r="BF210" s="22"/>
      <c r="BG210" s="23"/>
      <c r="BH210" s="44"/>
      <c r="BI210" s="25"/>
      <c r="BJ210" s="44"/>
      <c r="BK210" s="46"/>
      <c r="BL210" s="33"/>
      <c r="BM210" s="22"/>
      <c r="BN210" s="23"/>
      <c r="BO210" s="44"/>
      <c r="BP210" s="25"/>
      <c r="BQ210" s="44"/>
      <c r="BR210" s="29"/>
      <c r="BS210" s="29"/>
      <c r="BT210" s="29"/>
      <c r="BU210" s="22"/>
      <c r="BV210" s="23"/>
      <c r="BW210" s="44"/>
      <c r="BX210" s="25"/>
      <c r="BY210" s="44"/>
      <c r="BZ210" s="54"/>
      <c r="CA210" s="22"/>
      <c r="CB210" s="23"/>
      <c r="CC210" s="44"/>
      <c r="CD210" s="25"/>
      <c r="CE210" s="44"/>
      <c r="CF210" s="54"/>
      <c r="CG210" s="22"/>
      <c r="CH210" s="26"/>
      <c r="CI210" s="91"/>
      <c r="CJ210" s="26"/>
      <c r="CK210" s="91"/>
      <c r="CL210" s="26"/>
    </row>
    <row r="211">
      <c r="A211" s="26"/>
      <c r="B211" s="27"/>
      <c r="C211" s="27"/>
      <c r="D211" s="27"/>
      <c r="E211" s="26"/>
      <c r="F211" s="26"/>
      <c r="G211" s="20"/>
      <c r="H211" s="20"/>
      <c r="I211" s="23"/>
      <c r="J211" s="33"/>
      <c r="K211" s="22"/>
      <c r="L211" s="23"/>
      <c r="M211" s="44"/>
      <c r="N211" s="25"/>
      <c r="O211" s="44"/>
      <c r="P211" s="29"/>
      <c r="Q211" s="29"/>
      <c r="R211" s="29"/>
      <c r="S211" s="22"/>
      <c r="T211" s="23"/>
      <c r="U211" s="44"/>
      <c r="V211" s="25"/>
      <c r="W211" s="44"/>
      <c r="X211" s="54"/>
      <c r="Y211" s="22"/>
      <c r="Z211" s="23"/>
      <c r="AA211" s="44"/>
      <c r="AB211" s="25"/>
      <c r="AC211" s="44"/>
      <c r="AD211" s="54"/>
      <c r="AE211" s="22"/>
      <c r="AF211" s="23"/>
      <c r="AG211" s="44"/>
      <c r="AH211" s="25"/>
      <c r="AI211" s="44"/>
      <c r="AJ211" s="46"/>
      <c r="AK211" s="33"/>
      <c r="AL211" s="22"/>
      <c r="AM211" s="23"/>
      <c r="AN211" s="44"/>
      <c r="AO211" s="25"/>
      <c r="AP211" s="44"/>
      <c r="AQ211" s="29"/>
      <c r="AR211" s="29"/>
      <c r="AS211" s="29"/>
      <c r="AT211" s="22"/>
      <c r="AU211" s="23"/>
      <c r="AV211" s="44"/>
      <c r="AW211" s="25"/>
      <c r="AX211" s="44"/>
      <c r="AY211" s="54"/>
      <c r="AZ211" s="22"/>
      <c r="BA211" s="23"/>
      <c r="BB211" s="44"/>
      <c r="BC211" s="25"/>
      <c r="BD211" s="44"/>
      <c r="BE211" s="54"/>
      <c r="BF211" s="22"/>
      <c r="BG211" s="23"/>
      <c r="BH211" s="44"/>
      <c r="BI211" s="25"/>
      <c r="BJ211" s="44"/>
      <c r="BK211" s="46"/>
      <c r="BL211" s="33"/>
      <c r="BM211" s="22"/>
      <c r="BN211" s="23"/>
      <c r="BO211" s="44"/>
      <c r="BP211" s="25"/>
      <c r="BQ211" s="44"/>
      <c r="BR211" s="29"/>
      <c r="BS211" s="29"/>
      <c r="BT211" s="29"/>
      <c r="BU211" s="22"/>
      <c r="BV211" s="23"/>
      <c r="BW211" s="44"/>
      <c r="BX211" s="25"/>
      <c r="BY211" s="44"/>
      <c r="BZ211" s="54"/>
      <c r="CA211" s="22"/>
      <c r="CB211" s="23"/>
      <c r="CC211" s="44"/>
      <c r="CD211" s="25"/>
      <c r="CE211" s="44"/>
      <c r="CF211" s="54"/>
      <c r="CG211" s="22"/>
      <c r="CH211" s="26"/>
      <c r="CI211" s="91"/>
      <c r="CJ211" s="26"/>
      <c r="CK211" s="91"/>
      <c r="CL211" s="26"/>
    </row>
    <row r="212">
      <c r="A212" s="26"/>
      <c r="B212" s="27"/>
      <c r="C212" s="27"/>
      <c r="D212" s="27"/>
      <c r="E212" s="26"/>
      <c r="F212" s="26"/>
      <c r="G212" s="20"/>
      <c r="H212" s="20"/>
      <c r="I212" s="23"/>
      <c r="J212" s="33"/>
      <c r="K212" s="22"/>
      <c r="L212" s="23"/>
      <c r="M212" s="44"/>
      <c r="N212" s="25"/>
      <c r="O212" s="44"/>
      <c r="P212" s="29"/>
      <c r="Q212" s="29"/>
      <c r="R212" s="29"/>
      <c r="S212" s="22"/>
      <c r="T212" s="23"/>
      <c r="U212" s="44"/>
      <c r="V212" s="25"/>
      <c r="W212" s="44"/>
      <c r="X212" s="54"/>
      <c r="Y212" s="22"/>
      <c r="Z212" s="23"/>
      <c r="AA212" s="44"/>
      <c r="AB212" s="25"/>
      <c r="AC212" s="44"/>
      <c r="AD212" s="54"/>
      <c r="AE212" s="22"/>
      <c r="AF212" s="23"/>
      <c r="AG212" s="44"/>
      <c r="AH212" s="25"/>
      <c r="AI212" s="44"/>
      <c r="AJ212" s="46"/>
      <c r="AK212" s="33"/>
      <c r="AL212" s="22"/>
      <c r="AM212" s="23"/>
      <c r="AN212" s="44"/>
      <c r="AO212" s="25"/>
      <c r="AP212" s="44"/>
      <c r="AQ212" s="29"/>
      <c r="AR212" s="29"/>
      <c r="AS212" s="29"/>
      <c r="AT212" s="22"/>
      <c r="AU212" s="23"/>
      <c r="AV212" s="44"/>
      <c r="AW212" s="25"/>
      <c r="AX212" s="44"/>
      <c r="AY212" s="54"/>
      <c r="AZ212" s="22"/>
      <c r="BA212" s="23"/>
      <c r="BB212" s="44"/>
      <c r="BC212" s="25"/>
      <c r="BD212" s="44"/>
      <c r="BE212" s="54"/>
      <c r="BF212" s="22"/>
      <c r="BG212" s="23"/>
      <c r="BH212" s="44"/>
      <c r="BI212" s="25"/>
      <c r="BJ212" s="44"/>
      <c r="BK212" s="46"/>
      <c r="BL212" s="33"/>
      <c r="BM212" s="22"/>
      <c r="BN212" s="23"/>
      <c r="BO212" s="44"/>
      <c r="BP212" s="25"/>
      <c r="BQ212" s="44"/>
      <c r="BR212" s="29"/>
      <c r="BS212" s="29"/>
      <c r="BT212" s="29"/>
      <c r="BU212" s="22"/>
      <c r="BV212" s="23"/>
      <c r="BW212" s="44"/>
      <c r="BX212" s="25"/>
      <c r="BY212" s="44"/>
      <c r="BZ212" s="54"/>
      <c r="CA212" s="22"/>
      <c r="CB212" s="23"/>
      <c r="CC212" s="44"/>
      <c r="CD212" s="25"/>
      <c r="CE212" s="44"/>
      <c r="CF212" s="54"/>
      <c r="CG212" s="22"/>
      <c r="CH212" s="26"/>
      <c r="CI212" s="91"/>
      <c r="CJ212" s="26"/>
      <c r="CK212" s="91"/>
      <c r="CL212" s="26"/>
    </row>
    <row r="213">
      <c r="A213" s="26"/>
      <c r="B213" s="27"/>
      <c r="C213" s="27"/>
      <c r="D213" s="27"/>
      <c r="E213" s="26"/>
      <c r="F213" s="26"/>
      <c r="G213" s="20"/>
      <c r="H213" s="20"/>
      <c r="I213" s="23"/>
      <c r="J213" s="33"/>
      <c r="K213" s="22"/>
      <c r="L213" s="23"/>
      <c r="M213" s="44"/>
      <c r="N213" s="25"/>
      <c r="O213" s="44"/>
      <c r="P213" s="29"/>
      <c r="Q213" s="29"/>
      <c r="R213" s="29"/>
      <c r="S213" s="22"/>
      <c r="T213" s="23"/>
      <c r="U213" s="44"/>
      <c r="V213" s="25"/>
      <c r="W213" s="44"/>
      <c r="X213" s="54"/>
      <c r="Y213" s="22"/>
      <c r="Z213" s="23"/>
      <c r="AA213" s="44"/>
      <c r="AB213" s="25"/>
      <c r="AC213" s="44"/>
      <c r="AD213" s="54"/>
      <c r="AE213" s="22"/>
      <c r="AF213" s="23"/>
      <c r="AG213" s="44"/>
      <c r="AH213" s="25"/>
      <c r="AI213" s="44"/>
      <c r="AJ213" s="46"/>
      <c r="AK213" s="33"/>
      <c r="AL213" s="22"/>
      <c r="AM213" s="23"/>
      <c r="AN213" s="44"/>
      <c r="AO213" s="25"/>
      <c r="AP213" s="44"/>
      <c r="AQ213" s="29"/>
      <c r="AR213" s="29"/>
      <c r="AS213" s="29"/>
      <c r="AT213" s="22"/>
      <c r="AU213" s="23"/>
      <c r="AV213" s="44"/>
      <c r="AW213" s="25"/>
      <c r="AX213" s="44"/>
      <c r="AY213" s="54"/>
      <c r="AZ213" s="22"/>
      <c r="BA213" s="23"/>
      <c r="BB213" s="44"/>
      <c r="BC213" s="25"/>
      <c r="BD213" s="44"/>
      <c r="BE213" s="54"/>
      <c r="BF213" s="22"/>
      <c r="BG213" s="23"/>
      <c r="BH213" s="44"/>
      <c r="BI213" s="25"/>
      <c r="BJ213" s="44"/>
      <c r="BK213" s="46"/>
      <c r="BL213" s="33"/>
      <c r="BM213" s="22"/>
      <c r="BN213" s="23"/>
      <c r="BO213" s="44"/>
      <c r="BP213" s="25"/>
      <c r="BQ213" s="44"/>
      <c r="BR213" s="29"/>
      <c r="BS213" s="29"/>
      <c r="BT213" s="29"/>
      <c r="BU213" s="22"/>
      <c r="BV213" s="23"/>
      <c r="BW213" s="44"/>
      <c r="BX213" s="25"/>
      <c r="BY213" s="44"/>
      <c r="BZ213" s="54"/>
      <c r="CA213" s="22"/>
      <c r="CB213" s="23"/>
      <c r="CC213" s="44"/>
      <c r="CD213" s="25"/>
      <c r="CE213" s="44"/>
      <c r="CF213" s="54"/>
      <c r="CG213" s="22"/>
      <c r="CH213" s="26"/>
      <c r="CI213" s="91"/>
      <c r="CJ213" s="26"/>
      <c r="CK213" s="91"/>
      <c r="CL213" s="26"/>
    </row>
    <row r="214">
      <c r="A214" s="26"/>
      <c r="B214" s="27"/>
      <c r="C214" s="27"/>
      <c r="D214" s="27"/>
      <c r="E214" s="26"/>
      <c r="F214" s="26"/>
      <c r="G214" s="20"/>
      <c r="H214" s="20"/>
      <c r="I214" s="23"/>
      <c r="J214" s="33"/>
      <c r="K214" s="22"/>
      <c r="L214" s="23"/>
      <c r="M214" s="44"/>
      <c r="N214" s="25"/>
      <c r="O214" s="44"/>
      <c r="P214" s="29"/>
      <c r="Q214" s="29"/>
      <c r="R214" s="29"/>
      <c r="S214" s="22"/>
      <c r="T214" s="23"/>
      <c r="U214" s="44"/>
      <c r="V214" s="25"/>
      <c r="W214" s="44"/>
      <c r="X214" s="54"/>
      <c r="Y214" s="22"/>
      <c r="Z214" s="23"/>
      <c r="AA214" s="44"/>
      <c r="AB214" s="25"/>
      <c r="AC214" s="44"/>
      <c r="AD214" s="54"/>
      <c r="AE214" s="22"/>
      <c r="AF214" s="23"/>
      <c r="AG214" s="44"/>
      <c r="AH214" s="25"/>
      <c r="AI214" s="44"/>
      <c r="AJ214" s="46"/>
      <c r="AK214" s="33"/>
      <c r="AL214" s="22"/>
      <c r="AM214" s="23"/>
      <c r="AN214" s="44"/>
      <c r="AO214" s="25"/>
      <c r="AP214" s="44"/>
      <c r="AQ214" s="29"/>
      <c r="AR214" s="29"/>
      <c r="AS214" s="29"/>
      <c r="AT214" s="22"/>
      <c r="AU214" s="23"/>
      <c r="AV214" s="44"/>
      <c r="AW214" s="25"/>
      <c r="AX214" s="44"/>
      <c r="AY214" s="54"/>
      <c r="AZ214" s="22"/>
      <c r="BA214" s="23"/>
      <c r="BB214" s="44"/>
      <c r="BC214" s="25"/>
      <c r="BD214" s="44"/>
      <c r="BE214" s="54"/>
      <c r="BF214" s="22"/>
      <c r="BG214" s="23"/>
      <c r="BH214" s="44"/>
      <c r="BI214" s="25"/>
      <c r="BJ214" s="44"/>
      <c r="BK214" s="46"/>
      <c r="BL214" s="33"/>
      <c r="BM214" s="22"/>
      <c r="BN214" s="23"/>
      <c r="BO214" s="44"/>
      <c r="BP214" s="25"/>
      <c r="BQ214" s="44"/>
      <c r="BR214" s="29"/>
      <c r="BS214" s="29"/>
      <c r="BT214" s="29"/>
      <c r="BU214" s="22"/>
      <c r="BV214" s="23"/>
      <c r="BW214" s="44"/>
      <c r="BX214" s="25"/>
      <c r="BY214" s="44"/>
      <c r="BZ214" s="54"/>
      <c r="CA214" s="22"/>
      <c r="CB214" s="23"/>
      <c r="CC214" s="44"/>
      <c r="CD214" s="25"/>
      <c r="CE214" s="44"/>
      <c r="CF214" s="54"/>
      <c r="CG214" s="22"/>
      <c r="CH214" s="26"/>
      <c r="CI214" s="91"/>
      <c r="CJ214" s="26"/>
      <c r="CK214" s="91"/>
      <c r="CL214" s="26"/>
    </row>
    <row r="215">
      <c r="A215" s="26"/>
      <c r="B215" s="27"/>
      <c r="C215" s="27"/>
      <c r="D215" s="27"/>
      <c r="E215" s="26"/>
      <c r="F215" s="26"/>
      <c r="G215" s="20"/>
      <c r="H215" s="20"/>
      <c r="I215" s="23"/>
      <c r="J215" s="33"/>
      <c r="K215" s="22"/>
      <c r="L215" s="23"/>
      <c r="M215" s="44"/>
      <c r="N215" s="25"/>
      <c r="O215" s="44"/>
      <c r="P215" s="29"/>
      <c r="Q215" s="29"/>
      <c r="R215" s="29"/>
      <c r="S215" s="22"/>
      <c r="T215" s="23"/>
      <c r="U215" s="44"/>
      <c r="V215" s="25"/>
      <c r="W215" s="44"/>
      <c r="X215" s="54"/>
      <c r="Y215" s="22"/>
      <c r="Z215" s="23"/>
      <c r="AA215" s="44"/>
      <c r="AB215" s="25"/>
      <c r="AC215" s="44"/>
      <c r="AD215" s="54"/>
      <c r="AE215" s="22"/>
      <c r="AF215" s="23"/>
      <c r="AG215" s="44"/>
      <c r="AH215" s="25"/>
      <c r="AI215" s="44"/>
      <c r="AJ215" s="46"/>
      <c r="AK215" s="33"/>
      <c r="AL215" s="22"/>
      <c r="AM215" s="23"/>
      <c r="AN215" s="44"/>
      <c r="AO215" s="25"/>
      <c r="AP215" s="44"/>
      <c r="AQ215" s="29"/>
      <c r="AR215" s="29"/>
      <c r="AS215" s="29"/>
      <c r="AT215" s="22"/>
      <c r="AU215" s="23"/>
      <c r="AV215" s="44"/>
      <c r="AW215" s="25"/>
      <c r="AX215" s="44"/>
      <c r="AY215" s="54"/>
      <c r="AZ215" s="22"/>
      <c r="BA215" s="23"/>
      <c r="BB215" s="44"/>
      <c r="BC215" s="25"/>
      <c r="BD215" s="44"/>
      <c r="BE215" s="54"/>
      <c r="BF215" s="22"/>
      <c r="BG215" s="23"/>
      <c r="BH215" s="44"/>
      <c r="BI215" s="25"/>
      <c r="BJ215" s="44"/>
      <c r="BK215" s="46"/>
      <c r="BL215" s="33"/>
      <c r="BM215" s="22"/>
      <c r="BN215" s="23"/>
      <c r="BO215" s="44"/>
      <c r="BP215" s="25"/>
      <c r="BQ215" s="44"/>
      <c r="BR215" s="29"/>
      <c r="BS215" s="29"/>
      <c r="BT215" s="29"/>
      <c r="BU215" s="22"/>
      <c r="BV215" s="23"/>
      <c r="BW215" s="44"/>
      <c r="BX215" s="25"/>
      <c r="BY215" s="44"/>
      <c r="BZ215" s="54"/>
      <c r="CA215" s="22"/>
      <c r="CB215" s="23"/>
      <c r="CC215" s="44"/>
      <c r="CD215" s="25"/>
      <c r="CE215" s="44"/>
      <c r="CF215" s="54"/>
      <c r="CG215" s="22"/>
      <c r="CH215" s="26"/>
      <c r="CI215" s="91"/>
      <c r="CJ215" s="26"/>
      <c r="CK215" s="91"/>
      <c r="CL215" s="26"/>
    </row>
    <row r="216">
      <c r="A216" s="26"/>
      <c r="B216" s="27"/>
      <c r="C216" s="27"/>
      <c r="D216" s="27"/>
      <c r="E216" s="26"/>
      <c r="F216" s="26"/>
      <c r="G216" s="20"/>
      <c r="H216" s="20"/>
      <c r="I216" s="23"/>
      <c r="J216" s="33"/>
      <c r="K216" s="22"/>
      <c r="L216" s="23"/>
      <c r="M216" s="44"/>
      <c r="N216" s="25"/>
      <c r="O216" s="44"/>
      <c r="P216" s="29"/>
      <c r="Q216" s="29"/>
      <c r="R216" s="29"/>
      <c r="S216" s="22"/>
      <c r="T216" s="23"/>
      <c r="U216" s="44"/>
      <c r="V216" s="25"/>
      <c r="W216" s="44"/>
      <c r="X216" s="54"/>
      <c r="Y216" s="22"/>
      <c r="Z216" s="23"/>
      <c r="AA216" s="44"/>
      <c r="AB216" s="25"/>
      <c r="AC216" s="44"/>
      <c r="AD216" s="54"/>
      <c r="AE216" s="22"/>
      <c r="AF216" s="23"/>
      <c r="AG216" s="44"/>
      <c r="AH216" s="25"/>
      <c r="AI216" s="44"/>
      <c r="AJ216" s="46"/>
      <c r="AK216" s="33"/>
      <c r="AL216" s="22"/>
      <c r="AM216" s="23"/>
      <c r="AN216" s="44"/>
      <c r="AO216" s="25"/>
      <c r="AP216" s="44"/>
      <c r="AQ216" s="29"/>
      <c r="AR216" s="29"/>
      <c r="AS216" s="29"/>
      <c r="AT216" s="22"/>
      <c r="AU216" s="23"/>
      <c r="AV216" s="44"/>
      <c r="AW216" s="25"/>
      <c r="AX216" s="44"/>
      <c r="AY216" s="54"/>
      <c r="AZ216" s="22"/>
      <c r="BA216" s="23"/>
      <c r="BB216" s="44"/>
      <c r="BC216" s="25"/>
      <c r="BD216" s="44"/>
      <c r="BE216" s="54"/>
      <c r="BF216" s="22"/>
      <c r="BG216" s="23"/>
      <c r="BH216" s="44"/>
      <c r="BI216" s="25"/>
      <c r="BJ216" s="44"/>
      <c r="BK216" s="46"/>
      <c r="BL216" s="33"/>
      <c r="BM216" s="22"/>
      <c r="BN216" s="23"/>
      <c r="BO216" s="44"/>
      <c r="BP216" s="25"/>
      <c r="BQ216" s="44"/>
      <c r="BR216" s="29"/>
      <c r="BS216" s="29"/>
      <c r="BT216" s="29"/>
      <c r="BU216" s="22"/>
      <c r="BV216" s="23"/>
      <c r="BW216" s="44"/>
      <c r="BX216" s="25"/>
      <c r="BY216" s="44"/>
      <c r="BZ216" s="54"/>
      <c r="CA216" s="22"/>
      <c r="CB216" s="23"/>
      <c r="CC216" s="44"/>
      <c r="CD216" s="25"/>
      <c r="CE216" s="44"/>
      <c r="CF216" s="54"/>
      <c r="CG216" s="22"/>
      <c r="CH216" s="26"/>
      <c r="CI216" s="91"/>
      <c r="CJ216" s="26"/>
      <c r="CK216" s="91"/>
      <c r="CL216" s="26"/>
    </row>
    <row r="217">
      <c r="A217" s="26"/>
      <c r="B217" s="27"/>
      <c r="C217" s="27"/>
      <c r="D217" s="27"/>
      <c r="E217" s="26"/>
      <c r="F217" s="26"/>
      <c r="G217" s="20"/>
      <c r="H217" s="20"/>
      <c r="I217" s="23"/>
      <c r="J217" s="33"/>
      <c r="K217" s="22"/>
      <c r="L217" s="23"/>
      <c r="M217" s="44"/>
      <c r="N217" s="25"/>
      <c r="O217" s="44"/>
      <c r="P217" s="29"/>
      <c r="Q217" s="29"/>
      <c r="R217" s="29"/>
      <c r="S217" s="22"/>
      <c r="T217" s="23"/>
      <c r="U217" s="44"/>
      <c r="V217" s="25"/>
      <c r="W217" s="44"/>
      <c r="X217" s="54"/>
      <c r="Y217" s="22"/>
      <c r="Z217" s="23"/>
      <c r="AA217" s="44"/>
      <c r="AB217" s="25"/>
      <c r="AC217" s="44"/>
      <c r="AD217" s="54"/>
      <c r="AE217" s="22"/>
      <c r="AF217" s="23"/>
      <c r="AG217" s="44"/>
      <c r="AH217" s="25"/>
      <c r="AI217" s="44"/>
      <c r="AJ217" s="46"/>
      <c r="AK217" s="33"/>
      <c r="AL217" s="22"/>
      <c r="AM217" s="23"/>
      <c r="AN217" s="44"/>
      <c r="AO217" s="25"/>
      <c r="AP217" s="44"/>
      <c r="AQ217" s="29"/>
      <c r="AR217" s="29"/>
      <c r="AS217" s="29"/>
      <c r="AT217" s="22"/>
      <c r="AU217" s="23"/>
      <c r="AV217" s="44"/>
      <c r="AW217" s="25"/>
      <c r="AX217" s="44"/>
      <c r="AY217" s="54"/>
      <c r="AZ217" s="22"/>
      <c r="BA217" s="23"/>
      <c r="BB217" s="44"/>
      <c r="BC217" s="25"/>
      <c r="BD217" s="44"/>
      <c r="BE217" s="54"/>
      <c r="BF217" s="22"/>
      <c r="BG217" s="23"/>
      <c r="BH217" s="44"/>
      <c r="BI217" s="25"/>
      <c r="BJ217" s="44"/>
      <c r="BK217" s="46"/>
      <c r="BL217" s="33"/>
      <c r="BM217" s="22"/>
      <c r="BN217" s="23"/>
      <c r="BO217" s="44"/>
      <c r="BP217" s="25"/>
      <c r="BQ217" s="44"/>
      <c r="BR217" s="29"/>
      <c r="BS217" s="29"/>
      <c r="BT217" s="29"/>
      <c r="BU217" s="22"/>
      <c r="BV217" s="23"/>
      <c r="BW217" s="44"/>
      <c r="BX217" s="25"/>
      <c r="BY217" s="44"/>
      <c r="BZ217" s="54"/>
      <c r="CA217" s="22"/>
      <c r="CB217" s="23"/>
      <c r="CC217" s="44"/>
      <c r="CD217" s="25"/>
      <c r="CE217" s="44"/>
      <c r="CF217" s="54"/>
      <c r="CG217" s="22"/>
      <c r="CH217" s="26"/>
      <c r="CI217" s="91"/>
      <c r="CJ217" s="26"/>
      <c r="CK217" s="91"/>
      <c r="CL217" s="26"/>
    </row>
    <row r="218">
      <c r="A218" s="26"/>
      <c r="B218" s="27"/>
      <c r="C218" s="27"/>
      <c r="D218" s="27"/>
      <c r="E218" s="26"/>
      <c r="F218" s="26"/>
      <c r="G218" s="20"/>
      <c r="H218" s="20"/>
      <c r="I218" s="23"/>
      <c r="J218" s="33"/>
      <c r="K218" s="22"/>
      <c r="L218" s="23"/>
      <c r="M218" s="44"/>
      <c r="N218" s="25"/>
      <c r="O218" s="44"/>
      <c r="P218" s="29"/>
      <c r="Q218" s="29"/>
      <c r="R218" s="29"/>
      <c r="S218" s="22"/>
      <c r="T218" s="23"/>
      <c r="U218" s="44"/>
      <c r="V218" s="25"/>
      <c r="W218" s="44"/>
      <c r="X218" s="54"/>
      <c r="Y218" s="22"/>
      <c r="Z218" s="23"/>
      <c r="AA218" s="44"/>
      <c r="AB218" s="25"/>
      <c r="AC218" s="44"/>
      <c r="AD218" s="54"/>
      <c r="AE218" s="22"/>
      <c r="AF218" s="23"/>
      <c r="AG218" s="44"/>
      <c r="AH218" s="25"/>
      <c r="AI218" s="44"/>
      <c r="AJ218" s="46"/>
      <c r="AK218" s="33"/>
      <c r="AL218" s="22"/>
      <c r="AM218" s="23"/>
      <c r="AN218" s="44"/>
      <c r="AO218" s="25"/>
      <c r="AP218" s="44"/>
      <c r="AQ218" s="29"/>
      <c r="AR218" s="29"/>
      <c r="AS218" s="29"/>
      <c r="AT218" s="22"/>
      <c r="AU218" s="23"/>
      <c r="AV218" s="44"/>
      <c r="AW218" s="25"/>
      <c r="AX218" s="44"/>
      <c r="AY218" s="54"/>
      <c r="AZ218" s="22"/>
      <c r="BA218" s="23"/>
      <c r="BB218" s="44"/>
      <c r="BC218" s="25"/>
      <c r="BD218" s="44"/>
      <c r="BE218" s="54"/>
      <c r="BF218" s="22"/>
      <c r="BG218" s="23"/>
      <c r="BH218" s="44"/>
      <c r="BI218" s="25"/>
      <c r="BJ218" s="44"/>
      <c r="BK218" s="46"/>
      <c r="BL218" s="33"/>
      <c r="BM218" s="22"/>
      <c r="BN218" s="23"/>
      <c r="BO218" s="44"/>
      <c r="BP218" s="25"/>
      <c r="BQ218" s="44"/>
      <c r="BR218" s="29"/>
      <c r="BS218" s="29"/>
      <c r="BT218" s="29"/>
      <c r="BU218" s="22"/>
      <c r="BV218" s="23"/>
      <c r="BW218" s="44"/>
      <c r="BX218" s="25"/>
      <c r="BY218" s="44"/>
      <c r="BZ218" s="54"/>
      <c r="CA218" s="22"/>
      <c r="CB218" s="23"/>
      <c r="CC218" s="44"/>
      <c r="CD218" s="25"/>
      <c r="CE218" s="44"/>
      <c r="CF218" s="54"/>
      <c r="CG218" s="22"/>
      <c r="CH218" s="26"/>
      <c r="CI218" s="91"/>
      <c r="CJ218" s="26"/>
      <c r="CK218" s="91"/>
      <c r="CL218" s="26"/>
    </row>
    <row r="219">
      <c r="A219" s="26"/>
      <c r="B219" s="27"/>
      <c r="C219" s="27"/>
      <c r="D219" s="27"/>
      <c r="E219" s="26"/>
      <c r="F219" s="26"/>
      <c r="G219" s="20"/>
      <c r="H219" s="20"/>
      <c r="I219" s="23"/>
      <c r="J219" s="33"/>
      <c r="K219" s="22"/>
      <c r="L219" s="23"/>
      <c r="M219" s="44"/>
      <c r="N219" s="25"/>
      <c r="O219" s="44"/>
      <c r="P219" s="29"/>
      <c r="Q219" s="29"/>
      <c r="R219" s="29"/>
      <c r="S219" s="22"/>
      <c r="T219" s="23"/>
      <c r="U219" s="44"/>
      <c r="V219" s="25"/>
      <c r="W219" s="44"/>
      <c r="X219" s="54"/>
      <c r="Y219" s="22"/>
      <c r="Z219" s="23"/>
      <c r="AA219" s="44"/>
      <c r="AB219" s="25"/>
      <c r="AC219" s="44"/>
      <c r="AD219" s="54"/>
      <c r="AE219" s="22"/>
      <c r="AF219" s="23"/>
      <c r="AG219" s="44"/>
      <c r="AH219" s="25"/>
      <c r="AI219" s="44"/>
      <c r="AJ219" s="46"/>
      <c r="AK219" s="33"/>
      <c r="AL219" s="22"/>
      <c r="AM219" s="23"/>
      <c r="AN219" s="44"/>
      <c r="AO219" s="25"/>
      <c r="AP219" s="44"/>
      <c r="AQ219" s="29"/>
      <c r="AR219" s="29"/>
      <c r="AS219" s="29"/>
      <c r="AT219" s="22"/>
      <c r="AU219" s="23"/>
      <c r="AV219" s="44"/>
      <c r="AW219" s="25"/>
      <c r="AX219" s="44"/>
      <c r="AY219" s="54"/>
      <c r="AZ219" s="22"/>
      <c r="BA219" s="23"/>
      <c r="BB219" s="44"/>
      <c r="BC219" s="25"/>
      <c r="BD219" s="44"/>
      <c r="BE219" s="54"/>
      <c r="BF219" s="22"/>
      <c r="BG219" s="23"/>
      <c r="BH219" s="44"/>
      <c r="BI219" s="25"/>
      <c r="BJ219" s="44"/>
      <c r="BK219" s="46"/>
      <c r="BL219" s="33"/>
      <c r="BM219" s="22"/>
      <c r="BN219" s="23"/>
      <c r="BO219" s="44"/>
      <c r="BP219" s="25"/>
      <c r="BQ219" s="44"/>
      <c r="BR219" s="29"/>
      <c r="BS219" s="29"/>
      <c r="BT219" s="29"/>
      <c r="BU219" s="22"/>
      <c r="BV219" s="23"/>
      <c r="BW219" s="44"/>
      <c r="BX219" s="25"/>
      <c r="BY219" s="44"/>
      <c r="BZ219" s="54"/>
      <c r="CA219" s="22"/>
      <c r="CB219" s="23"/>
      <c r="CC219" s="44"/>
      <c r="CD219" s="25"/>
      <c r="CE219" s="44"/>
      <c r="CF219" s="54"/>
      <c r="CG219" s="22"/>
      <c r="CH219" s="26"/>
      <c r="CI219" s="91"/>
      <c r="CJ219" s="26"/>
      <c r="CK219" s="91"/>
      <c r="CL219" s="26"/>
    </row>
    <row r="220">
      <c r="A220" s="26"/>
      <c r="B220" s="27"/>
      <c r="C220" s="27"/>
      <c r="D220" s="27"/>
      <c r="E220" s="26"/>
      <c r="F220" s="26"/>
      <c r="G220" s="20"/>
      <c r="H220" s="20"/>
      <c r="I220" s="23"/>
      <c r="J220" s="33"/>
      <c r="K220" s="22"/>
      <c r="L220" s="23"/>
      <c r="M220" s="44"/>
      <c r="N220" s="25"/>
      <c r="O220" s="44"/>
      <c r="P220" s="29"/>
      <c r="Q220" s="29"/>
      <c r="R220" s="29"/>
      <c r="S220" s="22"/>
      <c r="T220" s="23"/>
      <c r="U220" s="44"/>
      <c r="V220" s="25"/>
      <c r="W220" s="44"/>
      <c r="X220" s="54"/>
      <c r="Y220" s="22"/>
      <c r="Z220" s="23"/>
      <c r="AA220" s="44"/>
      <c r="AB220" s="25"/>
      <c r="AC220" s="44"/>
      <c r="AD220" s="54"/>
      <c r="AE220" s="22"/>
      <c r="AF220" s="23"/>
      <c r="AG220" s="44"/>
      <c r="AH220" s="25"/>
      <c r="AI220" s="44"/>
      <c r="AJ220" s="46"/>
      <c r="AK220" s="33"/>
      <c r="AL220" s="22"/>
      <c r="AM220" s="23"/>
      <c r="AN220" s="44"/>
      <c r="AO220" s="25"/>
      <c r="AP220" s="44"/>
      <c r="AQ220" s="29"/>
      <c r="AR220" s="29"/>
      <c r="AS220" s="29"/>
      <c r="AT220" s="22"/>
      <c r="AU220" s="23"/>
      <c r="AV220" s="44"/>
      <c r="AW220" s="25"/>
      <c r="AX220" s="44"/>
      <c r="AY220" s="54"/>
      <c r="AZ220" s="22"/>
      <c r="BA220" s="23"/>
      <c r="BB220" s="44"/>
      <c r="BC220" s="25"/>
      <c r="BD220" s="44"/>
      <c r="BE220" s="54"/>
      <c r="BF220" s="22"/>
      <c r="BG220" s="23"/>
      <c r="BH220" s="44"/>
      <c r="BI220" s="25"/>
      <c r="BJ220" s="44"/>
      <c r="BK220" s="46"/>
      <c r="BL220" s="33"/>
      <c r="BM220" s="22"/>
      <c r="BN220" s="23"/>
      <c r="BO220" s="44"/>
      <c r="BP220" s="25"/>
      <c r="BQ220" s="44"/>
      <c r="BR220" s="29"/>
      <c r="BS220" s="29"/>
      <c r="BT220" s="29"/>
      <c r="BU220" s="22"/>
      <c r="BV220" s="23"/>
      <c r="BW220" s="44"/>
      <c r="BX220" s="25"/>
      <c r="BY220" s="44"/>
      <c r="BZ220" s="54"/>
      <c r="CA220" s="22"/>
      <c r="CB220" s="23"/>
      <c r="CC220" s="44"/>
      <c r="CD220" s="25"/>
      <c r="CE220" s="44"/>
      <c r="CF220" s="54"/>
      <c r="CG220" s="22"/>
      <c r="CH220" s="26"/>
      <c r="CI220" s="91"/>
      <c r="CJ220" s="26"/>
      <c r="CK220" s="91"/>
      <c r="CL220" s="26"/>
    </row>
    <row r="221">
      <c r="A221" s="26"/>
      <c r="B221" s="27"/>
      <c r="C221" s="27"/>
      <c r="D221" s="27"/>
      <c r="E221" s="26"/>
      <c r="F221" s="26"/>
      <c r="G221" s="20"/>
      <c r="H221" s="20"/>
      <c r="I221" s="23"/>
      <c r="J221" s="33"/>
      <c r="K221" s="22"/>
      <c r="L221" s="23"/>
      <c r="M221" s="44"/>
      <c r="N221" s="25"/>
      <c r="O221" s="44"/>
      <c r="P221" s="29"/>
      <c r="Q221" s="29"/>
      <c r="R221" s="29"/>
      <c r="S221" s="22"/>
      <c r="T221" s="23"/>
      <c r="U221" s="44"/>
      <c r="V221" s="25"/>
      <c r="W221" s="44"/>
      <c r="X221" s="54"/>
      <c r="Y221" s="22"/>
      <c r="Z221" s="23"/>
      <c r="AA221" s="44"/>
      <c r="AB221" s="25"/>
      <c r="AC221" s="44"/>
      <c r="AD221" s="54"/>
      <c r="AE221" s="22"/>
      <c r="AF221" s="23"/>
      <c r="AG221" s="44"/>
      <c r="AH221" s="25"/>
      <c r="AI221" s="44"/>
      <c r="AJ221" s="46"/>
      <c r="AK221" s="33"/>
      <c r="AL221" s="22"/>
      <c r="AM221" s="23"/>
      <c r="AN221" s="44"/>
      <c r="AO221" s="25"/>
      <c r="AP221" s="44"/>
      <c r="AQ221" s="29"/>
      <c r="AR221" s="29"/>
      <c r="AS221" s="29"/>
      <c r="AT221" s="22"/>
      <c r="AU221" s="23"/>
      <c r="AV221" s="44"/>
      <c r="AW221" s="25"/>
      <c r="AX221" s="44"/>
      <c r="AY221" s="54"/>
      <c r="AZ221" s="22"/>
      <c r="BA221" s="23"/>
      <c r="BB221" s="44"/>
      <c r="BC221" s="25"/>
      <c r="BD221" s="44"/>
      <c r="BE221" s="54"/>
      <c r="BF221" s="22"/>
      <c r="BG221" s="23"/>
      <c r="BH221" s="44"/>
      <c r="BI221" s="25"/>
      <c r="BJ221" s="44"/>
      <c r="BK221" s="46"/>
      <c r="BL221" s="33"/>
      <c r="BM221" s="22"/>
      <c r="BN221" s="23"/>
      <c r="BO221" s="44"/>
      <c r="BP221" s="25"/>
      <c r="BQ221" s="44"/>
      <c r="BR221" s="29"/>
      <c r="BS221" s="29"/>
      <c r="BT221" s="29"/>
      <c r="BU221" s="22"/>
      <c r="BV221" s="23"/>
      <c r="BW221" s="44"/>
      <c r="BX221" s="25"/>
      <c r="BY221" s="44"/>
      <c r="BZ221" s="54"/>
      <c r="CA221" s="22"/>
      <c r="CB221" s="23"/>
      <c r="CC221" s="44"/>
      <c r="CD221" s="25"/>
      <c r="CE221" s="44"/>
      <c r="CF221" s="54"/>
      <c r="CG221" s="22"/>
      <c r="CH221" s="26"/>
      <c r="CI221" s="91"/>
      <c r="CJ221" s="26"/>
      <c r="CK221" s="91"/>
      <c r="CL221" s="26"/>
    </row>
    <row r="222">
      <c r="A222" s="26"/>
      <c r="B222" s="27"/>
      <c r="C222" s="27"/>
      <c r="D222" s="27"/>
      <c r="E222" s="26"/>
      <c r="F222" s="26"/>
      <c r="G222" s="20"/>
      <c r="H222" s="20"/>
      <c r="I222" s="23"/>
      <c r="J222" s="33"/>
      <c r="K222" s="22"/>
      <c r="L222" s="23"/>
      <c r="M222" s="44"/>
      <c r="N222" s="25"/>
      <c r="O222" s="44"/>
      <c r="P222" s="29"/>
      <c r="Q222" s="29"/>
      <c r="R222" s="29"/>
      <c r="S222" s="22"/>
      <c r="T222" s="23"/>
      <c r="U222" s="44"/>
      <c r="V222" s="25"/>
      <c r="W222" s="44"/>
      <c r="X222" s="54"/>
      <c r="Y222" s="22"/>
      <c r="Z222" s="23"/>
      <c r="AA222" s="44"/>
      <c r="AB222" s="25"/>
      <c r="AC222" s="44"/>
      <c r="AD222" s="54"/>
      <c r="AE222" s="22"/>
      <c r="AF222" s="23"/>
      <c r="AG222" s="44"/>
      <c r="AH222" s="25"/>
      <c r="AI222" s="44"/>
      <c r="AJ222" s="46"/>
      <c r="AK222" s="33"/>
      <c r="AL222" s="22"/>
      <c r="AM222" s="23"/>
      <c r="AN222" s="44"/>
      <c r="AO222" s="25"/>
      <c r="AP222" s="44"/>
      <c r="AQ222" s="29"/>
      <c r="AR222" s="29"/>
      <c r="AS222" s="29"/>
      <c r="AT222" s="22"/>
      <c r="AU222" s="23"/>
      <c r="AV222" s="44"/>
      <c r="AW222" s="25"/>
      <c r="AX222" s="44"/>
      <c r="AY222" s="54"/>
      <c r="AZ222" s="22"/>
      <c r="BA222" s="23"/>
      <c r="BB222" s="44"/>
      <c r="BC222" s="25"/>
      <c r="BD222" s="44"/>
      <c r="BE222" s="54"/>
      <c r="BF222" s="22"/>
      <c r="BG222" s="23"/>
      <c r="BH222" s="44"/>
      <c r="BI222" s="25"/>
      <c r="BJ222" s="44"/>
      <c r="BK222" s="46"/>
      <c r="BL222" s="33"/>
      <c r="BM222" s="22"/>
      <c r="BN222" s="23"/>
      <c r="BO222" s="44"/>
      <c r="BP222" s="25"/>
      <c r="BQ222" s="44"/>
      <c r="BR222" s="29"/>
      <c r="BS222" s="29"/>
      <c r="BT222" s="29"/>
      <c r="BU222" s="22"/>
      <c r="BV222" s="23"/>
      <c r="BW222" s="44"/>
      <c r="BX222" s="25"/>
      <c r="BY222" s="44"/>
      <c r="BZ222" s="54"/>
      <c r="CA222" s="22"/>
      <c r="CB222" s="23"/>
      <c r="CC222" s="44"/>
      <c r="CD222" s="25"/>
      <c r="CE222" s="44"/>
      <c r="CF222" s="54"/>
      <c r="CG222" s="22"/>
      <c r="CH222" s="26"/>
      <c r="CI222" s="91"/>
      <c r="CJ222" s="26"/>
      <c r="CK222" s="91"/>
      <c r="CL222" s="26"/>
    </row>
    <row r="223">
      <c r="A223" s="26"/>
      <c r="B223" s="27"/>
      <c r="C223" s="27"/>
      <c r="D223" s="27"/>
      <c r="E223" s="26"/>
      <c r="F223" s="26"/>
      <c r="G223" s="20"/>
      <c r="H223" s="20"/>
      <c r="I223" s="23"/>
      <c r="J223" s="33"/>
      <c r="K223" s="22"/>
      <c r="L223" s="23"/>
      <c r="M223" s="44"/>
      <c r="N223" s="25"/>
      <c r="O223" s="44"/>
      <c r="P223" s="29"/>
      <c r="Q223" s="29"/>
      <c r="R223" s="29"/>
      <c r="S223" s="22"/>
      <c r="T223" s="23"/>
      <c r="U223" s="44"/>
      <c r="V223" s="25"/>
      <c r="W223" s="44"/>
      <c r="X223" s="54"/>
      <c r="Y223" s="22"/>
      <c r="Z223" s="23"/>
      <c r="AA223" s="44"/>
      <c r="AB223" s="25"/>
      <c r="AC223" s="44"/>
      <c r="AD223" s="54"/>
      <c r="AE223" s="22"/>
      <c r="AF223" s="23"/>
      <c r="AG223" s="44"/>
      <c r="AH223" s="25"/>
      <c r="AI223" s="44"/>
      <c r="AJ223" s="46"/>
      <c r="AK223" s="33"/>
      <c r="AL223" s="22"/>
      <c r="AM223" s="23"/>
      <c r="AN223" s="44"/>
      <c r="AO223" s="25"/>
      <c r="AP223" s="44"/>
      <c r="AQ223" s="29"/>
      <c r="AR223" s="29"/>
      <c r="AS223" s="29"/>
      <c r="AT223" s="22"/>
      <c r="AU223" s="23"/>
      <c r="AV223" s="44"/>
      <c r="AW223" s="25"/>
      <c r="AX223" s="44"/>
      <c r="AY223" s="54"/>
      <c r="AZ223" s="22"/>
      <c r="BA223" s="23"/>
      <c r="BB223" s="44"/>
      <c r="BC223" s="25"/>
      <c r="BD223" s="44"/>
      <c r="BE223" s="54"/>
      <c r="BF223" s="22"/>
      <c r="BG223" s="23"/>
      <c r="BH223" s="44"/>
      <c r="BI223" s="25"/>
      <c r="BJ223" s="44"/>
      <c r="BK223" s="46"/>
      <c r="BL223" s="33"/>
      <c r="BM223" s="22"/>
      <c r="BN223" s="23"/>
      <c r="BO223" s="44"/>
      <c r="BP223" s="25"/>
      <c r="BQ223" s="44"/>
      <c r="BR223" s="29"/>
      <c r="BS223" s="29"/>
      <c r="BT223" s="29"/>
      <c r="BU223" s="22"/>
      <c r="BV223" s="23"/>
      <c r="BW223" s="44"/>
      <c r="BX223" s="25"/>
      <c r="BY223" s="44"/>
      <c r="BZ223" s="54"/>
      <c r="CA223" s="22"/>
      <c r="CB223" s="23"/>
      <c r="CC223" s="44"/>
      <c r="CD223" s="25"/>
      <c r="CE223" s="44"/>
      <c r="CF223" s="54"/>
      <c r="CG223" s="22"/>
      <c r="CH223" s="26"/>
      <c r="CI223" s="91"/>
      <c r="CJ223" s="26"/>
      <c r="CK223" s="91"/>
      <c r="CL223" s="26"/>
    </row>
    <row r="224">
      <c r="A224" s="26"/>
      <c r="B224" s="27"/>
      <c r="C224" s="27"/>
      <c r="D224" s="27"/>
      <c r="E224" s="26"/>
      <c r="F224" s="26"/>
      <c r="G224" s="20"/>
      <c r="H224" s="20"/>
      <c r="I224" s="23"/>
      <c r="J224" s="33"/>
      <c r="K224" s="22"/>
      <c r="L224" s="23"/>
      <c r="M224" s="44"/>
      <c r="N224" s="25"/>
      <c r="O224" s="44"/>
      <c r="P224" s="29"/>
      <c r="Q224" s="29"/>
      <c r="R224" s="29"/>
      <c r="S224" s="22"/>
      <c r="T224" s="23"/>
      <c r="U224" s="44"/>
      <c r="V224" s="25"/>
      <c r="W224" s="44"/>
      <c r="X224" s="54"/>
      <c r="Y224" s="22"/>
      <c r="Z224" s="23"/>
      <c r="AA224" s="44"/>
      <c r="AB224" s="25"/>
      <c r="AC224" s="44"/>
      <c r="AD224" s="54"/>
      <c r="AE224" s="22"/>
      <c r="AF224" s="23"/>
      <c r="AG224" s="44"/>
      <c r="AH224" s="25"/>
      <c r="AI224" s="44"/>
      <c r="AJ224" s="46"/>
      <c r="AK224" s="33"/>
      <c r="AL224" s="22"/>
      <c r="AM224" s="23"/>
      <c r="AN224" s="44"/>
      <c r="AO224" s="25"/>
      <c r="AP224" s="44"/>
      <c r="AQ224" s="29"/>
      <c r="AR224" s="29"/>
      <c r="AS224" s="29"/>
      <c r="AT224" s="22"/>
      <c r="AU224" s="23"/>
      <c r="AV224" s="44"/>
      <c r="AW224" s="25"/>
      <c r="AX224" s="44"/>
      <c r="AY224" s="54"/>
      <c r="AZ224" s="22"/>
      <c r="BA224" s="23"/>
      <c r="BB224" s="44"/>
      <c r="BC224" s="25"/>
      <c r="BD224" s="44"/>
      <c r="BE224" s="54"/>
      <c r="BF224" s="22"/>
      <c r="BG224" s="23"/>
      <c r="BH224" s="44"/>
      <c r="BI224" s="25"/>
      <c r="BJ224" s="44"/>
      <c r="BK224" s="46"/>
      <c r="BL224" s="33"/>
      <c r="BM224" s="22"/>
      <c r="BN224" s="23"/>
      <c r="BO224" s="44"/>
      <c r="BP224" s="25"/>
      <c r="BQ224" s="44"/>
      <c r="BR224" s="29"/>
      <c r="BS224" s="29"/>
      <c r="BT224" s="29"/>
      <c r="BU224" s="22"/>
      <c r="BV224" s="23"/>
      <c r="BW224" s="44"/>
      <c r="BX224" s="25"/>
      <c r="BY224" s="44"/>
      <c r="BZ224" s="54"/>
      <c r="CA224" s="22"/>
      <c r="CB224" s="23"/>
      <c r="CC224" s="44"/>
      <c r="CD224" s="25"/>
      <c r="CE224" s="44"/>
      <c r="CF224" s="54"/>
      <c r="CG224" s="22"/>
      <c r="CH224" s="26"/>
      <c r="CI224" s="91"/>
      <c r="CJ224" s="26"/>
      <c r="CK224" s="91"/>
      <c r="CL224" s="26"/>
    </row>
    <row r="225">
      <c r="A225" s="26"/>
      <c r="B225" s="27"/>
      <c r="C225" s="27"/>
      <c r="D225" s="27"/>
      <c r="E225" s="26"/>
      <c r="F225" s="26"/>
      <c r="G225" s="20"/>
      <c r="H225" s="20"/>
      <c r="I225" s="23"/>
      <c r="J225" s="33"/>
      <c r="K225" s="22"/>
      <c r="L225" s="23"/>
      <c r="M225" s="44"/>
      <c r="N225" s="25"/>
      <c r="O225" s="44"/>
      <c r="P225" s="29"/>
      <c r="Q225" s="29"/>
      <c r="R225" s="29"/>
      <c r="S225" s="22"/>
      <c r="T225" s="23"/>
      <c r="U225" s="44"/>
      <c r="V225" s="25"/>
      <c r="W225" s="44"/>
      <c r="X225" s="54"/>
      <c r="Y225" s="22"/>
      <c r="Z225" s="23"/>
      <c r="AA225" s="44"/>
      <c r="AB225" s="25"/>
      <c r="AC225" s="44"/>
      <c r="AD225" s="54"/>
      <c r="AE225" s="22"/>
      <c r="AF225" s="23"/>
      <c r="AG225" s="44"/>
      <c r="AH225" s="25"/>
      <c r="AI225" s="44"/>
      <c r="AJ225" s="46"/>
      <c r="AK225" s="33"/>
      <c r="AL225" s="22"/>
      <c r="AM225" s="23"/>
      <c r="AN225" s="44"/>
      <c r="AO225" s="25"/>
      <c r="AP225" s="44"/>
      <c r="AQ225" s="29"/>
      <c r="AR225" s="29"/>
      <c r="AS225" s="29"/>
      <c r="AT225" s="22"/>
      <c r="AU225" s="23"/>
      <c r="AV225" s="44"/>
      <c r="AW225" s="25"/>
      <c r="AX225" s="44"/>
      <c r="AY225" s="54"/>
      <c r="AZ225" s="22"/>
      <c r="BA225" s="23"/>
      <c r="BB225" s="44"/>
      <c r="BC225" s="25"/>
      <c r="BD225" s="44"/>
      <c r="BE225" s="54"/>
      <c r="BF225" s="22"/>
      <c r="BG225" s="23"/>
      <c r="BH225" s="44"/>
      <c r="BI225" s="25"/>
      <c r="BJ225" s="44"/>
      <c r="BK225" s="46"/>
      <c r="BL225" s="33"/>
      <c r="BM225" s="22"/>
      <c r="BN225" s="23"/>
      <c r="BO225" s="44"/>
      <c r="BP225" s="25"/>
      <c r="BQ225" s="44"/>
      <c r="BR225" s="29"/>
      <c r="BS225" s="29"/>
      <c r="BT225" s="29"/>
      <c r="BU225" s="22"/>
      <c r="BV225" s="23"/>
      <c r="BW225" s="44"/>
      <c r="BX225" s="25"/>
      <c r="BY225" s="44"/>
      <c r="BZ225" s="54"/>
      <c r="CA225" s="22"/>
      <c r="CB225" s="23"/>
      <c r="CC225" s="44"/>
      <c r="CD225" s="25"/>
      <c r="CE225" s="44"/>
      <c r="CF225" s="54"/>
      <c r="CG225" s="22"/>
      <c r="CH225" s="26"/>
      <c r="CI225" s="91"/>
      <c r="CJ225" s="26"/>
      <c r="CK225" s="91"/>
      <c r="CL225" s="26"/>
    </row>
    <row r="226">
      <c r="A226" s="26"/>
      <c r="B226" s="27"/>
      <c r="C226" s="27"/>
      <c r="D226" s="27"/>
      <c r="E226" s="26"/>
      <c r="F226" s="26"/>
      <c r="G226" s="20"/>
      <c r="H226" s="20"/>
      <c r="I226" s="23"/>
      <c r="J226" s="33"/>
      <c r="K226" s="22"/>
      <c r="L226" s="23"/>
      <c r="M226" s="44"/>
      <c r="N226" s="25"/>
      <c r="O226" s="44"/>
      <c r="P226" s="29"/>
      <c r="Q226" s="29"/>
      <c r="R226" s="29"/>
      <c r="S226" s="22"/>
      <c r="T226" s="23"/>
      <c r="U226" s="44"/>
      <c r="V226" s="25"/>
      <c r="W226" s="44"/>
      <c r="X226" s="54"/>
      <c r="Y226" s="22"/>
      <c r="Z226" s="23"/>
      <c r="AA226" s="44"/>
      <c r="AB226" s="25"/>
      <c r="AC226" s="44"/>
      <c r="AD226" s="54"/>
      <c r="AE226" s="22"/>
      <c r="AF226" s="23"/>
      <c r="AG226" s="44"/>
      <c r="AH226" s="25"/>
      <c r="AI226" s="44"/>
      <c r="AJ226" s="46"/>
      <c r="AK226" s="33"/>
      <c r="AL226" s="22"/>
      <c r="AM226" s="23"/>
      <c r="AN226" s="44"/>
      <c r="AO226" s="25"/>
      <c r="AP226" s="44"/>
      <c r="AQ226" s="29"/>
      <c r="AR226" s="29"/>
      <c r="AS226" s="29"/>
      <c r="AT226" s="22"/>
      <c r="AU226" s="23"/>
      <c r="AV226" s="44"/>
      <c r="AW226" s="25"/>
      <c r="AX226" s="44"/>
      <c r="AY226" s="54"/>
      <c r="AZ226" s="22"/>
      <c r="BA226" s="23"/>
      <c r="BB226" s="44"/>
      <c r="BC226" s="25"/>
      <c r="BD226" s="44"/>
      <c r="BE226" s="54"/>
      <c r="BF226" s="22"/>
      <c r="BG226" s="23"/>
      <c r="BH226" s="44"/>
      <c r="BI226" s="25"/>
      <c r="BJ226" s="44"/>
      <c r="BK226" s="46"/>
      <c r="BL226" s="33"/>
      <c r="BM226" s="22"/>
      <c r="BN226" s="23"/>
      <c r="BO226" s="44"/>
      <c r="BP226" s="25"/>
      <c r="BQ226" s="44"/>
      <c r="BR226" s="29"/>
      <c r="BS226" s="29"/>
      <c r="BT226" s="29"/>
      <c r="BU226" s="22"/>
      <c r="BV226" s="23"/>
      <c r="BW226" s="44"/>
      <c r="BX226" s="25"/>
      <c r="BY226" s="44"/>
      <c r="BZ226" s="54"/>
      <c r="CA226" s="22"/>
      <c r="CB226" s="23"/>
      <c r="CC226" s="44"/>
      <c r="CD226" s="25"/>
      <c r="CE226" s="44"/>
      <c r="CF226" s="54"/>
      <c r="CG226" s="22"/>
      <c r="CH226" s="26"/>
      <c r="CI226" s="91"/>
      <c r="CJ226" s="26"/>
      <c r="CK226" s="91"/>
      <c r="CL226" s="26"/>
    </row>
    <row r="227">
      <c r="A227" s="26"/>
      <c r="B227" s="27"/>
      <c r="C227" s="27"/>
      <c r="D227" s="27"/>
      <c r="E227" s="26"/>
      <c r="F227" s="26"/>
      <c r="G227" s="20"/>
      <c r="H227" s="20"/>
      <c r="I227" s="23"/>
      <c r="J227" s="33"/>
      <c r="K227" s="22"/>
      <c r="L227" s="23"/>
      <c r="M227" s="44"/>
      <c r="N227" s="25"/>
      <c r="O227" s="44"/>
      <c r="P227" s="29"/>
      <c r="Q227" s="29"/>
      <c r="R227" s="29"/>
      <c r="S227" s="22"/>
      <c r="T227" s="23"/>
      <c r="U227" s="44"/>
      <c r="V227" s="25"/>
      <c r="W227" s="44"/>
      <c r="X227" s="54"/>
      <c r="Y227" s="22"/>
      <c r="Z227" s="23"/>
      <c r="AA227" s="44"/>
      <c r="AB227" s="25"/>
      <c r="AC227" s="44"/>
      <c r="AD227" s="54"/>
      <c r="AE227" s="22"/>
      <c r="AF227" s="23"/>
      <c r="AG227" s="44"/>
      <c r="AH227" s="25"/>
      <c r="AI227" s="44"/>
      <c r="AJ227" s="46"/>
      <c r="AK227" s="33"/>
      <c r="AL227" s="22"/>
      <c r="AM227" s="23"/>
      <c r="AN227" s="44"/>
      <c r="AO227" s="25"/>
      <c r="AP227" s="44"/>
      <c r="AQ227" s="29"/>
      <c r="AR227" s="29"/>
      <c r="AS227" s="29"/>
      <c r="AT227" s="22"/>
      <c r="AU227" s="23"/>
      <c r="AV227" s="44"/>
      <c r="AW227" s="25"/>
      <c r="AX227" s="44"/>
      <c r="AY227" s="54"/>
      <c r="AZ227" s="22"/>
      <c r="BA227" s="23"/>
      <c r="BB227" s="44"/>
      <c r="BC227" s="25"/>
      <c r="BD227" s="44"/>
      <c r="BE227" s="54"/>
      <c r="BF227" s="22"/>
      <c r="BG227" s="23"/>
      <c r="BH227" s="44"/>
      <c r="BI227" s="25"/>
      <c r="BJ227" s="44"/>
      <c r="BK227" s="46"/>
      <c r="BL227" s="33"/>
      <c r="BM227" s="22"/>
      <c r="BN227" s="23"/>
      <c r="BO227" s="44"/>
      <c r="BP227" s="25"/>
      <c r="BQ227" s="44"/>
      <c r="BR227" s="29"/>
      <c r="BS227" s="29"/>
      <c r="BT227" s="29"/>
      <c r="BU227" s="22"/>
      <c r="BV227" s="23"/>
      <c r="BW227" s="44"/>
      <c r="BX227" s="25"/>
      <c r="BY227" s="44"/>
      <c r="BZ227" s="54"/>
      <c r="CA227" s="22"/>
      <c r="CB227" s="23"/>
      <c r="CC227" s="44"/>
      <c r="CD227" s="25"/>
      <c r="CE227" s="44"/>
      <c r="CF227" s="54"/>
      <c r="CG227" s="22"/>
      <c r="CH227" s="26"/>
      <c r="CI227" s="91"/>
      <c r="CJ227" s="26"/>
      <c r="CK227" s="91"/>
      <c r="CL227" s="26"/>
    </row>
    <row r="228">
      <c r="A228" s="26"/>
      <c r="B228" s="27"/>
      <c r="C228" s="27"/>
      <c r="D228" s="27"/>
      <c r="E228" s="26"/>
      <c r="F228" s="26"/>
      <c r="G228" s="20"/>
      <c r="H228" s="20"/>
      <c r="I228" s="23"/>
      <c r="J228" s="33"/>
      <c r="K228" s="22"/>
      <c r="L228" s="23"/>
      <c r="M228" s="44"/>
      <c r="N228" s="25"/>
      <c r="O228" s="44"/>
      <c r="P228" s="29"/>
      <c r="Q228" s="29"/>
      <c r="R228" s="29"/>
      <c r="S228" s="22"/>
      <c r="T228" s="23"/>
      <c r="U228" s="44"/>
      <c r="V228" s="25"/>
      <c r="W228" s="44"/>
      <c r="X228" s="54"/>
      <c r="Y228" s="22"/>
      <c r="Z228" s="23"/>
      <c r="AA228" s="44"/>
      <c r="AB228" s="25"/>
      <c r="AC228" s="44"/>
      <c r="AD228" s="54"/>
      <c r="AE228" s="22"/>
      <c r="AF228" s="23"/>
      <c r="AG228" s="44"/>
      <c r="AH228" s="25"/>
      <c r="AI228" s="44"/>
      <c r="AJ228" s="46"/>
      <c r="AK228" s="33"/>
      <c r="AL228" s="22"/>
      <c r="AM228" s="23"/>
      <c r="AN228" s="44"/>
      <c r="AO228" s="25"/>
      <c r="AP228" s="44"/>
      <c r="AQ228" s="29"/>
      <c r="AR228" s="29"/>
      <c r="AS228" s="29"/>
      <c r="AT228" s="22"/>
      <c r="AU228" s="23"/>
      <c r="AV228" s="44"/>
      <c r="AW228" s="25"/>
      <c r="AX228" s="44"/>
      <c r="AY228" s="54"/>
      <c r="AZ228" s="22"/>
      <c r="BA228" s="23"/>
      <c r="BB228" s="44"/>
      <c r="BC228" s="25"/>
      <c r="BD228" s="44"/>
      <c r="BE228" s="54"/>
      <c r="BF228" s="22"/>
      <c r="BG228" s="23"/>
      <c r="BH228" s="44"/>
      <c r="BI228" s="25"/>
      <c r="BJ228" s="44"/>
      <c r="BK228" s="46"/>
      <c r="BL228" s="33"/>
      <c r="BM228" s="22"/>
      <c r="BN228" s="23"/>
      <c r="BO228" s="44"/>
      <c r="BP228" s="25"/>
      <c r="BQ228" s="44"/>
      <c r="BR228" s="29"/>
      <c r="BS228" s="29"/>
      <c r="BT228" s="29"/>
      <c r="BU228" s="22"/>
      <c r="BV228" s="23"/>
      <c r="BW228" s="44"/>
      <c r="BX228" s="25"/>
      <c r="BY228" s="44"/>
      <c r="BZ228" s="54"/>
      <c r="CA228" s="22"/>
      <c r="CB228" s="23"/>
      <c r="CC228" s="44"/>
      <c r="CD228" s="25"/>
      <c r="CE228" s="44"/>
      <c r="CF228" s="54"/>
      <c r="CG228" s="22"/>
      <c r="CH228" s="26"/>
      <c r="CI228" s="91"/>
      <c r="CJ228" s="26"/>
      <c r="CK228" s="91"/>
      <c r="CL228" s="26"/>
    </row>
    <row r="229">
      <c r="A229" s="26"/>
      <c r="B229" s="27"/>
      <c r="C229" s="27"/>
      <c r="D229" s="27"/>
      <c r="E229" s="26"/>
      <c r="F229" s="26"/>
      <c r="G229" s="20"/>
      <c r="H229" s="20"/>
      <c r="I229" s="23"/>
      <c r="J229" s="33"/>
      <c r="K229" s="22"/>
      <c r="L229" s="23"/>
      <c r="M229" s="44"/>
      <c r="N229" s="25"/>
      <c r="O229" s="44"/>
      <c r="P229" s="29"/>
      <c r="Q229" s="29"/>
      <c r="R229" s="29"/>
      <c r="S229" s="22"/>
      <c r="T229" s="23"/>
      <c r="U229" s="44"/>
      <c r="V229" s="25"/>
      <c r="W229" s="44"/>
      <c r="X229" s="54"/>
      <c r="Y229" s="22"/>
      <c r="Z229" s="23"/>
      <c r="AA229" s="44"/>
      <c r="AB229" s="25"/>
      <c r="AC229" s="44"/>
      <c r="AD229" s="54"/>
      <c r="AE229" s="22"/>
      <c r="AF229" s="23"/>
      <c r="AG229" s="44"/>
      <c r="AH229" s="25"/>
      <c r="AI229" s="44"/>
      <c r="AJ229" s="46"/>
      <c r="AK229" s="33"/>
      <c r="AL229" s="22"/>
      <c r="AM229" s="23"/>
      <c r="AN229" s="44"/>
      <c r="AO229" s="25"/>
      <c r="AP229" s="44"/>
      <c r="AQ229" s="29"/>
      <c r="AR229" s="29"/>
      <c r="AS229" s="29"/>
      <c r="AT229" s="22"/>
      <c r="AU229" s="23"/>
      <c r="AV229" s="44"/>
      <c r="AW229" s="25"/>
      <c r="AX229" s="44"/>
      <c r="AY229" s="54"/>
      <c r="AZ229" s="22"/>
      <c r="BA229" s="23"/>
      <c r="BB229" s="44"/>
      <c r="BC229" s="25"/>
      <c r="BD229" s="44"/>
      <c r="BE229" s="54"/>
      <c r="BF229" s="22"/>
      <c r="BG229" s="23"/>
      <c r="BH229" s="44"/>
      <c r="BI229" s="25"/>
      <c r="BJ229" s="44"/>
      <c r="BK229" s="46"/>
      <c r="BL229" s="33"/>
      <c r="BM229" s="22"/>
      <c r="BN229" s="23"/>
      <c r="BO229" s="44"/>
      <c r="BP229" s="25"/>
      <c r="BQ229" s="44"/>
      <c r="BR229" s="29"/>
      <c r="BS229" s="29"/>
      <c r="BT229" s="29"/>
      <c r="BU229" s="22"/>
      <c r="BV229" s="23"/>
      <c r="BW229" s="44"/>
      <c r="BX229" s="25"/>
      <c r="BY229" s="44"/>
      <c r="BZ229" s="54"/>
      <c r="CA229" s="22"/>
      <c r="CB229" s="23"/>
      <c r="CC229" s="44"/>
      <c r="CD229" s="25"/>
      <c r="CE229" s="44"/>
      <c r="CF229" s="54"/>
      <c r="CG229" s="22"/>
      <c r="CH229" s="26"/>
      <c r="CI229" s="91"/>
      <c r="CJ229" s="26"/>
      <c r="CK229" s="91"/>
      <c r="CL229" s="26"/>
    </row>
    <row r="230">
      <c r="A230" s="26"/>
      <c r="B230" s="27"/>
      <c r="C230" s="27"/>
      <c r="D230" s="27"/>
      <c r="E230" s="26"/>
      <c r="F230" s="26"/>
      <c r="G230" s="20"/>
      <c r="H230" s="20"/>
      <c r="I230" s="23"/>
      <c r="J230" s="33"/>
      <c r="K230" s="22"/>
      <c r="L230" s="23"/>
      <c r="M230" s="44"/>
      <c r="N230" s="25"/>
      <c r="O230" s="44"/>
      <c r="P230" s="29"/>
      <c r="Q230" s="29"/>
      <c r="R230" s="29"/>
      <c r="S230" s="22"/>
      <c r="T230" s="23"/>
      <c r="U230" s="44"/>
      <c r="V230" s="25"/>
      <c r="W230" s="44"/>
      <c r="X230" s="54"/>
      <c r="Y230" s="22"/>
      <c r="Z230" s="23"/>
      <c r="AA230" s="44"/>
      <c r="AB230" s="25"/>
      <c r="AC230" s="44"/>
      <c r="AD230" s="54"/>
      <c r="AE230" s="22"/>
      <c r="AF230" s="23"/>
      <c r="AG230" s="44"/>
      <c r="AH230" s="25"/>
      <c r="AI230" s="44"/>
      <c r="AJ230" s="46"/>
      <c r="AK230" s="33"/>
      <c r="AL230" s="22"/>
      <c r="AM230" s="23"/>
      <c r="AN230" s="44"/>
      <c r="AO230" s="25"/>
      <c r="AP230" s="44"/>
      <c r="AQ230" s="29"/>
      <c r="AR230" s="29"/>
      <c r="AS230" s="29"/>
      <c r="AT230" s="22"/>
      <c r="AU230" s="23"/>
      <c r="AV230" s="44"/>
      <c r="AW230" s="25"/>
      <c r="AX230" s="44"/>
      <c r="AY230" s="54"/>
      <c r="AZ230" s="22"/>
      <c r="BA230" s="23"/>
      <c r="BB230" s="44"/>
      <c r="BC230" s="25"/>
      <c r="BD230" s="44"/>
      <c r="BE230" s="54"/>
      <c r="BF230" s="22"/>
      <c r="BG230" s="23"/>
      <c r="BH230" s="44"/>
      <c r="BI230" s="25"/>
      <c r="BJ230" s="44"/>
      <c r="BK230" s="46"/>
      <c r="BL230" s="33"/>
      <c r="BM230" s="22"/>
      <c r="BN230" s="23"/>
      <c r="BO230" s="44"/>
      <c r="BP230" s="25"/>
      <c r="BQ230" s="44"/>
      <c r="BR230" s="29"/>
      <c r="BS230" s="29"/>
      <c r="BT230" s="29"/>
      <c r="BU230" s="22"/>
      <c r="BV230" s="23"/>
      <c r="BW230" s="44"/>
      <c r="BX230" s="25"/>
      <c r="BY230" s="44"/>
      <c r="BZ230" s="54"/>
      <c r="CA230" s="22"/>
      <c r="CB230" s="23"/>
      <c r="CC230" s="44"/>
      <c r="CD230" s="25"/>
      <c r="CE230" s="44"/>
      <c r="CF230" s="54"/>
      <c r="CG230" s="22"/>
      <c r="CH230" s="26"/>
      <c r="CI230" s="91"/>
      <c r="CJ230" s="26"/>
      <c r="CK230" s="91"/>
      <c r="CL230" s="26"/>
    </row>
    <row r="231">
      <c r="A231" s="26"/>
      <c r="B231" s="27"/>
      <c r="C231" s="27"/>
      <c r="D231" s="27"/>
      <c r="E231" s="26"/>
      <c r="F231" s="26"/>
      <c r="G231" s="20"/>
      <c r="H231" s="20"/>
      <c r="I231" s="23"/>
      <c r="J231" s="33"/>
      <c r="K231" s="22"/>
      <c r="L231" s="23"/>
      <c r="M231" s="44"/>
      <c r="N231" s="25"/>
      <c r="O231" s="44"/>
      <c r="P231" s="29"/>
      <c r="Q231" s="29"/>
      <c r="R231" s="29"/>
      <c r="S231" s="22"/>
      <c r="T231" s="23"/>
      <c r="U231" s="44"/>
      <c r="V231" s="25"/>
      <c r="W231" s="44"/>
      <c r="X231" s="54"/>
      <c r="Y231" s="22"/>
      <c r="Z231" s="23"/>
      <c r="AA231" s="44"/>
      <c r="AB231" s="25"/>
      <c r="AC231" s="44"/>
      <c r="AD231" s="54"/>
      <c r="AE231" s="22"/>
      <c r="AF231" s="23"/>
      <c r="AG231" s="44"/>
      <c r="AH231" s="25"/>
      <c r="AI231" s="44"/>
      <c r="AJ231" s="46"/>
      <c r="AK231" s="33"/>
      <c r="AL231" s="22"/>
      <c r="AM231" s="23"/>
      <c r="AN231" s="44"/>
      <c r="AO231" s="25"/>
      <c r="AP231" s="44"/>
      <c r="AQ231" s="29"/>
      <c r="AR231" s="29"/>
      <c r="AS231" s="29"/>
      <c r="AT231" s="22"/>
      <c r="AU231" s="23"/>
      <c r="AV231" s="44"/>
      <c r="AW231" s="25"/>
      <c r="AX231" s="44"/>
      <c r="AY231" s="54"/>
      <c r="AZ231" s="22"/>
      <c r="BA231" s="23"/>
      <c r="BB231" s="44"/>
      <c r="BC231" s="25"/>
      <c r="BD231" s="44"/>
      <c r="BE231" s="54"/>
      <c r="BF231" s="22"/>
      <c r="BG231" s="23"/>
      <c r="BH231" s="44"/>
      <c r="BI231" s="25"/>
      <c r="BJ231" s="44"/>
      <c r="BK231" s="46"/>
      <c r="BL231" s="33"/>
      <c r="BM231" s="22"/>
      <c r="BN231" s="23"/>
      <c r="BO231" s="44"/>
      <c r="BP231" s="25"/>
      <c r="BQ231" s="44"/>
      <c r="BR231" s="29"/>
      <c r="BS231" s="29"/>
      <c r="BT231" s="29"/>
      <c r="BU231" s="22"/>
      <c r="BV231" s="23"/>
      <c r="BW231" s="44"/>
      <c r="BX231" s="25"/>
      <c r="BY231" s="44"/>
      <c r="BZ231" s="54"/>
      <c r="CA231" s="22"/>
      <c r="CB231" s="23"/>
      <c r="CC231" s="44"/>
      <c r="CD231" s="25"/>
      <c r="CE231" s="44"/>
      <c r="CF231" s="54"/>
      <c r="CG231" s="22"/>
      <c r="CH231" s="26"/>
      <c r="CI231" s="91"/>
      <c r="CJ231" s="26"/>
      <c r="CK231" s="91"/>
      <c r="CL231" s="26"/>
    </row>
    <row r="232">
      <c r="A232" s="26"/>
      <c r="B232" s="27"/>
      <c r="C232" s="27"/>
      <c r="D232" s="27"/>
      <c r="E232" s="26"/>
      <c r="F232" s="26"/>
      <c r="G232" s="20"/>
      <c r="H232" s="20"/>
      <c r="I232" s="23"/>
      <c r="J232" s="33"/>
      <c r="K232" s="22"/>
      <c r="L232" s="23"/>
      <c r="M232" s="44"/>
      <c r="N232" s="25"/>
      <c r="O232" s="44"/>
      <c r="P232" s="29"/>
      <c r="Q232" s="29"/>
      <c r="R232" s="29"/>
      <c r="S232" s="22"/>
      <c r="T232" s="23"/>
      <c r="U232" s="44"/>
      <c r="V232" s="25"/>
      <c r="W232" s="44"/>
      <c r="X232" s="54"/>
      <c r="Y232" s="22"/>
      <c r="Z232" s="23"/>
      <c r="AA232" s="44"/>
      <c r="AB232" s="25"/>
      <c r="AC232" s="44"/>
      <c r="AD232" s="54"/>
      <c r="AE232" s="22"/>
      <c r="AF232" s="23"/>
      <c r="AG232" s="44"/>
      <c r="AH232" s="25"/>
      <c r="AI232" s="44"/>
      <c r="AJ232" s="46"/>
      <c r="AK232" s="33"/>
      <c r="AL232" s="22"/>
      <c r="AM232" s="23"/>
      <c r="AN232" s="44"/>
      <c r="AO232" s="25"/>
      <c r="AP232" s="44"/>
      <c r="AQ232" s="29"/>
      <c r="AR232" s="29"/>
      <c r="AS232" s="29"/>
      <c r="AT232" s="22"/>
      <c r="AU232" s="23"/>
      <c r="AV232" s="44"/>
      <c r="AW232" s="25"/>
      <c r="AX232" s="44"/>
      <c r="AY232" s="54"/>
      <c r="AZ232" s="22"/>
      <c r="BA232" s="23"/>
      <c r="BB232" s="44"/>
      <c r="BC232" s="25"/>
      <c r="BD232" s="44"/>
      <c r="BE232" s="54"/>
      <c r="BF232" s="22"/>
      <c r="BG232" s="23"/>
      <c r="BH232" s="44"/>
      <c r="BI232" s="25"/>
      <c r="BJ232" s="44"/>
      <c r="BK232" s="46"/>
      <c r="BL232" s="33"/>
      <c r="BM232" s="22"/>
      <c r="BN232" s="23"/>
      <c r="BO232" s="44"/>
      <c r="BP232" s="25"/>
      <c r="BQ232" s="44"/>
      <c r="BR232" s="29"/>
      <c r="BS232" s="29"/>
      <c r="BT232" s="29"/>
      <c r="BU232" s="22"/>
      <c r="BV232" s="23"/>
      <c r="BW232" s="44"/>
      <c r="BX232" s="25"/>
      <c r="BY232" s="44"/>
      <c r="BZ232" s="54"/>
      <c r="CA232" s="22"/>
      <c r="CB232" s="23"/>
      <c r="CC232" s="44"/>
      <c r="CD232" s="25"/>
      <c r="CE232" s="44"/>
      <c r="CF232" s="54"/>
      <c r="CG232" s="22"/>
      <c r="CH232" s="26"/>
      <c r="CI232" s="91"/>
      <c r="CJ232" s="26"/>
      <c r="CK232" s="91"/>
      <c r="CL232" s="26"/>
    </row>
    <row r="233">
      <c r="A233" s="26"/>
      <c r="B233" s="27"/>
      <c r="C233" s="27"/>
      <c r="D233" s="27"/>
      <c r="E233" s="26"/>
      <c r="F233" s="26"/>
      <c r="G233" s="20"/>
      <c r="H233" s="20"/>
      <c r="I233" s="23"/>
      <c r="J233" s="33"/>
      <c r="K233" s="22"/>
      <c r="L233" s="23"/>
      <c r="M233" s="44"/>
      <c r="N233" s="25"/>
      <c r="O233" s="44"/>
      <c r="P233" s="29"/>
      <c r="Q233" s="29"/>
      <c r="R233" s="29"/>
      <c r="S233" s="22"/>
      <c r="T233" s="23"/>
      <c r="U233" s="44"/>
      <c r="V233" s="25"/>
      <c r="W233" s="44"/>
      <c r="X233" s="54"/>
      <c r="Y233" s="22"/>
      <c r="Z233" s="23"/>
      <c r="AA233" s="44"/>
      <c r="AB233" s="25"/>
      <c r="AC233" s="44"/>
      <c r="AD233" s="54"/>
      <c r="AE233" s="22"/>
      <c r="AF233" s="23"/>
      <c r="AG233" s="44"/>
      <c r="AH233" s="25"/>
      <c r="AI233" s="44"/>
      <c r="AJ233" s="46"/>
      <c r="AK233" s="33"/>
      <c r="AL233" s="22"/>
      <c r="AM233" s="23"/>
      <c r="AN233" s="44"/>
      <c r="AO233" s="25"/>
      <c r="AP233" s="44"/>
      <c r="AQ233" s="29"/>
      <c r="AR233" s="29"/>
      <c r="AS233" s="29"/>
      <c r="AT233" s="22"/>
      <c r="AU233" s="23"/>
      <c r="AV233" s="44"/>
      <c r="AW233" s="25"/>
      <c r="AX233" s="44"/>
      <c r="AY233" s="54"/>
      <c r="AZ233" s="22"/>
      <c r="BA233" s="23"/>
      <c r="BB233" s="44"/>
      <c r="BC233" s="25"/>
      <c r="BD233" s="44"/>
      <c r="BE233" s="54"/>
      <c r="BF233" s="22"/>
      <c r="BG233" s="23"/>
      <c r="BH233" s="44"/>
      <c r="BI233" s="25"/>
      <c r="BJ233" s="44"/>
      <c r="BK233" s="46"/>
      <c r="BL233" s="33"/>
      <c r="BM233" s="22"/>
      <c r="BN233" s="23"/>
      <c r="BO233" s="44"/>
      <c r="BP233" s="25"/>
      <c r="BQ233" s="44"/>
      <c r="BR233" s="29"/>
      <c r="BS233" s="29"/>
      <c r="BT233" s="29"/>
      <c r="BU233" s="22"/>
      <c r="BV233" s="23"/>
      <c r="BW233" s="44"/>
      <c r="BX233" s="25"/>
      <c r="BY233" s="44"/>
      <c r="BZ233" s="54"/>
      <c r="CA233" s="22"/>
      <c r="CB233" s="23"/>
      <c r="CC233" s="44"/>
      <c r="CD233" s="25"/>
      <c r="CE233" s="44"/>
      <c r="CF233" s="54"/>
      <c r="CG233" s="22"/>
      <c r="CH233" s="26"/>
      <c r="CI233" s="91"/>
      <c r="CJ233" s="26"/>
      <c r="CK233" s="91"/>
      <c r="CL233" s="26"/>
    </row>
    <row r="234">
      <c r="A234" s="26"/>
      <c r="B234" s="27"/>
      <c r="C234" s="27"/>
      <c r="D234" s="27"/>
      <c r="E234" s="26"/>
      <c r="F234" s="26"/>
      <c r="G234" s="20"/>
      <c r="H234" s="20"/>
      <c r="I234" s="23"/>
      <c r="J234" s="33"/>
      <c r="K234" s="22"/>
      <c r="L234" s="23"/>
      <c r="M234" s="44"/>
      <c r="N234" s="25"/>
      <c r="O234" s="44"/>
      <c r="P234" s="29"/>
      <c r="Q234" s="29"/>
      <c r="R234" s="29"/>
      <c r="S234" s="22"/>
      <c r="T234" s="23"/>
      <c r="U234" s="44"/>
      <c r="V234" s="25"/>
      <c r="W234" s="44"/>
      <c r="X234" s="54"/>
      <c r="Y234" s="22"/>
      <c r="Z234" s="23"/>
      <c r="AA234" s="44"/>
      <c r="AB234" s="25"/>
      <c r="AC234" s="44"/>
      <c r="AD234" s="54"/>
      <c r="AE234" s="22"/>
      <c r="AF234" s="23"/>
      <c r="AG234" s="44"/>
      <c r="AH234" s="25"/>
      <c r="AI234" s="44"/>
      <c r="AJ234" s="46"/>
      <c r="AK234" s="33"/>
      <c r="AL234" s="22"/>
      <c r="AM234" s="23"/>
      <c r="AN234" s="44"/>
      <c r="AO234" s="25"/>
      <c r="AP234" s="44"/>
      <c r="AQ234" s="29"/>
      <c r="AR234" s="29"/>
      <c r="AS234" s="29"/>
      <c r="AT234" s="22"/>
      <c r="AU234" s="23"/>
      <c r="AV234" s="44"/>
      <c r="AW234" s="25"/>
      <c r="AX234" s="44"/>
      <c r="AY234" s="54"/>
      <c r="AZ234" s="22"/>
      <c r="BA234" s="23"/>
      <c r="BB234" s="44"/>
      <c r="BC234" s="25"/>
      <c r="BD234" s="44"/>
      <c r="BE234" s="54"/>
      <c r="BF234" s="22"/>
      <c r="BG234" s="23"/>
      <c r="BH234" s="44"/>
      <c r="BI234" s="25"/>
      <c r="BJ234" s="44"/>
      <c r="BK234" s="46"/>
      <c r="BL234" s="33"/>
      <c r="BM234" s="22"/>
      <c r="BN234" s="23"/>
      <c r="BO234" s="44"/>
      <c r="BP234" s="25"/>
      <c r="BQ234" s="44"/>
      <c r="BR234" s="29"/>
      <c r="BS234" s="29"/>
      <c r="BT234" s="29"/>
      <c r="BU234" s="22"/>
      <c r="BV234" s="23"/>
      <c r="BW234" s="44"/>
      <c r="BX234" s="25"/>
      <c r="BY234" s="44"/>
      <c r="BZ234" s="54"/>
      <c r="CA234" s="22"/>
      <c r="CB234" s="23"/>
      <c r="CC234" s="44"/>
      <c r="CD234" s="25"/>
      <c r="CE234" s="44"/>
      <c r="CF234" s="54"/>
      <c r="CG234" s="22"/>
      <c r="CH234" s="26"/>
      <c r="CI234" s="91"/>
      <c r="CJ234" s="26"/>
      <c r="CK234" s="91"/>
      <c r="CL234" s="26"/>
    </row>
    <row r="235">
      <c r="A235" s="26"/>
      <c r="B235" s="27"/>
      <c r="C235" s="27"/>
      <c r="D235" s="27"/>
      <c r="E235" s="26"/>
      <c r="F235" s="26"/>
      <c r="G235" s="20"/>
      <c r="H235" s="20"/>
      <c r="I235" s="23"/>
      <c r="J235" s="33"/>
      <c r="K235" s="22"/>
      <c r="L235" s="23"/>
      <c r="M235" s="44"/>
      <c r="N235" s="25"/>
      <c r="O235" s="44"/>
      <c r="P235" s="29"/>
      <c r="Q235" s="29"/>
      <c r="R235" s="29"/>
      <c r="S235" s="22"/>
      <c r="T235" s="23"/>
      <c r="U235" s="44"/>
      <c r="V235" s="25"/>
      <c r="W235" s="44"/>
      <c r="X235" s="54"/>
      <c r="Y235" s="22"/>
      <c r="Z235" s="23"/>
      <c r="AA235" s="44"/>
      <c r="AB235" s="25"/>
      <c r="AC235" s="44"/>
      <c r="AD235" s="54"/>
      <c r="AE235" s="22"/>
      <c r="AF235" s="23"/>
      <c r="AG235" s="44"/>
      <c r="AH235" s="25"/>
      <c r="AI235" s="44"/>
      <c r="AJ235" s="46"/>
      <c r="AK235" s="33"/>
      <c r="AL235" s="22"/>
      <c r="AM235" s="23"/>
      <c r="AN235" s="44"/>
      <c r="AO235" s="25"/>
      <c r="AP235" s="44"/>
      <c r="AQ235" s="29"/>
      <c r="AR235" s="29"/>
      <c r="AS235" s="29"/>
      <c r="AT235" s="22"/>
      <c r="AU235" s="23"/>
      <c r="AV235" s="44"/>
      <c r="AW235" s="25"/>
      <c r="AX235" s="44"/>
      <c r="AY235" s="54"/>
      <c r="AZ235" s="22"/>
      <c r="BA235" s="23"/>
      <c r="BB235" s="44"/>
      <c r="BC235" s="25"/>
      <c r="BD235" s="44"/>
      <c r="BE235" s="54"/>
      <c r="BF235" s="22"/>
      <c r="BG235" s="23"/>
      <c r="BH235" s="44"/>
      <c r="BI235" s="25"/>
      <c r="BJ235" s="44"/>
      <c r="BK235" s="46"/>
      <c r="BL235" s="33"/>
      <c r="BM235" s="22"/>
      <c r="BN235" s="23"/>
      <c r="BO235" s="44"/>
      <c r="BP235" s="25"/>
      <c r="BQ235" s="44"/>
      <c r="BR235" s="29"/>
      <c r="BS235" s="29"/>
      <c r="BT235" s="29"/>
      <c r="BU235" s="22"/>
      <c r="BV235" s="23"/>
      <c r="BW235" s="44"/>
      <c r="BX235" s="25"/>
      <c r="BY235" s="44"/>
      <c r="BZ235" s="54"/>
      <c r="CA235" s="22"/>
      <c r="CB235" s="23"/>
      <c r="CC235" s="44"/>
      <c r="CD235" s="25"/>
      <c r="CE235" s="44"/>
      <c r="CF235" s="54"/>
      <c r="CG235" s="22"/>
      <c r="CH235" s="26"/>
      <c r="CI235" s="91"/>
      <c r="CJ235" s="26"/>
      <c r="CK235" s="91"/>
      <c r="CL235" s="26"/>
    </row>
    <row r="236">
      <c r="A236" s="26"/>
      <c r="B236" s="27"/>
      <c r="C236" s="27"/>
      <c r="D236" s="27"/>
      <c r="E236" s="26"/>
      <c r="F236" s="26"/>
      <c r="G236" s="20"/>
      <c r="H236" s="20"/>
      <c r="I236" s="23"/>
      <c r="J236" s="33"/>
      <c r="K236" s="22"/>
      <c r="L236" s="23"/>
      <c r="M236" s="44"/>
      <c r="N236" s="25"/>
      <c r="O236" s="44"/>
      <c r="P236" s="29"/>
      <c r="Q236" s="29"/>
      <c r="R236" s="29"/>
      <c r="S236" s="22"/>
      <c r="T236" s="23"/>
      <c r="U236" s="44"/>
      <c r="V236" s="25"/>
      <c r="W236" s="44"/>
      <c r="X236" s="54"/>
      <c r="Y236" s="22"/>
      <c r="Z236" s="23"/>
      <c r="AA236" s="44"/>
      <c r="AB236" s="25"/>
      <c r="AC236" s="44"/>
      <c r="AD236" s="54"/>
      <c r="AE236" s="22"/>
      <c r="AF236" s="23"/>
      <c r="AG236" s="44"/>
      <c r="AH236" s="25"/>
      <c r="AI236" s="44"/>
      <c r="AJ236" s="46"/>
      <c r="AK236" s="33"/>
      <c r="AL236" s="22"/>
      <c r="AM236" s="23"/>
      <c r="AN236" s="44"/>
      <c r="AO236" s="25"/>
      <c r="AP236" s="44"/>
      <c r="AQ236" s="29"/>
      <c r="AR236" s="29"/>
      <c r="AS236" s="29"/>
      <c r="AT236" s="22"/>
      <c r="AU236" s="23"/>
      <c r="AV236" s="44"/>
      <c r="AW236" s="25"/>
      <c r="AX236" s="44"/>
      <c r="AY236" s="54"/>
      <c r="AZ236" s="22"/>
      <c r="BA236" s="23"/>
      <c r="BB236" s="44"/>
      <c r="BC236" s="25"/>
      <c r="BD236" s="44"/>
      <c r="BE236" s="54"/>
      <c r="BF236" s="22"/>
      <c r="BG236" s="23"/>
      <c r="BH236" s="44"/>
      <c r="BI236" s="25"/>
      <c r="BJ236" s="44"/>
      <c r="BK236" s="46"/>
      <c r="BL236" s="33"/>
      <c r="BM236" s="22"/>
      <c r="BN236" s="23"/>
      <c r="BO236" s="44"/>
      <c r="BP236" s="25"/>
      <c r="BQ236" s="44"/>
      <c r="BR236" s="29"/>
      <c r="BS236" s="29"/>
      <c r="BT236" s="29"/>
      <c r="BU236" s="22"/>
      <c r="BV236" s="23"/>
      <c r="BW236" s="44"/>
      <c r="BX236" s="25"/>
      <c r="BY236" s="44"/>
      <c r="BZ236" s="54"/>
      <c r="CA236" s="22"/>
      <c r="CB236" s="23"/>
      <c r="CC236" s="44"/>
      <c r="CD236" s="25"/>
      <c r="CE236" s="44"/>
      <c r="CF236" s="54"/>
      <c r="CG236" s="22"/>
      <c r="CH236" s="26"/>
      <c r="CI236" s="91"/>
      <c r="CJ236" s="26"/>
      <c r="CK236" s="91"/>
      <c r="CL236" s="26"/>
    </row>
    <row r="237">
      <c r="A237" s="26"/>
      <c r="B237" s="27"/>
      <c r="C237" s="27"/>
      <c r="D237" s="27"/>
      <c r="E237" s="26"/>
      <c r="F237" s="26"/>
      <c r="G237" s="20"/>
      <c r="H237" s="20"/>
      <c r="I237" s="23"/>
      <c r="J237" s="33"/>
      <c r="K237" s="22"/>
      <c r="L237" s="23"/>
      <c r="M237" s="44"/>
      <c r="N237" s="25"/>
      <c r="O237" s="44"/>
      <c r="P237" s="29"/>
      <c r="Q237" s="29"/>
      <c r="R237" s="29"/>
      <c r="S237" s="22"/>
      <c r="T237" s="23"/>
      <c r="U237" s="44"/>
      <c r="V237" s="25"/>
      <c r="W237" s="44"/>
      <c r="X237" s="54"/>
      <c r="Y237" s="22"/>
      <c r="Z237" s="23"/>
      <c r="AA237" s="44"/>
      <c r="AB237" s="25"/>
      <c r="AC237" s="44"/>
      <c r="AD237" s="54"/>
      <c r="AE237" s="22"/>
      <c r="AF237" s="23"/>
      <c r="AG237" s="44"/>
      <c r="AH237" s="25"/>
      <c r="AI237" s="44"/>
      <c r="AJ237" s="46"/>
      <c r="AK237" s="33"/>
      <c r="AL237" s="22"/>
      <c r="AM237" s="23"/>
      <c r="AN237" s="44"/>
      <c r="AO237" s="25"/>
      <c r="AP237" s="44"/>
      <c r="AQ237" s="29"/>
      <c r="AR237" s="29"/>
      <c r="AS237" s="29"/>
      <c r="AT237" s="22"/>
      <c r="AU237" s="23"/>
      <c r="AV237" s="44"/>
      <c r="AW237" s="25"/>
      <c r="AX237" s="44"/>
      <c r="AY237" s="54"/>
      <c r="AZ237" s="22"/>
      <c r="BA237" s="23"/>
      <c r="BB237" s="44"/>
      <c r="BC237" s="25"/>
      <c r="BD237" s="44"/>
      <c r="BE237" s="54"/>
      <c r="BF237" s="22"/>
      <c r="BG237" s="23"/>
      <c r="BH237" s="44"/>
      <c r="BI237" s="25"/>
      <c r="BJ237" s="44"/>
      <c r="BK237" s="46"/>
      <c r="BL237" s="33"/>
      <c r="BM237" s="22"/>
      <c r="BN237" s="23"/>
      <c r="BO237" s="44"/>
      <c r="BP237" s="25"/>
      <c r="BQ237" s="44"/>
      <c r="BR237" s="29"/>
      <c r="BS237" s="29"/>
      <c r="BT237" s="29"/>
      <c r="BU237" s="22"/>
      <c r="BV237" s="23"/>
      <c r="BW237" s="44"/>
      <c r="BX237" s="25"/>
      <c r="BY237" s="44"/>
      <c r="BZ237" s="54"/>
      <c r="CA237" s="22"/>
      <c r="CB237" s="23"/>
      <c r="CC237" s="44"/>
      <c r="CD237" s="25"/>
      <c r="CE237" s="44"/>
      <c r="CF237" s="54"/>
      <c r="CG237" s="22"/>
      <c r="CH237" s="26"/>
      <c r="CI237" s="91"/>
      <c r="CJ237" s="26"/>
      <c r="CK237" s="91"/>
      <c r="CL237" s="26"/>
    </row>
    <row r="238">
      <c r="A238" s="26"/>
      <c r="B238" s="27"/>
      <c r="C238" s="27"/>
      <c r="D238" s="27"/>
      <c r="E238" s="26"/>
      <c r="F238" s="26"/>
      <c r="G238" s="20"/>
      <c r="H238" s="20"/>
      <c r="I238" s="23"/>
      <c r="J238" s="33"/>
      <c r="K238" s="22"/>
      <c r="L238" s="23"/>
      <c r="M238" s="44"/>
      <c r="N238" s="25"/>
      <c r="O238" s="44"/>
      <c r="P238" s="29"/>
      <c r="Q238" s="29"/>
      <c r="R238" s="29"/>
      <c r="S238" s="22"/>
      <c r="T238" s="23"/>
      <c r="U238" s="44"/>
      <c r="V238" s="25"/>
      <c r="W238" s="44"/>
      <c r="X238" s="54"/>
      <c r="Y238" s="22"/>
      <c r="Z238" s="23"/>
      <c r="AA238" s="44"/>
      <c r="AB238" s="25"/>
      <c r="AC238" s="44"/>
      <c r="AD238" s="54"/>
      <c r="AE238" s="22"/>
      <c r="AF238" s="23"/>
      <c r="AG238" s="44"/>
      <c r="AH238" s="25"/>
      <c r="AI238" s="44"/>
      <c r="AJ238" s="46"/>
      <c r="AK238" s="33"/>
      <c r="AL238" s="22"/>
      <c r="AM238" s="23"/>
      <c r="AN238" s="44"/>
      <c r="AO238" s="25"/>
      <c r="AP238" s="44"/>
      <c r="AQ238" s="29"/>
      <c r="AR238" s="29"/>
      <c r="AS238" s="29"/>
      <c r="AT238" s="22"/>
      <c r="AU238" s="23"/>
      <c r="AV238" s="44"/>
      <c r="AW238" s="25"/>
      <c r="AX238" s="44"/>
      <c r="AY238" s="54"/>
      <c r="AZ238" s="22"/>
      <c r="BA238" s="23"/>
      <c r="BB238" s="44"/>
      <c r="BC238" s="25"/>
      <c r="BD238" s="44"/>
      <c r="BE238" s="54"/>
      <c r="BF238" s="22"/>
      <c r="BG238" s="23"/>
      <c r="BH238" s="44"/>
      <c r="BI238" s="25"/>
      <c r="BJ238" s="44"/>
      <c r="BK238" s="46"/>
      <c r="BL238" s="33"/>
      <c r="BM238" s="22"/>
      <c r="BN238" s="23"/>
      <c r="BO238" s="44"/>
      <c r="BP238" s="25"/>
      <c r="BQ238" s="44"/>
      <c r="BR238" s="29"/>
      <c r="BS238" s="29"/>
      <c r="BT238" s="29"/>
      <c r="BU238" s="22"/>
      <c r="BV238" s="23"/>
      <c r="BW238" s="44"/>
      <c r="BX238" s="25"/>
      <c r="BY238" s="44"/>
      <c r="BZ238" s="54"/>
      <c r="CA238" s="22"/>
      <c r="CB238" s="23"/>
      <c r="CC238" s="44"/>
      <c r="CD238" s="25"/>
      <c r="CE238" s="44"/>
      <c r="CF238" s="54"/>
      <c r="CG238" s="22"/>
      <c r="CH238" s="26"/>
      <c r="CI238" s="91"/>
      <c r="CJ238" s="26"/>
      <c r="CK238" s="91"/>
      <c r="CL238" s="26"/>
    </row>
    <row r="239">
      <c r="A239" s="26"/>
      <c r="B239" s="27"/>
      <c r="C239" s="27"/>
      <c r="D239" s="27"/>
      <c r="E239" s="26"/>
      <c r="F239" s="26"/>
      <c r="G239" s="20"/>
      <c r="H239" s="20"/>
      <c r="I239" s="23"/>
      <c r="J239" s="33"/>
      <c r="K239" s="22"/>
      <c r="L239" s="23"/>
      <c r="M239" s="44"/>
      <c r="N239" s="25"/>
      <c r="O239" s="44"/>
      <c r="P239" s="29"/>
      <c r="Q239" s="29"/>
      <c r="R239" s="29"/>
      <c r="S239" s="22"/>
      <c r="T239" s="23"/>
      <c r="U239" s="44"/>
      <c r="V239" s="25"/>
      <c r="W239" s="44"/>
      <c r="X239" s="54"/>
      <c r="Y239" s="22"/>
      <c r="Z239" s="23"/>
      <c r="AA239" s="44"/>
      <c r="AB239" s="25"/>
      <c r="AC239" s="44"/>
      <c r="AD239" s="54"/>
      <c r="AE239" s="22"/>
      <c r="AF239" s="23"/>
      <c r="AG239" s="44"/>
      <c r="AH239" s="25"/>
      <c r="AI239" s="44"/>
      <c r="AJ239" s="46"/>
      <c r="AK239" s="33"/>
      <c r="AL239" s="22"/>
      <c r="AM239" s="23"/>
      <c r="AN239" s="44"/>
      <c r="AO239" s="25"/>
      <c r="AP239" s="44"/>
      <c r="AQ239" s="29"/>
      <c r="AR239" s="29"/>
      <c r="AS239" s="29"/>
      <c r="AT239" s="22"/>
      <c r="AU239" s="23"/>
      <c r="AV239" s="44"/>
      <c r="AW239" s="25"/>
      <c r="AX239" s="44"/>
      <c r="AY239" s="54"/>
      <c r="AZ239" s="22"/>
      <c r="BA239" s="23"/>
      <c r="BB239" s="44"/>
      <c r="BC239" s="25"/>
      <c r="BD239" s="44"/>
      <c r="BE239" s="54"/>
      <c r="BF239" s="22"/>
      <c r="BG239" s="23"/>
      <c r="BH239" s="44"/>
      <c r="BI239" s="25"/>
      <c r="BJ239" s="44"/>
      <c r="BK239" s="46"/>
      <c r="BL239" s="33"/>
      <c r="BM239" s="22"/>
      <c r="BN239" s="23"/>
      <c r="BO239" s="44"/>
      <c r="BP239" s="25"/>
      <c r="BQ239" s="44"/>
      <c r="BR239" s="29"/>
      <c r="BS239" s="29"/>
      <c r="BT239" s="29"/>
      <c r="BU239" s="22"/>
      <c r="BV239" s="23"/>
      <c r="BW239" s="44"/>
      <c r="BX239" s="25"/>
      <c r="BY239" s="44"/>
      <c r="BZ239" s="54"/>
      <c r="CA239" s="22"/>
      <c r="CB239" s="23"/>
      <c r="CC239" s="44"/>
      <c r="CD239" s="25"/>
      <c r="CE239" s="44"/>
      <c r="CF239" s="54"/>
      <c r="CG239" s="22"/>
      <c r="CH239" s="26"/>
      <c r="CI239" s="91"/>
      <c r="CJ239" s="26"/>
      <c r="CK239" s="91"/>
      <c r="CL239" s="26"/>
    </row>
    <row r="240">
      <c r="A240" s="26"/>
      <c r="B240" s="27"/>
      <c r="C240" s="27"/>
      <c r="D240" s="27"/>
      <c r="E240" s="26"/>
      <c r="F240" s="26"/>
      <c r="G240" s="20"/>
      <c r="H240" s="20"/>
      <c r="I240" s="23"/>
      <c r="J240" s="33"/>
      <c r="K240" s="22"/>
      <c r="L240" s="23"/>
      <c r="M240" s="44"/>
      <c r="N240" s="25"/>
      <c r="O240" s="44"/>
      <c r="P240" s="29"/>
      <c r="Q240" s="29"/>
      <c r="R240" s="29"/>
      <c r="S240" s="22"/>
      <c r="T240" s="23"/>
      <c r="U240" s="44"/>
      <c r="V240" s="25"/>
      <c r="W240" s="44"/>
      <c r="X240" s="54"/>
      <c r="Y240" s="22"/>
      <c r="Z240" s="23"/>
      <c r="AA240" s="44"/>
      <c r="AB240" s="25"/>
      <c r="AC240" s="44"/>
      <c r="AD240" s="54"/>
      <c r="AE240" s="22"/>
      <c r="AF240" s="23"/>
      <c r="AG240" s="44"/>
      <c r="AH240" s="25"/>
      <c r="AI240" s="44"/>
      <c r="AJ240" s="46"/>
      <c r="AK240" s="33"/>
      <c r="AL240" s="22"/>
      <c r="AM240" s="23"/>
      <c r="AN240" s="44"/>
      <c r="AO240" s="25"/>
      <c r="AP240" s="44"/>
      <c r="AQ240" s="29"/>
      <c r="AR240" s="29"/>
      <c r="AS240" s="29"/>
      <c r="AT240" s="22"/>
      <c r="AU240" s="23"/>
      <c r="AV240" s="44"/>
      <c r="AW240" s="25"/>
      <c r="AX240" s="44"/>
      <c r="AY240" s="54"/>
      <c r="AZ240" s="22"/>
      <c r="BA240" s="23"/>
      <c r="BB240" s="44"/>
      <c r="BC240" s="25"/>
      <c r="BD240" s="44"/>
      <c r="BE240" s="54"/>
      <c r="BF240" s="22"/>
      <c r="BG240" s="23"/>
      <c r="BH240" s="44"/>
      <c r="BI240" s="25"/>
      <c r="BJ240" s="44"/>
      <c r="BK240" s="46"/>
      <c r="BL240" s="33"/>
      <c r="BM240" s="22"/>
      <c r="BN240" s="23"/>
      <c r="BO240" s="44"/>
      <c r="BP240" s="25"/>
      <c r="BQ240" s="44"/>
      <c r="BR240" s="29"/>
      <c r="BS240" s="29"/>
      <c r="BT240" s="29"/>
      <c r="BU240" s="22"/>
      <c r="BV240" s="23"/>
      <c r="BW240" s="44"/>
      <c r="BX240" s="25"/>
      <c r="BY240" s="44"/>
      <c r="BZ240" s="54"/>
      <c r="CA240" s="22"/>
      <c r="CB240" s="23"/>
      <c r="CC240" s="44"/>
      <c r="CD240" s="25"/>
      <c r="CE240" s="44"/>
      <c r="CF240" s="54"/>
      <c r="CG240" s="22"/>
      <c r="CH240" s="26"/>
      <c r="CI240" s="91"/>
      <c r="CJ240" s="26"/>
      <c r="CK240" s="91"/>
      <c r="CL240" s="26"/>
    </row>
    <row r="241">
      <c r="A241" s="26"/>
      <c r="B241" s="27"/>
      <c r="C241" s="27"/>
      <c r="D241" s="27"/>
      <c r="E241" s="26"/>
      <c r="F241" s="26"/>
      <c r="G241" s="20"/>
      <c r="H241" s="20"/>
      <c r="I241" s="23"/>
      <c r="J241" s="33"/>
      <c r="K241" s="22"/>
      <c r="L241" s="23"/>
      <c r="M241" s="44"/>
      <c r="N241" s="25"/>
      <c r="O241" s="44"/>
      <c r="P241" s="29"/>
      <c r="Q241" s="29"/>
      <c r="R241" s="29"/>
      <c r="S241" s="22"/>
      <c r="T241" s="23"/>
      <c r="U241" s="44"/>
      <c r="V241" s="25"/>
      <c r="W241" s="44"/>
      <c r="X241" s="54"/>
      <c r="Y241" s="22"/>
      <c r="Z241" s="23"/>
      <c r="AA241" s="44"/>
      <c r="AB241" s="25"/>
      <c r="AC241" s="44"/>
      <c r="AD241" s="54"/>
      <c r="AE241" s="22"/>
      <c r="AF241" s="23"/>
      <c r="AG241" s="44"/>
      <c r="AH241" s="25"/>
      <c r="AI241" s="44"/>
      <c r="AJ241" s="46"/>
      <c r="AK241" s="33"/>
      <c r="AL241" s="22"/>
      <c r="AM241" s="23"/>
      <c r="AN241" s="44"/>
      <c r="AO241" s="25"/>
      <c r="AP241" s="44"/>
      <c r="AQ241" s="29"/>
      <c r="AR241" s="29"/>
      <c r="AS241" s="29"/>
      <c r="AT241" s="22"/>
      <c r="AU241" s="23"/>
      <c r="AV241" s="44"/>
      <c r="AW241" s="25"/>
      <c r="AX241" s="44"/>
      <c r="AY241" s="54"/>
      <c r="AZ241" s="22"/>
      <c r="BA241" s="23"/>
      <c r="BB241" s="44"/>
      <c r="BC241" s="25"/>
      <c r="BD241" s="44"/>
      <c r="BE241" s="54"/>
      <c r="BF241" s="22"/>
      <c r="BG241" s="23"/>
      <c r="BH241" s="44"/>
      <c r="BI241" s="25"/>
      <c r="BJ241" s="44"/>
      <c r="BK241" s="46"/>
      <c r="BL241" s="33"/>
      <c r="BM241" s="22"/>
      <c r="BN241" s="23"/>
      <c r="BO241" s="44"/>
      <c r="BP241" s="25"/>
      <c r="BQ241" s="44"/>
      <c r="BR241" s="29"/>
      <c r="BS241" s="29"/>
      <c r="BT241" s="29"/>
      <c r="BU241" s="22"/>
      <c r="BV241" s="23"/>
      <c r="BW241" s="44"/>
      <c r="BX241" s="25"/>
      <c r="BY241" s="44"/>
      <c r="BZ241" s="54"/>
      <c r="CA241" s="22"/>
      <c r="CB241" s="23"/>
      <c r="CC241" s="44"/>
      <c r="CD241" s="25"/>
      <c r="CE241" s="44"/>
      <c r="CF241" s="54"/>
      <c r="CG241" s="22"/>
      <c r="CH241" s="26"/>
      <c r="CI241" s="91"/>
      <c r="CJ241" s="26"/>
      <c r="CK241" s="91"/>
      <c r="CL241" s="26"/>
    </row>
    <row r="242">
      <c r="A242" s="26"/>
      <c r="B242" s="27"/>
      <c r="C242" s="27"/>
      <c r="D242" s="27"/>
      <c r="E242" s="26"/>
      <c r="F242" s="26"/>
      <c r="G242" s="20"/>
      <c r="H242" s="20"/>
      <c r="I242" s="23"/>
      <c r="J242" s="33"/>
      <c r="K242" s="22"/>
      <c r="L242" s="23"/>
      <c r="M242" s="44"/>
      <c r="N242" s="25"/>
      <c r="O242" s="44"/>
      <c r="P242" s="29"/>
      <c r="Q242" s="29"/>
      <c r="R242" s="29"/>
      <c r="S242" s="22"/>
      <c r="T242" s="23"/>
      <c r="U242" s="44"/>
      <c r="V242" s="25"/>
      <c r="W242" s="44"/>
      <c r="X242" s="54"/>
      <c r="Y242" s="22"/>
      <c r="Z242" s="23"/>
      <c r="AA242" s="44"/>
      <c r="AB242" s="25"/>
      <c r="AC242" s="44"/>
      <c r="AD242" s="54"/>
      <c r="AE242" s="22"/>
      <c r="AF242" s="23"/>
      <c r="AG242" s="44"/>
      <c r="AH242" s="25"/>
      <c r="AI242" s="44"/>
      <c r="AJ242" s="46"/>
      <c r="AK242" s="33"/>
      <c r="AL242" s="22"/>
      <c r="AM242" s="23"/>
      <c r="AN242" s="44"/>
      <c r="AO242" s="25"/>
      <c r="AP242" s="44"/>
      <c r="AQ242" s="29"/>
      <c r="AR242" s="29"/>
      <c r="AS242" s="29"/>
      <c r="AT242" s="22"/>
      <c r="AU242" s="23"/>
      <c r="AV242" s="44"/>
      <c r="AW242" s="25"/>
      <c r="AX242" s="44"/>
      <c r="AY242" s="54"/>
      <c r="AZ242" s="22"/>
      <c r="BA242" s="23"/>
      <c r="BB242" s="44"/>
      <c r="BC242" s="25"/>
      <c r="BD242" s="44"/>
      <c r="BE242" s="54"/>
      <c r="BF242" s="22"/>
      <c r="BG242" s="23"/>
      <c r="BH242" s="44"/>
      <c r="BI242" s="25"/>
      <c r="BJ242" s="44"/>
      <c r="BK242" s="46"/>
      <c r="BL242" s="33"/>
      <c r="BM242" s="22"/>
      <c r="BN242" s="23"/>
      <c r="BO242" s="44"/>
      <c r="BP242" s="25"/>
      <c r="BQ242" s="44"/>
      <c r="BR242" s="29"/>
      <c r="BS242" s="29"/>
      <c r="BT242" s="29"/>
      <c r="BU242" s="22"/>
      <c r="BV242" s="23"/>
      <c r="BW242" s="44"/>
      <c r="BX242" s="25"/>
      <c r="BY242" s="44"/>
      <c r="BZ242" s="54"/>
      <c r="CA242" s="22"/>
      <c r="CB242" s="23"/>
      <c r="CC242" s="44"/>
      <c r="CD242" s="25"/>
      <c r="CE242" s="44"/>
      <c r="CF242" s="54"/>
      <c r="CG242" s="22"/>
      <c r="CH242" s="26"/>
      <c r="CI242" s="91"/>
      <c r="CJ242" s="26"/>
      <c r="CK242" s="91"/>
      <c r="CL242" s="26"/>
    </row>
    <row r="243">
      <c r="A243" s="26"/>
      <c r="B243" s="27"/>
      <c r="C243" s="27"/>
      <c r="D243" s="27"/>
      <c r="E243" s="26"/>
      <c r="F243" s="26"/>
      <c r="G243" s="20"/>
      <c r="H243" s="20"/>
      <c r="I243" s="23"/>
      <c r="J243" s="33"/>
      <c r="K243" s="22"/>
      <c r="L243" s="23"/>
      <c r="M243" s="44"/>
      <c r="N243" s="25"/>
      <c r="O243" s="44"/>
      <c r="P243" s="29"/>
      <c r="Q243" s="29"/>
      <c r="R243" s="29"/>
      <c r="S243" s="22"/>
      <c r="T243" s="23"/>
      <c r="U243" s="44"/>
      <c r="V243" s="25"/>
      <c r="W243" s="44"/>
      <c r="X243" s="54"/>
      <c r="Y243" s="22"/>
      <c r="Z243" s="23"/>
      <c r="AA243" s="44"/>
      <c r="AB243" s="25"/>
      <c r="AC243" s="44"/>
      <c r="AD243" s="54"/>
      <c r="AE243" s="22"/>
      <c r="AF243" s="23"/>
      <c r="AG243" s="44"/>
      <c r="AH243" s="25"/>
      <c r="AI243" s="44"/>
      <c r="AJ243" s="46"/>
      <c r="AK243" s="33"/>
      <c r="AL243" s="22"/>
      <c r="AM243" s="23"/>
      <c r="AN243" s="44"/>
      <c r="AO243" s="25"/>
      <c r="AP243" s="44"/>
      <c r="AQ243" s="29"/>
      <c r="AR243" s="29"/>
      <c r="AS243" s="29"/>
      <c r="AT243" s="22"/>
      <c r="AU243" s="23"/>
      <c r="AV243" s="44"/>
      <c r="AW243" s="25"/>
      <c r="AX243" s="44"/>
      <c r="AY243" s="54"/>
      <c r="AZ243" s="22"/>
      <c r="BA243" s="23"/>
      <c r="BB243" s="44"/>
      <c r="BC243" s="25"/>
      <c r="BD243" s="44"/>
      <c r="BE243" s="54"/>
      <c r="BF243" s="22"/>
      <c r="BG243" s="23"/>
      <c r="BH243" s="44"/>
      <c r="BI243" s="25"/>
      <c r="BJ243" s="44"/>
      <c r="BK243" s="46"/>
      <c r="BL243" s="33"/>
      <c r="BM243" s="22"/>
      <c r="BN243" s="23"/>
      <c r="BO243" s="44"/>
      <c r="BP243" s="25"/>
      <c r="BQ243" s="44"/>
      <c r="BR243" s="29"/>
      <c r="BS243" s="29"/>
      <c r="BT243" s="29"/>
      <c r="BU243" s="22"/>
      <c r="BV243" s="23"/>
      <c r="BW243" s="44"/>
      <c r="BX243" s="25"/>
      <c r="BY243" s="44"/>
      <c r="BZ243" s="54"/>
      <c r="CA243" s="22"/>
      <c r="CB243" s="23"/>
      <c r="CC243" s="44"/>
      <c r="CD243" s="25"/>
      <c r="CE243" s="44"/>
      <c r="CF243" s="54"/>
      <c r="CG243" s="22"/>
      <c r="CH243" s="26"/>
      <c r="CI243" s="91"/>
      <c r="CJ243" s="26"/>
      <c r="CK243" s="91"/>
      <c r="CL243" s="26"/>
    </row>
    <row r="244">
      <c r="A244" s="26"/>
      <c r="B244" s="27"/>
      <c r="C244" s="27"/>
      <c r="D244" s="27"/>
      <c r="E244" s="26"/>
      <c r="F244" s="26"/>
      <c r="G244" s="20"/>
      <c r="H244" s="20"/>
      <c r="I244" s="23"/>
      <c r="J244" s="33"/>
      <c r="K244" s="22"/>
      <c r="L244" s="23"/>
      <c r="M244" s="44"/>
      <c r="N244" s="25"/>
      <c r="O244" s="44"/>
      <c r="P244" s="29"/>
      <c r="Q244" s="29"/>
      <c r="R244" s="29"/>
      <c r="S244" s="22"/>
      <c r="T244" s="23"/>
      <c r="U244" s="44"/>
      <c r="V244" s="25"/>
      <c r="W244" s="44"/>
      <c r="X244" s="54"/>
      <c r="Y244" s="22"/>
      <c r="Z244" s="23"/>
      <c r="AA244" s="44"/>
      <c r="AB244" s="25"/>
      <c r="AC244" s="44"/>
      <c r="AD244" s="54"/>
      <c r="AE244" s="22"/>
      <c r="AF244" s="23"/>
      <c r="AG244" s="44"/>
      <c r="AH244" s="25"/>
      <c r="AI244" s="44"/>
      <c r="AJ244" s="46"/>
      <c r="AK244" s="33"/>
      <c r="AL244" s="22"/>
      <c r="AM244" s="23"/>
      <c r="AN244" s="44"/>
      <c r="AO244" s="25"/>
      <c r="AP244" s="44"/>
      <c r="AQ244" s="29"/>
      <c r="AR244" s="29"/>
      <c r="AS244" s="29"/>
      <c r="AT244" s="22"/>
      <c r="AU244" s="23"/>
      <c r="AV244" s="44"/>
      <c r="AW244" s="25"/>
      <c r="AX244" s="44"/>
      <c r="AY244" s="54"/>
      <c r="AZ244" s="22"/>
      <c r="BA244" s="23"/>
      <c r="BB244" s="44"/>
      <c r="BC244" s="25"/>
      <c r="BD244" s="44"/>
      <c r="BE244" s="54"/>
      <c r="BF244" s="22"/>
      <c r="BG244" s="23"/>
      <c r="BH244" s="44"/>
      <c r="BI244" s="25"/>
      <c r="BJ244" s="44"/>
      <c r="BK244" s="46"/>
      <c r="BL244" s="33"/>
      <c r="BM244" s="22"/>
      <c r="BN244" s="23"/>
      <c r="BO244" s="44"/>
      <c r="BP244" s="25"/>
      <c r="BQ244" s="44"/>
      <c r="BR244" s="29"/>
      <c r="BS244" s="29"/>
      <c r="BT244" s="29"/>
      <c r="BU244" s="22"/>
      <c r="BV244" s="23"/>
      <c r="BW244" s="44"/>
      <c r="BX244" s="25"/>
      <c r="BY244" s="44"/>
      <c r="BZ244" s="54"/>
      <c r="CA244" s="22"/>
      <c r="CB244" s="23"/>
      <c r="CC244" s="44"/>
      <c r="CD244" s="25"/>
      <c r="CE244" s="44"/>
      <c r="CF244" s="54"/>
      <c r="CG244" s="22"/>
      <c r="CH244" s="26"/>
      <c r="CI244" s="91"/>
      <c r="CJ244" s="26"/>
      <c r="CK244" s="91"/>
      <c r="CL244" s="26"/>
    </row>
    <row r="245">
      <c r="A245" s="26"/>
      <c r="B245" s="27"/>
      <c r="C245" s="27"/>
      <c r="D245" s="27"/>
      <c r="E245" s="26"/>
      <c r="F245" s="26"/>
      <c r="G245" s="20"/>
      <c r="H245" s="20"/>
      <c r="I245" s="23"/>
      <c r="J245" s="33"/>
      <c r="K245" s="22"/>
      <c r="L245" s="23"/>
      <c r="M245" s="44"/>
      <c r="N245" s="25"/>
      <c r="O245" s="44"/>
      <c r="P245" s="29"/>
      <c r="Q245" s="29"/>
      <c r="R245" s="29"/>
      <c r="S245" s="22"/>
      <c r="T245" s="23"/>
      <c r="U245" s="44"/>
      <c r="V245" s="25"/>
      <c r="W245" s="44"/>
      <c r="X245" s="54"/>
      <c r="Y245" s="22"/>
      <c r="Z245" s="23"/>
      <c r="AA245" s="44"/>
      <c r="AB245" s="25"/>
      <c r="AC245" s="44"/>
      <c r="AD245" s="54"/>
      <c r="AE245" s="22"/>
      <c r="AF245" s="23"/>
      <c r="AG245" s="44"/>
      <c r="AH245" s="25"/>
      <c r="AI245" s="44"/>
      <c r="AJ245" s="46"/>
      <c r="AK245" s="33"/>
      <c r="AL245" s="22"/>
      <c r="AM245" s="23"/>
      <c r="AN245" s="44"/>
      <c r="AO245" s="25"/>
      <c r="AP245" s="44"/>
      <c r="AQ245" s="29"/>
      <c r="AR245" s="29"/>
      <c r="AS245" s="29"/>
      <c r="AT245" s="22"/>
      <c r="AU245" s="23"/>
      <c r="AV245" s="44"/>
      <c r="AW245" s="25"/>
      <c r="AX245" s="44"/>
      <c r="AY245" s="54"/>
      <c r="AZ245" s="22"/>
      <c r="BA245" s="23"/>
      <c r="BB245" s="44"/>
      <c r="BC245" s="25"/>
      <c r="BD245" s="44"/>
      <c r="BE245" s="54"/>
      <c r="BF245" s="22"/>
      <c r="BG245" s="23"/>
      <c r="BH245" s="44"/>
      <c r="BI245" s="25"/>
      <c r="BJ245" s="44"/>
      <c r="BK245" s="46"/>
      <c r="BL245" s="33"/>
      <c r="BM245" s="22"/>
      <c r="BN245" s="23"/>
      <c r="BO245" s="44"/>
      <c r="BP245" s="25"/>
      <c r="BQ245" s="44"/>
      <c r="BR245" s="29"/>
      <c r="BS245" s="29"/>
      <c r="BT245" s="29"/>
      <c r="BU245" s="22"/>
      <c r="BV245" s="23"/>
      <c r="BW245" s="44"/>
      <c r="BX245" s="25"/>
      <c r="BY245" s="44"/>
      <c r="BZ245" s="54"/>
      <c r="CA245" s="22"/>
      <c r="CB245" s="23"/>
      <c r="CC245" s="44"/>
      <c r="CD245" s="25"/>
      <c r="CE245" s="44"/>
      <c r="CF245" s="54"/>
      <c r="CG245" s="22"/>
      <c r="CH245" s="26"/>
      <c r="CI245" s="91"/>
      <c r="CJ245" s="26"/>
      <c r="CK245" s="91"/>
      <c r="CL245" s="26"/>
    </row>
    <row r="246">
      <c r="A246" s="26"/>
      <c r="B246" s="27"/>
      <c r="C246" s="27"/>
      <c r="D246" s="27"/>
      <c r="E246" s="26"/>
      <c r="F246" s="26"/>
      <c r="G246" s="20"/>
      <c r="H246" s="20"/>
      <c r="I246" s="23"/>
      <c r="J246" s="33"/>
      <c r="K246" s="22"/>
      <c r="L246" s="23"/>
      <c r="M246" s="44"/>
      <c r="N246" s="25"/>
      <c r="O246" s="44"/>
      <c r="P246" s="29"/>
      <c r="Q246" s="29"/>
      <c r="R246" s="29"/>
      <c r="S246" s="22"/>
      <c r="T246" s="23"/>
      <c r="U246" s="44"/>
      <c r="V246" s="25"/>
      <c r="W246" s="44"/>
      <c r="X246" s="54"/>
      <c r="Y246" s="22"/>
      <c r="Z246" s="23"/>
      <c r="AA246" s="44"/>
      <c r="AB246" s="25"/>
      <c r="AC246" s="44"/>
      <c r="AD246" s="54"/>
      <c r="AE246" s="22"/>
      <c r="AF246" s="23"/>
      <c r="AG246" s="44"/>
      <c r="AH246" s="25"/>
      <c r="AI246" s="44"/>
      <c r="AJ246" s="46"/>
      <c r="AK246" s="33"/>
      <c r="AL246" s="22"/>
      <c r="AM246" s="23"/>
      <c r="AN246" s="44"/>
      <c r="AO246" s="25"/>
      <c r="AP246" s="44"/>
      <c r="AQ246" s="29"/>
      <c r="AR246" s="29"/>
      <c r="AS246" s="29"/>
      <c r="AT246" s="22"/>
      <c r="AU246" s="23"/>
      <c r="AV246" s="44"/>
      <c r="AW246" s="25"/>
      <c r="AX246" s="44"/>
      <c r="AY246" s="54"/>
      <c r="AZ246" s="22"/>
      <c r="BA246" s="23"/>
      <c r="BB246" s="44"/>
      <c r="BC246" s="25"/>
      <c r="BD246" s="44"/>
      <c r="BE246" s="54"/>
      <c r="BF246" s="22"/>
      <c r="BG246" s="23"/>
      <c r="BH246" s="44"/>
      <c r="BI246" s="25"/>
      <c r="BJ246" s="44"/>
      <c r="BK246" s="46"/>
      <c r="BL246" s="33"/>
      <c r="BM246" s="22"/>
      <c r="BN246" s="23"/>
      <c r="BO246" s="44"/>
      <c r="BP246" s="25"/>
      <c r="BQ246" s="44"/>
      <c r="BR246" s="29"/>
      <c r="BS246" s="29"/>
      <c r="BT246" s="29"/>
      <c r="BU246" s="22"/>
      <c r="BV246" s="23"/>
      <c r="BW246" s="44"/>
      <c r="BX246" s="25"/>
      <c r="BY246" s="44"/>
      <c r="BZ246" s="54"/>
      <c r="CA246" s="22"/>
      <c r="CB246" s="23"/>
      <c r="CC246" s="44"/>
      <c r="CD246" s="25"/>
      <c r="CE246" s="44"/>
      <c r="CF246" s="54"/>
      <c r="CG246" s="22"/>
      <c r="CH246" s="26"/>
      <c r="CI246" s="91"/>
      <c r="CJ246" s="26"/>
      <c r="CK246" s="91"/>
      <c r="CL246" s="26"/>
    </row>
    <row r="247">
      <c r="A247" s="26"/>
      <c r="B247" s="27"/>
      <c r="C247" s="27"/>
      <c r="D247" s="27"/>
      <c r="E247" s="26"/>
      <c r="F247" s="26"/>
      <c r="G247" s="20"/>
      <c r="H247" s="20"/>
      <c r="I247" s="23"/>
      <c r="J247" s="33"/>
      <c r="K247" s="22"/>
      <c r="L247" s="23"/>
      <c r="M247" s="44"/>
      <c r="N247" s="25"/>
      <c r="O247" s="44"/>
      <c r="P247" s="29"/>
      <c r="Q247" s="29"/>
      <c r="R247" s="29"/>
      <c r="S247" s="22"/>
      <c r="T247" s="23"/>
      <c r="U247" s="44"/>
      <c r="V247" s="25"/>
      <c r="W247" s="44"/>
      <c r="X247" s="54"/>
      <c r="Y247" s="22"/>
      <c r="Z247" s="23"/>
      <c r="AA247" s="44"/>
      <c r="AB247" s="25"/>
      <c r="AC247" s="44"/>
      <c r="AD247" s="54"/>
      <c r="AE247" s="22"/>
      <c r="AF247" s="23"/>
      <c r="AG247" s="44"/>
      <c r="AH247" s="25"/>
      <c r="AI247" s="44"/>
      <c r="AJ247" s="46"/>
      <c r="AK247" s="33"/>
      <c r="AL247" s="22"/>
      <c r="AM247" s="23"/>
      <c r="AN247" s="44"/>
      <c r="AO247" s="25"/>
      <c r="AP247" s="44"/>
      <c r="AQ247" s="29"/>
      <c r="AR247" s="29"/>
      <c r="AS247" s="29"/>
      <c r="AT247" s="22"/>
      <c r="AU247" s="23"/>
      <c r="AV247" s="44"/>
      <c r="AW247" s="25"/>
      <c r="AX247" s="44"/>
      <c r="AY247" s="54"/>
      <c r="AZ247" s="22"/>
      <c r="BA247" s="23"/>
      <c r="BB247" s="44"/>
      <c r="BC247" s="25"/>
      <c r="BD247" s="44"/>
      <c r="BE247" s="54"/>
      <c r="BF247" s="22"/>
      <c r="BG247" s="23"/>
      <c r="BH247" s="44"/>
      <c r="BI247" s="25"/>
      <c r="BJ247" s="44"/>
      <c r="BK247" s="46"/>
      <c r="BL247" s="33"/>
      <c r="BM247" s="22"/>
      <c r="BN247" s="23"/>
      <c r="BO247" s="44"/>
      <c r="BP247" s="25"/>
      <c r="BQ247" s="44"/>
      <c r="BR247" s="29"/>
      <c r="BS247" s="29"/>
      <c r="BT247" s="29"/>
      <c r="BU247" s="22"/>
      <c r="BV247" s="23"/>
      <c r="BW247" s="44"/>
      <c r="BX247" s="25"/>
      <c r="BY247" s="44"/>
      <c r="BZ247" s="54"/>
      <c r="CA247" s="22"/>
      <c r="CB247" s="23"/>
      <c r="CC247" s="44"/>
      <c r="CD247" s="25"/>
      <c r="CE247" s="44"/>
      <c r="CF247" s="54"/>
      <c r="CG247" s="22"/>
      <c r="CH247" s="26"/>
      <c r="CI247" s="91"/>
      <c r="CJ247" s="26"/>
      <c r="CK247" s="91"/>
      <c r="CL247" s="26"/>
    </row>
    <row r="248">
      <c r="A248" s="26"/>
      <c r="B248" s="27"/>
      <c r="C248" s="27"/>
      <c r="D248" s="27"/>
      <c r="E248" s="26"/>
      <c r="F248" s="26"/>
      <c r="G248" s="20"/>
      <c r="H248" s="20"/>
      <c r="I248" s="23"/>
      <c r="J248" s="33"/>
      <c r="K248" s="22"/>
      <c r="L248" s="23"/>
      <c r="M248" s="44"/>
      <c r="N248" s="25"/>
      <c r="O248" s="44"/>
      <c r="P248" s="29"/>
      <c r="Q248" s="29"/>
      <c r="R248" s="29"/>
      <c r="S248" s="22"/>
      <c r="T248" s="23"/>
      <c r="U248" s="44"/>
      <c r="V248" s="25"/>
      <c r="W248" s="44"/>
      <c r="X248" s="54"/>
      <c r="Y248" s="22"/>
      <c r="Z248" s="23"/>
      <c r="AA248" s="44"/>
      <c r="AB248" s="25"/>
      <c r="AC248" s="44"/>
      <c r="AD248" s="54"/>
      <c r="AE248" s="22"/>
      <c r="AF248" s="23"/>
      <c r="AG248" s="44"/>
      <c r="AH248" s="25"/>
      <c r="AI248" s="44"/>
      <c r="AJ248" s="46"/>
      <c r="AK248" s="33"/>
      <c r="AL248" s="22"/>
      <c r="AM248" s="23"/>
      <c r="AN248" s="44"/>
      <c r="AO248" s="25"/>
      <c r="AP248" s="44"/>
      <c r="AQ248" s="29"/>
      <c r="AR248" s="29"/>
      <c r="AS248" s="29"/>
      <c r="AT248" s="22"/>
      <c r="AU248" s="23"/>
      <c r="AV248" s="44"/>
      <c r="AW248" s="25"/>
      <c r="AX248" s="44"/>
      <c r="AY248" s="54"/>
      <c r="AZ248" s="22"/>
      <c r="BA248" s="23"/>
      <c r="BB248" s="44"/>
      <c r="BC248" s="25"/>
      <c r="BD248" s="44"/>
      <c r="BE248" s="54"/>
      <c r="BF248" s="22"/>
      <c r="BG248" s="23"/>
      <c r="BH248" s="44"/>
      <c r="BI248" s="25"/>
      <c r="BJ248" s="44"/>
      <c r="BK248" s="46"/>
      <c r="BL248" s="33"/>
      <c r="BM248" s="22"/>
      <c r="BN248" s="23"/>
      <c r="BO248" s="44"/>
      <c r="BP248" s="25"/>
      <c r="BQ248" s="44"/>
      <c r="BR248" s="29"/>
      <c r="BS248" s="29"/>
      <c r="BT248" s="29"/>
      <c r="BU248" s="22"/>
      <c r="BV248" s="23"/>
      <c r="BW248" s="44"/>
      <c r="BX248" s="25"/>
      <c r="BY248" s="44"/>
      <c r="BZ248" s="54"/>
      <c r="CA248" s="22"/>
      <c r="CB248" s="23"/>
      <c r="CC248" s="44"/>
      <c r="CD248" s="25"/>
      <c r="CE248" s="44"/>
      <c r="CF248" s="54"/>
      <c r="CG248" s="22"/>
      <c r="CH248" s="26"/>
      <c r="CI248" s="91"/>
      <c r="CJ248" s="26"/>
      <c r="CK248" s="91"/>
      <c r="CL248" s="26"/>
    </row>
    <row r="249">
      <c r="A249" s="26"/>
      <c r="B249" s="27"/>
      <c r="C249" s="27"/>
      <c r="D249" s="27"/>
      <c r="E249" s="26"/>
      <c r="F249" s="26"/>
      <c r="G249" s="20"/>
      <c r="H249" s="20"/>
      <c r="I249" s="23"/>
      <c r="J249" s="33"/>
      <c r="K249" s="22"/>
      <c r="L249" s="23"/>
      <c r="M249" s="44"/>
      <c r="N249" s="25"/>
      <c r="O249" s="44"/>
      <c r="P249" s="29"/>
      <c r="Q249" s="29"/>
      <c r="R249" s="29"/>
      <c r="S249" s="22"/>
      <c r="T249" s="23"/>
      <c r="U249" s="44"/>
      <c r="V249" s="25"/>
      <c r="W249" s="44"/>
      <c r="X249" s="54"/>
      <c r="Y249" s="22"/>
      <c r="Z249" s="23"/>
      <c r="AA249" s="44"/>
      <c r="AB249" s="25"/>
      <c r="AC249" s="44"/>
      <c r="AD249" s="54"/>
      <c r="AE249" s="22"/>
      <c r="AF249" s="23"/>
      <c r="AG249" s="44"/>
      <c r="AH249" s="25"/>
      <c r="AI249" s="44"/>
      <c r="AJ249" s="46"/>
      <c r="AK249" s="33"/>
      <c r="AL249" s="22"/>
      <c r="AM249" s="23"/>
      <c r="AN249" s="44"/>
      <c r="AO249" s="25"/>
      <c r="AP249" s="44"/>
      <c r="AQ249" s="29"/>
      <c r="AR249" s="29"/>
      <c r="AS249" s="29"/>
      <c r="AT249" s="22"/>
      <c r="AU249" s="23"/>
      <c r="AV249" s="44"/>
      <c r="AW249" s="25"/>
      <c r="AX249" s="44"/>
      <c r="AY249" s="54"/>
      <c r="AZ249" s="22"/>
      <c r="BA249" s="23"/>
      <c r="BB249" s="44"/>
      <c r="BC249" s="25"/>
      <c r="BD249" s="44"/>
      <c r="BE249" s="54"/>
      <c r="BF249" s="22"/>
      <c r="BG249" s="23"/>
      <c r="BH249" s="44"/>
      <c r="BI249" s="25"/>
      <c r="BJ249" s="44"/>
      <c r="BK249" s="46"/>
      <c r="BL249" s="33"/>
      <c r="BM249" s="22"/>
      <c r="BN249" s="23"/>
      <c r="BO249" s="44"/>
      <c r="BP249" s="25"/>
      <c r="BQ249" s="44"/>
      <c r="BR249" s="29"/>
      <c r="BS249" s="29"/>
      <c r="BT249" s="29"/>
      <c r="BU249" s="22"/>
      <c r="BV249" s="23"/>
      <c r="BW249" s="44"/>
      <c r="BX249" s="25"/>
      <c r="BY249" s="44"/>
      <c r="BZ249" s="54"/>
      <c r="CA249" s="22"/>
      <c r="CB249" s="23"/>
      <c r="CC249" s="44"/>
      <c r="CD249" s="25"/>
      <c r="CE249" s="44"/>
      <c r="CF249" s="54"/>
      <c r="CG249" s="22"/>
      <c r="CH249" s="26"/>
      <c r="CI249" s="91"/>
      <c r="CJ249" s="26"/>
      <c r="CK249" s="91"/>
      <c r="CL249" s="26"/>
    </row>
    <row r="250">
      <c r="A250" s="26"/>
      <c r="B250" s="27"/>
      <c r="C250" s="27"/>
      <c r="D250" s="27"/>
      <c r="E250" s="26"/>
      <c r="F250" s="26"/>
      <c r="G250" s="20"/>
      <c r="H250" s="20"/>
      <c r="I250" s="23"/>
      <c r="J250" s="33"/>
      <c r="K250" s="22"/>
      <c r="L250" s="23"/>
      <c r="M250" s="44"/>
      <c r="N250" s="25"/>
      <c r="O250" s="44"/>
      <c r="P250" s="29"/>
      <c r="Q250" s="29"/>
      <c r="R250" s="29"/>
      <c r="S250" s="22"/>
      <c r="T250" s="23"/>
      <c r="U250" s="44"/>
      <c r="V250" s="25"/>
      <c r="W250" s="44"/>
      <c r="X250" s="54"/>
      <c r="Y250" s="22"/>
      <c r="Z250" s="23"/>
      <c r="AA250" s="44"/>
      <c r="AB250" s="25"/>
      <c r="AC250" s="44"/>
      <c r="AD250" s="54"/>
      <c r="AE250" s="22"/>
      <c r="AF250" s="23"/>
      <c r="AG250" s="44"/>
      <c r="AH250" s="25"/>
      <c r="AI250" s="44"/>
      <c r="AJ250" s="46"/>
      <c r="AK250" s="33"/>
      <c r="AL250" s="22"/>
      <c r="AM250" s="23"/>
      <c r="AN250" s="44"/>
      <c r="AO250" s="25"/>
      <c r="AP250" s="44"/>
      <c r="AQ250" s="29"/>
      <c r="AR250" s="29"/>
      <c r="AS250" s="29"/>
      <c r="AT250" s="22"/>
      <c r="AU250" s="23"/>
      <c r="AV250" s="44"/>
      <c r="AW250" s="25"/>
      <c r="AX250" s="44"/>
      <c r="AY250" s="54"/>
      <c r="AZ250" s="22"/>
      <c r="BA250" s="23"/>
      <c r="BB250" s="44"/>
      <c r="BC250" s="25"/>
      <c r="BD250" s="44"/>
      <c r="BE250" s="54"/>
      <c r="BF250" s="22"/>
      <c r="BG250" s="23"/>
      <c r="BH250" s="44"/>
      <c r="BI250" s="25"/>
      <c r="BJ250" s="44"/>
      <c r="BK250" s="46"/>
      <c r="BL250" s="33"/>
      <c r="BM250" s="22"/>
      <c r="BN250" s="23"/>
      <c r="BO250" s="44"/>
      <c r="BP250" s="25"/>
      <c r="BQ250" s="44"/>
      <c r="BR250" s="29"/>
      <c r="BS250" s="29"/>
      <c r="BT250" s="29"/>
      <c r="BU250" s="22"/>
      <c r="BV250" s="23"/>
      <c r="BW250" s="44"/>
      <c r="BX250" s="25"/>
      <c r="BY250" s="44"/>
      <c r="BZ250" s="54"/>
      <c r="CA250" s="22"/>
      <c r="CB250" s="23"/>
      <c r="CC250" s="44"/>
      <c r="CD250" s="25"/>
      <c r="CE250" s="44"/>
      <c r="CF250" s="54"/>
      <c r="CG250" s="22"/>
      <c r="CH250" s="26"/>
      <c r="CI250" s="91"/>
      <c r="CJ250" s="26"/>
      <c r="CK250" s="91"/>
      <c r="CL250" s="26"/>
    </row>
    <row r="251">
      <c r="A251" s="26"/>
      <c r="B251" s="27"/>
      <c r="C251" s="27"/>
      <c r="D251" s="27"/>
      <c r="E251" s="26"/>
      <c r="F251" s="26"/>
      <c r="G251" s="20"/>
      <c r="H251" s="20"/>
      <c r="I251" s="23"/>
      <c r="J251" s="33"/>
      <c r="K251" s="22"/>
      <c r="L251" s="23"/>
      <c r="M251" s="44"/>
      <c r="N251" s="25"/>
      <c r="O251" s="44"/>
      <c r="P251" s="29"/>
      <c r="Q251" s="29"/>
      <c r="R251" s="29"/>
      <c r="S251" s="22"/>
      <c r="T251" s="23"/>
      <c r="U251" s="44"/>
      <c r="V251" s="25"/>
      <c r="W251" s="44"/>
      <c r="X251" s="54"/>
      <c r="Y251" s="22"/>
      <c r="Z251" s="23"/>
      <c r="AA251" s="44"/>
      <c r="AB251" s="25"/>
      <c r="AC251" s="44"/>
      <c r="AD251" s="54"/>
      <c r="AE251" s="22"/>
      <c r="AF251" s="23"/>
      <c r="AG251" s="44"/>
      <c r="AH251" s="25"/>
      <c r="AI251" s="44"/>
      <c r="AJ251" s="46"/>
      <c r="AK251" s="33"/>
      <c r="AL251" s="22"/>
      <c r="AM251" s="23"/>
      <c r="AN251" s="44"/>
      <c r="AO251" s="25"/>
      <c r="AP251" s="44"/>
      <c r="AQ251" s="29"/>
      <c r="AR251" s="29"/>
      <c r="AS251" s="29"/>
      <c r="AT251" s="22"/>
      <c r="AU251" s="23"/>
      <c r="AV251" s="44"/>
      <c r="AW251" s="25"/>
      <c r="AX251" s="44"/>
      <c r="AY251" s="54"/>
      <c r="AZ251" s="22"/>
      <c r="BA251" s="23"/>
      <c r="BB251" s="44"/>
      <c r="BC251" s="25"/>
      <c r="BD251" s="44"/>
      <c r="BE251" s="54"/>
      <c r="BF251" s="22"/>
      <c r="BG251" s="23"/>
      <c r="BH251" s="44"/>
      <c r="BI251" s="25"/>
      <c r="BJ251" s="44"/>
      <c r="BK251" s="46"/>
      <c r="BL251" s="33"/>
      <c r="BM251" s="22"/>
      <c r="BN251" s="23"/>
      <c r="BO251" s="44"/>
      <c r="BP251" s="25"/>
      <c r="BQ251" s="44"/>
      <c r="BR251" s="29"/>
      <c r="BS251" s="29"/>
      <c r="BT251" s="29"/>
      <c r="BU251" s="22"/>
      <c r="BV251" s="23"/>
      <c r="BW251" s="44"/>
      <c r="BX251" s="25"/>
      <c r="BY251" s="44"/>
      <c r="BZ251" s="54"/>
      <c r="CA251" s="22"/>
      <c r="CB251" s="23"/>
      <c r="CC251" s="44"/>
      <c r="CD251" s="25"/>
      <c r="CE251" s="44"/>
      <c r="CF251" s="54"/>
      <c r="CG251" s="22"/>
      <c r="CH251" s="26"/>
      <c r="CI251" s="91"/>
      <c r="CJ251" s="26"/>
      <c r="CK251" s="91"/>
      <c r="CL251" s="26"/>
    </row>
    <row r="252">
      <c r="A252" s="26"/>
      <c r="B252" s="27"/>
      <c r="C252" s="27"/>
      <c r="D252" s="27"/>
      <c r="E252" s="26"/>
      <c r="F252" s="26"/>
      <c r="G252" s="20"/>
      <c r="H252" s="20"/>
      <c r="I252" s="23"/>
      <c r="J252" s="33"/>
      <c r="K252" s="22"/>
      <c r="L252" s="23"/>
      <c r="M252" s="44"/>
      <c r="N252" s="25"/>
      <c r="O252" s="44"/>
      <c r="P252" s="29"/>
      <c r="Q252" s="29"/>
      <c r="R252" s="29"/>
      <c r="S252" s="22"/>
      <c r="T252" s="23"/>
      <c r="U252" s="44"/>
      <c r="V252" s="25"/>
      <c r="W252" s="44"/>
      <c r="X252" s="54"/>
      <c r="Y252" s="22"/>
      <c r="Z252" s="23"/>
      <c r="AA252" s="44"/>
      <c r="AB252" s="25"/>
      <c r="AC252" s="44"/>
      <c r="AD252" s="54"/>
      <c r="AE252" s="22"/>
      <c r="AF252" s="23"/>
      <c r="AG252" s="44"/>
      <c r="AH252" s="25"/>
      <c r="AI252" s="44"/>
      <c r="AJ252" s="46"/>
      <c r="AK252" s="33"/>
      <c r="AL252" s="22"/>
      <c r="AM252" s="23"/>
      <c r="AN252" s="44"/>
      <c r="AO252" s="25"/>
      <c r="AP252" s="44"/>
      <c r="AQ252" s="29"/>
      <c r="AR252" s="29"/>
      <c r="AS252" s="29"/>
      <c r="AT252" s="22"/>
      <c r="AU252" s="23"/>
      <c r="AV252" s="44"/>
      <c r="AW252" s="25"/>
      <c r="AX252" s="44"/>
      <c r="AY252" s="54"/>
      <c r="AZ252" s="22"/>
      <c r="BA252" s="23"/>
      <c r="BB252" s="44"/>
      <c r="BC252" s="25"/>
      <c r="BD252" s="44"/>
      <c r="BE252" s="54"/>
      <c r="BF252" s="22"/>
      <c r="BG252" s="23"/>
      <c r="BH252" s="44"/>
      <c r="BI252" s="25"/>
      <c r="BJ252" s="44"/>
      <c r="BK252" s="46"/>
      <c r="BL252" s="33"/>
      <c r="BM252" s="22"/>
      <c r="BN252" s="23"/>
      <c r="BO252" s="44"/>
      <c r="BP252" s="25"/>
      <c r="BQ252" s="44"/>
      <c r="BR252" s="29"/>
      <c r="BS252" s="29"/>
      <c r="BT252" s="29"/>
      <c r="BU252" s="22"/>
      <c r="BV252" s="23"/>
      <c r="BW252" s="44"/>
      <c r="BX252" s="25"/>
      <c r="BY252" s="44"/>
      <c r="BZ252" s="54"/>
      <c r="CA252" s="22"/>
      <c r="CB252" s="23"/>
      <c r="CC252" s="44"/>
      <c r="CD252" s="25"/>
      <c r="CE252" s="44"/>
      <c r="CF252" s="54"/>
      <c r="CG252" s="22"/>
      <c r="CH252" s="26"/>
      <c r="CI252" s="91"/>
      <c r="CJ252" s="26"/>
      <c r="CK252" s="91"/>
      <c r="CL252" s="26"/>
    </row>
    <row r="253">
      <c r="A253" s="26"/>
      <c r="B253" s="27"/>
      <c r="C253" s="27"/>
      <c r="D253" s="27"/>
      <c r="E253" s="26"/>
      <c r="F253" s="26"/>
      <c r="G253" s="20"/>
      <c r="H253" s="20"/>
      <c r="I253" s="23"/>
      <c r="J253" s="33"/>
      <c r="K253" s="22"/>
      <c r="L253" s="23"/>
      <c r="M253" s="44"/>
      <c r="N253" s="25"/>
      <c r="O253" s="44"/>
      <c r="P253" s="29"/>
      <c r="Q253" s="29"/>
      <c r="R253" s="29"/>
      <c r="S253" s="22"/>
      <c r="T253" s="23"/>
      <c r="U253" s="44"/>
      <c r="V253" s="25"/>
      <c r="W253" s="44"/>
      <c r="X253" s="54"/>
      <c r="Y253" s="22"/>
      <c r="Z253" s="23"/>
      <c r="AA253" s="44"/>
      <c r="AB253" s="25"/>
      <c r="AC253" s="44"/>
      <c r="AD253" s="54"/>
      <c r="AE253" s="22"/>
      <c r="AF253" s="23"/>
      <c r="AG253" s="44"/>
      <c r="AH253" s="25"/>
      <c r="AI253" s="44"/>
      <c r="AJ253" s="46"/>
      <c r="AK253" s="33"/>
      <c r="AL253" s="22"/>
      <c r="AM253" s="23"/>
      <c r="AN253" s="44"/>
      <c r="AO253" s="25"/>
      <c r="AP253" s="44"/>
      <c r="AQ253" s="29"/>
      <c r="AR253" s="29"/>
      <c r="AS253" s="29"/>
      <c r="AT253" s="22"/>
      <c r="AU253" s="23"/>
      <c r="AV253" s="44"/>
      <c r="AW253" s="25"/>
      <c r="AX253" s="44"/>
      <c r="AY253" s="54"/>
      <c r="AZ253" s="22"/>
      <c r="BA253" s="23"/>
      <c r="BB253" s="44"/>
      <c r="BC253" s="25"/>
      <c r="BD253" s="44"/>
      <c r="BE253" s="54"/>
      <c r="BF253" s="22"/>
      <c r="BG253" s="23"/>
      <c r="BH253" s="44"/>
      <c r="BI253" s="25"/>
      <c r="BJ253" s="44"/>
      <c r="BK253" s="46"/>
      <c r="BL253" s="33"/>
      <c r="BM253" s="22"/>
      <c r="BN253" s="23"/>
      <c r="BO253" s="44"/>
      <c r="BP253" s="25"/>
      <c r="BQ253" s="44"/>
      <c r="BR253" s="29"/>
      <c r="BS253" s="29"/>
      <c r="BT253" s="29"/>
      <c r="BU253" s="22"/>
      <c r="BV253" s="23"/>
      <c r="BW253" s="44"/>
      <c r="BX253" s="25"/>
      <c r="BY253" s="44"/>
      <c r="BZ253" s="54"/>
      <c r="CA253" s="22"/>
      <c r="CB253" s="23"/>
      <c r="CC253" s="44"/>
      <c r="CD253" s="25"/>
      <c r="CE253" s="44"/>
      <c r="CF253" s="54"/>
      <c r="CG253" s="22"/>
      <c r="CH253" s="26"/>
      <c r="CI253" s="91"/>
      <c r="CJ253" s="26"/>
      <c r="CK253" s="91"/>
      <c r="CL253" s="26"/>
    </row>
    <row r="254">
      <c r="A254" s="26"/>
      <c r="B254" s="27"/>
      <c r="C254" s="27"/>
      <c r="D254" s="27"/>
      <c r="E254" s="26"/>
      <c r="F254" s="26"/>
      <c r="G254" s="20"/>
      <c r="H254" s="20"/>
      <c r="I254" s="23"/>
      <c r="J254" s="33"/>
      <c r="K254" s="22"/>
      <c r="L254" s="23"/>
      <c r="M254" s="44"/>
      <c r="N254" s="25"/>
      <c r="O254" s="44"/>
      <c r="P254" s="29"/>
      <c r="Q254" s="29"/>
      <c r="R254" s="29"/>
      <c r="S254" s="22"/>
      <c r="T254" s="23"/>
      <c r="U254" s="44"/>
      <c r="V254" s="25"/>
      <c r="W254" s="44"/>
      <c r="X254" s="54"/>
      <c r="Y254" s="22"/>
      <c r="Z254" s="23"/>
      <c r="AA254" s="44"/>
      <c r="AB254" s="25"/>
      <c r="AC254" s="44"/>
      <c r="AD254" s="54"/>
      <c r="AE254" s="22"/>
      <c r="AF254" s="23"/>
      <c r="AG254" s="44"/>
      <c r="AH254" s="25"/>
      <c r="AI254" s="44"/>
      <c r="AJ254" s="46"/>
      <c r="AK254" s="33"/>
      <c r="AL254" s="22"/>
      <c r="AM254" s="23"/>
      <c r="AN254" s="44"/>
      <c r="AO254" s="25"/>
      <c r="AP254" s="44"/>
      <c r="AQ254" s="29"/>
      <c r="AR254" s="29"/>
      <c r="AS254" s="29"/>
      <c r="AT254" s="22"/>
      <c r="AU254" s="23"/>
      <c r="AV254" s="44"/>
      <c r="AW254" s="25"/>
      <c r="AX254" s="44"/>
      <c r="AY254" s="54"/>
      <c r="AZ254" s="22"/>
      <c r="BA254" s="23"/>
      <c r="BB254" s="44"/>
      <c r="BC254" s="25"/>
      <c r="BD254" s="44"/>
      <c r="BE254" s="54"/>
      <c r="BF254" s="22"/>
      <c r="BG254" s="23"/>
      <c r="BH254" s="44"/>
      <c r="BI254" s="25"/>
      <c r="BJ254" s="44"/>
      <c r="BK254" s="46"/>
      <c r="BL254" s="33"/>
      <c r="BM254" s="22"/>
      <c r="BN254" s="23"/>
      <c r="BO254" s="44"/>
      <c r="BP254" s="25"/>
      <c r="BQ254" s="44"/>
      <c r="BR254" s="29"/>
      <c r="BS254" s="29"/>
      <c r="BT254" s="29"/>
      <c r="BU254" s="22"/>
      <c r="BV254" s="23"/>
      <c r="BW254" s="44"/>
      <c r="BX254" s="25"/>
      <c r="BY254" s="44"/>
      <c r="BZ254" s="54"/>
      <c r="CA254" s="22"/>
      <c r="CB254" s="23"/>
      <c r="CC254" s="44"/>
      <c r="CD254" s="25"/>
      <c r="CE254" s="44"/>
      <c r="CF254" s="54"/>
      <c r="CG254" s="22"/>
      <c r="CH254" s="26"/>
      <c r="CI254" s="91"/>
      <c r="CJ254" s="26"/>
      <c r="CK254" s="91"/>
      <c r="CL254" s="26"/>
    </row>
    <row r="255">
      <c r="A255" s="26"/>
      <c r="B255" s="27"/>
      <c r="C255" s="27"/>
      <c r="D255" s="27"/>
      <c r="E255" s="26"/>
      <c r="F255" s="26"/>
      <c r="G255" s="20"/>
      <c r="H255" s="20"/>
      <c r="I255" s="23"/>
      <c r="J255" s="33"/>
      <c r="K255" s="22"/>
      <c r="L255" s="23"/>
      <c r="M255" s="44"/>
      <c r="N255" s="25"/>
      <c r="O255" s="44"/>
      <c r="P255" s="29"/>
      <c r="Q255" s="29"/>
      <c r="R255" s="29"/>
      <c r="S255" s="22"/>
      <c r="T255" s="23"/>
      <c r="U255" s="44"/>
      <c r="V255" s="25"/>
      <c r="W255" s="44"/>
      <c r="X255" s="54"/>
      <c r="Y255" s="22"/>
      <c r="Z255" s="23"/>
      <c r="AA255" s="44"/>
      <c r="AB255" s="25"/>
      <c r="AC255" s="44"/>
      <c r="AD255" s="54"/>
      <c r="AE255" s="22"/>
      <c r="AF255" s="23"/>
      <c r="AG255" s="44"/>
      <c r="AH255" s="25"/>
      <c r="AI255" s="44"/>
      <c r="AJ255" s="46"/>
      <c r="AK255" s="33"/>
      <c r="AL255" s="22"/>
      <c r="AM255" s="23"/>
      <c r="AN255" s="44"/>
      <c r="AO255" s="25"/>
      <c r="AP255" s="44"/>
      <c r="AQ255" s="29"/>
      <c r="AR255" s="29"/>
      <c r="AS255" s="29"/>
      <c r="AT255" s="22"/>
      <c r="AU255" s="23"/>
      <c r="AV255" s="44"/>
      <c r="AW255" s="25"/>
      <c r="AX255" s="44"/>
      <c r="AY255" s="54"/>
      <c r="AZ255" s="22"/>
      <c r="BA255" s="23"/>
      <c r="BB255" s="44"/>
      <c r="BC255" s="25"/>
      <c r="BD255" s="44"/>
      <c r="BE255" s="54"/>
      <c r="BF255" s="22"/>
      <c r="BG255" s="23"/>
      <c r="BH255" s="44"/>
      <c r="BI255" s="25"/>
      <c r="BJ255" s="44"/>
      <c r="BK255" s="46"/>
      <c r="BL255" s="33"/>
      <c r="BM255" s="22"/>
      <c r="BN255" s="23"/>
      <c r="BO255" s="44"/>
      <c r="BP255" s="25"/>
      <c r="BQ255" s="44"/>
      <c r="BR255" s="29"/>
      <c r="BS255" s="29"/>
      <c r="BT255" s="29"/>
      <c r="BU255" s="22"/>
      <c r="BV255" s="23"/>
      <c r="BW255" s="44"/>
      <c r="BX255" s="25"/>
      <c r="BY255" s="44"/>
      <c r="BZ255" s="54"/>
      <c r="CA255" s="22"/>
      <c r="CB255" s="23"/>
      <c r="CC255" s="44"/>
      <c r="CD255" s="25"/>
      <c r="CE255" s="44"/>
      <c r="CF255" s="54"/>
      <c r="CG255" s="22"/>
      <c r="CH255" s="26"/>
      <c r="CI255" s="91"/>
      <c r="CJ255" s="26"/>
      <c r="CK255" s="91"/>
      <c r="CL255" s="26"/>
    </row>
    <row r="256">
      <c r="A256" s="26"/>
      <c r="B256" s="27"/>
      <c r="C256" s="27"/>
      <c r="D256" s="27"/>
      <c r="E256" s="26"/>
      <c r="F256" s="26"/>
      <c r="G256" s="20"/>
      <c r="H256" s="20"/>
      <c r="I256" s="23"/>
      <c r="J256" s="33"/>
      <c r="K256" s="22"/>
      <c r="L256" s="23"/>
      <c r="M256" s="44"/>
      <c r="N256" s="25"/>
      <c r="O256" s="44"/>
      <c r="P256" s="29"/>
      <c r="Q256" s="29"/>
      <c r="R256" s="29"/>
      <c r="S256" s="22"/>
      <c r="T256" s="23"/>
      <c r="U256" s="44"/>
      <c r="V256" s="25"/>
      <c r="W256" s="44"/>
      <c r="X256" s="54"/>
      <c r="Y256" s="22"/>
      <c r="Z256" s="23"/>
      <c r="AA256" s="44"/>
      <c r="AB256" s="25"/>
      <c r="AC256" s="44"/>
      <c r="AD256" s="54"/>
      <c r="AE256" s="22"/>
      <c r="AF256" s="23"/>
      <c r="AG256" s="44"/>
      <c r="AH256" s="25"/>
      <c r="AI256" s="44"/>
      <c r="AJ256" s="46"/>
      <c r="AK256" s="33"/>
      <c r="AL256" s="22"/>
      <c r="AM256" s="23"/>
      <c r="AN256" s="44"/>
      <c r="AO256" s="25"/>
      <c r="AP256" s="44"/>
      <c r="AQ256" s="29"/>
      <c r="AR256" s="29"/>
      <c r="AS256" s="29"/>
      <c r="AT256" s="22"/>
      <c r="AU256" s="23"/>
      <c r="AV256" s="44"/>
      <c r="AW256" s="25"/>
      <c r="AX256" s="44"/>
      <c r="AY256" s="54"/>
      <c r="AZ256" s="22"/>
      <c r="BA256" s="23"/>
      <c r="BB256" s="44"/>
      <c r="BC256" s="25"/>
      <c r="BD256" s="44"/>
      <c r="BE256" s="54"/>
      <c r="BF256" s="22"/>
      <c r="BG256" s="23"/>
      <c r="BH256" s="44"/>
      <c r="BI256" s="25"/>
      <c r="BJ256" s="44"/>
      <c r="BK256" s="46"/>
      <c r="BL256" s="33"/>
      <c r="BM256" s="22"/>
      <c r="BN256" s="23"/>
      <c r="BO256" s="44"/>
      <c r="BP256" s="25"/>
      <c r="BQ256" s="44"/>
      <c r="BR256" s="29"/>
      <c r="BS256" s="29"/>
      <c r="BT256" s="29"/>
      <c r="BU256" s="22"/>
      <c r="BV256" s="23"/>
      <c r="BW256" s="44"/>
      <c r="BX256" s="25"/>
      <c r="BY256" s="44"/>
      <c r="BZ256" s="54"/>
      <c r="CA256" s="22"/>
      <c r="CB256" s="23"/>
      <c r="CC256" s="44"/>
      <c r="CD256" s="25"/>
      <c r="CE256" s="44"/>
      <c r="CF256" s="54"/>
      <c r="CG256" s="22"/>
      <c r="CH256" s="26"/>
      <c r="CI256" s="91"/>
      <c r="CJ256" s="26"/>
      <c r="CK256" s="91"/>
      <c r="CL256" s="26"/>
    </row>
    <row r="257">
      <c r="A257" s="26"/>
      <c r="B257" s="27"/>
      <c r="C257" s="27"/>
      <c r="D257" s="27"/>
      <c r="E257" s="26"/>
      <c r="F257" s="26"/>
      <c r="G257" s="20"/>
      <c r="H257" s="20"/>
      <c r="I257" s="23"/>
      <c r="J257" s="33"/>
      <c r="K257" s="22"/>
      <c r="L257" s="23"/>
      <c r="M257" s="44"/>
      <c r="N257" s="25"/>
      <c r="O257" s="44"/>
      <c r="P257" s="29"/>
      <c r="Q257" s="29"/>
      <c r="R257" s="29"/>
      <c r="S257" s="22"/>
      <c r="T257" s="23"/>
      <c r="U257" s="44"/>
      <c r="V257" s="25"/>
      <c r="W257" s="44"/>
      <c r="X257" s="54"/>
      <c r="Y257" s="22"/>
      <c r="Z257" s="23"/>
      <c r="AA257" s="44"/>
      <c r="AB257" s="25"/>
      <c r="AC257" s="44"/>
      <c r="AD257" s="54"/>
      <c r="AE257" s="22"/>
      <c r="AF257" s="23"/>
      <c r="AG257" s="44"/>
      <c r="AH257" s="25"/>
      <c r="AI257" s="44"/>
      <c r="AJ257" s="46"/>
      <c r="AK257" s="33"/>
      <c r="AL257" s="22"/>
      <c r="AM257" s="23"/>
      <c r="AN257" s="44"/>
      <c r="AO257" s="25"/>
      <c r="AP257" s="44"/>
      <c r="AQ257" s="29"/>
      <c r="AR257" s="29"/>
      <c r="AS257" s="29"/>
      <c r="AT257" s="22"/>
      <c r="AU257" s="23"/>
      <c r="AV257" s="44"/>
      <c r="AW257" s="25"/>
      <c r="AX257" s="44"/>
      <c r="AY257" s="54"/>
      <c r="AZ257" s="22"/>
      <c r="BA257" s="23"/>
      <c r="BB257" s="44"/>
      <c r="BC257" s="25"/>
      <c r="BD257" s="44"/>
      <c r="BE257" s="54"/>
      <c r="BF257" s="22"/>
      <c r="BG257" s="23"/>
      <c r="BH257" s="44"/>
      <c r="BI257" s="25"/>
      <c r="BJ257" s="44"/>
      <c r="BK257" s="46"/>
      <c r="BL257" s="33"/>
      <c r="BM257" s="22"/>
      <c r="BN257" s="23"/>
      <c r="BO257" s="44"/>
      <c r="BP257" s="25"/>
      <c r="BQ257" s="44"/>
      <c r="BR257" s="29"/>
      <c r="BS257" s="29"/>
      <c r="BT257" s="29"/>
      <c r="BU257" s="22"/>
      <c r="BV257" s="23"/>
      <c r="BW257" s="44"/>
      <c r="BX257" s="25"/>
      <c r="BY257" s="44"/>
      <c r="BZ257" s="54"/>
      <c r="CA257" s="22"/>
      <c r="CB257" s="23"/>
      <c r="CC257" s="44"/>
      <c r="CD257" s="25"/>
      <c r="CE257" s="44"/>
      <c r="CF257" s="54"/>
      <c r="CG257" s="22"/>
      <c r="CH257" s="26"/>
      <c r="CI257" s="91"/>
      <c r="CJ257" s="26"/>
      <c r="CK257" s="91"/>
      <c r="CL257" s="26"/>
    </row>
    <row r="258">
      <c r="A258" s="26"/>
      <c r="B258" s="27"/>
      <c r="C258" s="27"/>
      <c r="D258" s="27"/>
      <c r="E258" s="26"/>
      <c r="F258" s="26"/>
      <c r="G258" s="20"/>
      <c r="H258" s="20"/>
      <c r="I258" s="23"/>
      <c r="J258" s="33"/>
      <c r="K258" s="22"/>
      <c r="L258" s="23"/>
      <c r="M258" s="44"/>
      <c r="N258" s="25"/>
      <c r="O258" s="44"/>
      <c r="P258" s="29"/>
      <c r="Q258" s="29"/>
      <c r="R258" s="29"/>
      <c r="S258" s="22"/>
      <c r="T258" s="23"/>
      <c r="U258" s="44"/>
      <c r="V258" s="25"/>
      <c r="W258" s="44"/>
      <c r="X258" s="54"/>
      <c r="Y258" s="22"/>
      <c r="Z258" s="23"/>
      <c r="AA258" s="44"/>
      <c r="AB258" s="25"/>
      <c r="AC258" s="44"/>
      <c r="AD258" s="54"/>
      <c r="AE258" s="22"/>
      <c r="AF258" s="23"/>
      <c r="AG258" s="44"/>
      <c r="AH258" s="25"/>
      <c r="AI258" s="44"/>
      <c r="AJ258" s="46"/>
      <c r="AK258" s="33"/>
      <c r="AL258" s="22"/>
      <c r="AM258" s="23"/>
      <c r="AN258" s="44"/>
      <c r="AO258" s="25"/>
      <c r="AP258" s="44"/>
      <c r="AQ258" s="29"/>
      <c r="AR258" s="29"/>
      <c r="AS258" s="29"/>
      <c r="AT258" s="22"/>
      <c r="AU258" s="23"/>
      <c r="AV258" s="44"/>
      <c r="AW258" s="25"/>
      <c r="AX258" s="44"/>
      <c r="AY258" s="54"/>
      <c r="AZ258" s="22"/>
      <c r="BA258" s="23"/>
      <c r="BB258" s="44"/>
      <c r="BC258" s="25"/>
      <c r="BD258" s="44"/>
      <c r="BE258" s="54"/>
      <c r="BF258" s="22"/>
      <c r="BG258" s="23"/>
      <c r="BH258" s="44"/>
      <c r="BI258" s="25"/>
      <c r="BJ258" s="44"/>
      <c r="BK258" s="46"/>
      <c r="BL258" s="33"/>
      <c r="BM258" s="22"/>
      <c r="BN258" s="23"/>
      <c r="BO258" s="44"/>
      <c r="BP258" s="25"/>
      <c r="BQ258" s="44"/>
      <c r="BR258" s="29"/>
      <c r="BS258" s="29"/>
      <c r="BT258" s="29"/>
      <c r="BU258" s="22"/>
      <c r="BV258" s="23"/>
      <c r="BW258" s="44"/>
      <c r="BX258" s="25"/>
      <c r="BY258" s="44"/>
      <c r="BZ258" s="54"/>
      <c r="CA258" s="22"/>
      <c r="CB258" s="23"/>
      <c r="CC258" s="44"/>
      <c r="CD258" s="25"/>
      <c r="CE258" s="44"/>
      <c r="CF258" s="54"/>
      <c r="CG258" s="22"/>
      <c r="CH258" s="26"/>
      <c r="CI258" s="91"/>
      <c r="CJ258" s="26"/>
      <c r="CK258" s="91"/>
      <c r="CL258" s="26"/>
    </row>
    <row r="259">
      <c r="A259" s="26"/>
      <c r="B259" s="27"/>
      <c r="C259" s="27"/>
      <c r="D259" s="27"/>
      <c r="E259" s="26"/>
      <c r="F259" s="26"/>
      <c r="G259" s="20"/>
      <c r="H259" s="20"/>
      <c r="I259" s="23"/>
      <c r="J259" s="33"/>
      <c r="K259" s="22"/>
      <c r="L259" s="23"/>
      <c r="M259" s="44"/>
      <c r="N259" s="25"/>
      <c r="O259" s="44"/>
      <c r="P259" s="29"/>
      <c r="Q259" s="29"/>
      <c r="R259" s="29"/>
      <c r="S259" s="22"/>
      <c r="T259" s="23"/>
      <c r="U259" s="44"/>
      <c r="V259" s="25"/>
      <c r="W259" s="44"/>
      <c r="X259" s="54"/>
      <c r="Y259" s="22"/>
      <c r="Z259" s="23"/>
      <c r="AA259" s="44"/>
      <c r="AB259" s="25"/>
      <c r="AC259" s="44"/>
      <c r="AD259" s="54"/>
      <c r="AE259" s="22"/>
      <c r="AF259" s="23"/>
      <c r="AG259" s="44"/>
      <c r="AH259" s="25"/>
      <c r="AI259" s="44"/>
      <c r="AJ259" s="46"/>
      <c r="AK259" s="33"/>
      <c r="AL259" s="22"/>
      <c r="AM259" s="23"/>
      <c r="AN259" s="44"/>
      <c r="AO259" s="25"/>
      <c r="AP259" s="44"/>
      <c r="AQ259" s="29"/>
      <c r="AR259" s="29"/>
      <c r="AS259" s="29"/>
      <c r="AT259" s="22"/>
      <c r="AU259" s="23"/>
      <c r="AV259" s="44"/>
      <c r="AW259" s="25"/>
      <c r="AX259" s="44"/>
      <c r="AY259" s="54"/>
      <c r="AZ259" s="22"/>
      <c r="BA259" s="23"/>
      <c r="BB259" s="44"/>
      <c r="BC259" s="25"/>
      <c r="BD259" s="44"/>
      <c r="BE259" s="54"/>
      <c r="BF259" s="22"/>
      <c r="BG259" s="23"/>
      <c r="BH259" s="44"/>
      <c r="BI259" s="25"/>
      <c r="BJ259" s="44"/>
      <c r="BK259" s="46"/>
      <c r="BL259" s="33"/>
      <c r="BM259" s="22"/>
      <c r="BN259" s="23"/>
      <c r="BO259" s="44"/>
      <c r="BP259" s="25"/>
      <c r="BQ259" s="44"/>
      <c r="BR259" s="29"/>
      <c r="BS259" s="29"/>
      <c r="BT259" s="29"/>
      <c r="BU259" s="22"/>
      <c r="BV259" s="23"/>
      <c r="BW259" s="44"/>
      <c r="BX259" s="25"/>
      <c r="BY259" s="44"/>
      <c r="BZ259" s="54"/>
      <c r="CA259" s="22"/>
      <c r="CB259" s="23"/>
      <c r="CC259" s="44"/>
      <c r="CD259" s="25"/>
      <c r="CE259" s="44"/>
      <c r="CF259" s="54"/>
      <c r="CG259" s="22"/>
      <c r="CH259" s="26"/>
      <c r="CI259" s="91"/>
      <c r="CJ259" s="26"/>
      <c r="CK259" s="91"/>
      <c r="CL259" s="26"/>
    </row>
    <row r="260">
      <c r="A260" s="26"/>
      <c r="B260" s="27"/>
      <c r="C260" s="27"/>
      <c r="D260" s="27"/>
      <c r="E260" s="26"/>
      <c r="F260" s="26"/>
      <c r="G260" s="20"/>
      <c r="H260" s="20"/>
      <c r="I260" s="23"/>
      <c r="J260" s="33"/>
      <c r="K260" s="22"/>
      <c r="L260" s="23"/>
      <c r="M260" s="44"/>
      <c r="N260" s="25"/>
      <c r="O260" s="44"/>
      <c r="P260" s="29"/>
      <c r="Q260" s="29"/>
      <c r="R260" s="29"/>
      <c r="S260" s="22"/>
      <c r="T260" s="23"/>
      <c r="U260" s="44"/>
      <c r="V260" s="25"/>
      <c r="W260" s="44"/>
      <c r="X260" s="54"/>
      <c r="Y260" s="22"/>
      <c r="Z260" s="23"/>
      <c r="AA260" s="44"/>
      <c r="AB260" s="25"/>
      <c r="AC260" s="44"/>
      <c r="AD260" s="54"/>
      <c r="AE260" s="22"/>
      <c r="AF260" s="23"/>
      <c r="AG260" s="44"/>
      <c r="AH260" s="25"/>
      <c r="AI260" s="44"/>
      <c r="AJ260" s="46"/>
      <c r="AK260" s="33"/>
      <c r="AL260" s="22"/>
      <c r="AM260" s="23"/>
      <c r="AN260" s="44"/>
      <c r="AO260" s="25"/>
      <c r="AP260" s="44"/>
      <c r="AQ260" s="29"/>
      <c r="AR260" s="29"/>
      <c r="AS260" s="29"/>
      <c r="AT260" s="22"/>
      <c r="AU260" s="23"/>
      <c r="AV260" s="44"/>
      <c r="AW260" s="25"/>
      <c r="AX260" s="44"/>
      <c r="AY260" s="54"/>
      <c r="AZ260" s="22"/>
      <c r="BA260" s="23"/>
      <c r="BB260" s="44"/>
      <c r="BC260" s="25"/>
      <c r="BD260" s="44"/>
      <c r="BE260" s="54"/>
      <c r="BF260" s="22"/>
      <c r="BG260" s="23"/>
      <c r="BH260" s="44"/>
      <c r="BI260" s="25"/>
      <c r="BJ260" s="44"/>
      <c r="BK260" s="46"/>
      <c r="BL260" s="33"/>
      <c r="BM260" s="22"/>
      <c r="BN260" s="23"/>
      <c r="BO260" s="44"/>
      <c r="BP260" s="25"/>
      <c r="BQ260" s="44"/>
      <c r="BR260" s="29"/>
      <c r="BS260" s="29"/>
      <c r="BT260" s="29"/>
      <c r="BU260" s="22"/>
      <c r="BV260" s="23"/>
      <c r="BW260" s="44"/>
      <c r="BX260" s="25"/>
      <c r="BY260" s="44"/>
      <c r="BZ260" s="54"/>
      <c r="CA260" s="22"/>
      <c r="CB260" s="23"/>
      <c r="CC260" s="44"/>
      <c r="CD260" s="25"/>
      <c r="CE260" s="44"/>
      <c r="CF260" s="54"/>
      <c r="CG260" s="22"/>
      <c r="CH260" s="26"/>
      <c r="CI260" s="91"/>
      <c r="CJ260" s="26"/>
      <c r="CK260" s="91"/>
      <c r="CL260" s="26"/>
    </row>
    <row r="261">
      <c r="A261" s="26"/>
      <c r="B261" s="27"/>
      <c r="C261" s="27"/>
      <c r="D261" s="27"/>
      <c r="E261" s="26"/>
      <c r="F261" s="26"/>
      <c r="G261" s="20"/>
      <c r="H261" s="20"/>
      <c r="I261" s="23"/>
      <c r="J261" s="33"/>
      <c r="K261" s="22"/>
      <c r="L261" s="23"/>
      <c r="M261" s="44"/>
      <c r="N261" s="25"/>
      <c r="O261" s="44"/>
      <c r="P261" s="29"/>
      <c r="Q261" s="29"/>
      <c r="R261" s="29"/>
      <c r="S261" s="22"/>
      <c r="T261" s="23"/>
      <c r="U261" s="44"/>
      <c r="V261" s="25"/>
      <c r="W261" s="44"/>
      <c r="X261" s="54"/>
      <c r="Y261" s="22"/>
      <c r="Z261" s="23"/>
      <c r="AA261" s="44"/>
      <c r="AB261" s="25"/>
      <c r="AC261" s="44"/>
      <c r="AD261" s="54"/>
      <c r="AE261" s="22"/>
      <c r="AF261" s="23"/>
      <c r="AG261" s="44"/>
      <c r="AH261" s="25"/>
      <c r="AI261" s="44"/>
      <c r="AJ261" s="46"/>
      <c r="AK261" s="33"/>
      <c r="AL261" s="22"/>
      <c r="AM261" s="23"/>
      <c r="AN261" s="44"/>
      <c r="AO261" s="25"/>
      <c r="AP261" s="44"/>
      <c r="AQ261" s="29"/>
      <c r="AR261" s="29"/>
      <c r="AS261" s="29"/>
      <c r="AT261" s="22"/>
      <c r="AU261" s="23"/>
      <c r="AV261" s="44"/>
      <c r="AW261" s="25"/>
      <c r="AX261" s="44"/>
      <c r="AY261" s="54"/>
      <c r="AZ261" s="22"/>
      <c r="BA261" s="23"/>
      <c r="BB261" s="44"/>
      <c r="BC261" s="25"/>
      <c r="BD261" s="44"/>
      <c r="BE261" s="54"/>
      <c r="BF261" s="22"/>
      <c r="BG261" s="23"/>
      <c r="BH261" s="44"/>
      <c r="BI261" s="25"/>
      <c r="BJ261" s="44"/>
      <c r="BK261" s="46"/>
      <c r="BL261" s="33"/>
      <c r="BM261" s="22"/>
      <c r="BN261" s="23"/>
      <c r="BO261" s="44"/>
      <c r="BP261" s="25"/>
      <c r="BQ261" s="44"/>
      <c r="BR261" s="29"/>
      <c r="BS261" s="29"/>
      <c r="BT261" s="29"/>
      <c r="BU261" s="22"/>
      <c r="BV261" s="23"/>
      <c r="BW261" s="44"/>
      <c r="BX261" s="25"/>
      <c r="BY261" s="44"/>
      <c r="BZ261" s="54"/>
      <c r="CA261" s="22"/>
      <c r="CB261" s="23"/>
      <c r="CC261" s="44"/>
      <c r="CD261" s="25"/>
      <c r="CE261" s="44"/>
      <c r="CF261" s="54"/>
      <c r="CG261" s="22"/>
      <c r="CH261" s="26"/>
      <c r="CI261" s="91"/>
      <c r="CJ261" s="26"/>
      <c r="CK261" s="91"/>
      <c r="CL261" s="26"/>
    </row>
    <row r="262">
      <c r="A262" s="26"/>
      <c r="B262" s="27"/>
      <c r="C262" s="27"/>
      <c r="D262" s="27"/>
      <c r="E262" s="26"/>
      <c r="F262" s="26"/>
      <c r="G262" s="20"/>
      <c r="H262" s="20"/>
      <c r="I262" s="23"/>
      <c r="J262" s="33"/>
      <c r="K262" s="22"/>
      <c r="L262" s="23"/>
      <c r="M262" s="44"/>
      <c r="N262" s="25"/>
      <c r="O262" s="44"/>
      <c r="P262" s="29"/>
      <c r="Q262" s="29"/>
      <c r="R262" s="29"/>
      <c r="S262" s="22"/>
      <c r="T262" s="23"/>
      <c r="U262" s="44"/>
      <c r="V262" s="25"/>
      <c r="W262" s="44"/>
      <c r="X262" s="54"/>
      <c r="Y262" s="22"/>
      <c r="Z262" s="23"/>
      <c r="AA262" s="44"/>
      <c r="AB262" s="25"/>
      <c r="AC262" s="44"/>
      <c r="AD262" s="54"/>
      <c r="AE262" s="22"/>
      <c r="AF262" s="23"/>
      <c r="AG262" s="44"/>
      <c r="AH262" s="25"/>
      <c r="AI262" s="44"/>
      <c r="AJ262" s="46"/>
      <c r="AK262" s="33"/>
      <c r="AL262" s="22"/>
      <c r="AM262" s="23"/>
      <c r="AN262" s="44"/>
      <c r="AO262" s="25"/>
      <c r="AP262" s="44"/>
      <c r="AQ262" s="29"/>
      <c r="AR262" s="29"/>
      <c r="AS262" s="29"/>
      <c r="AT262" s="22"/>
      <c r="AU262" s="23"/>
      <c r="AV262" s="44"/>
      <c r="AW262" s="25"/>
      <c r="AX262" s="44"/>
      <c r="AY262" s="54"/>
      <c r="AZ262" s="22"/>
      <c r="BA262" s="23"/>
      <c r="BB262" s="44"/>
      <c r="BC262" s="25"/>
      <c r="BD262" s="44"/>
      <c r="BE262" s="54"/>
      <c r="BF262" s="22"/>
      <c r="BG262" s="23"/>
      <c r="BH262" s="44"/>
      <c r="BI262" s="25"/>
      <c r="BJ262" s="44"/>
      <c r="BK262" s="46"/>
      <c r="BL262" s="33"/>
      <c r="BM262" s="22"/>
      <c r="BN262" s="23"/>
      <c r="BO262" s="44"/>
      <c r="BP262" s="25"/>
      <c r="BQ262" s="44"/>
      <c r="BR262" s="29"/>
      <c r="BS262" s="29"/>
      <c r="BT262" s="29"/>
      <c r="BU262" s="22"/>
      <c r="BV262" s="23"/>
      <c r="BW262" s="44"/>
      <c r="BX262" s="25"/>
      <c r="BY262" s="44"/>
      <c r="BZ262" s="54"/>
      <c r="CA262" s="22"/>
      <c r="CB262" s="23"/>
      <c r="CC262" s="44"/>
      <c r="CD262" s="25"/>
      <c r="CE262" s="44"/>
      <c r="CF262" s="54"/>
      <c r="CG262" s="22"/>
      <c r="CH262" s="26"/>
      <c r="CI262" s="91"/>
      <c r="CJ262" s="26"/>
      <c r="CK262" s="91"/>
      <c r="CL262" s="26"/>
    </row>
    <row r="263">
      <c r="A263" s="26"/>
      <c r="B263" s="27"/>
      <c r="C263" s="27"/>
      <c r="D263" s="27"/>
      <c r="E263" s="26"/>
      <c r="F263" s="26"/>
      <c r="G263" s="20"/>
      <c r="H263" s="20"/>
      <c r="I263" s="23"/>
      <c r="J263" s="33"/>
      <c r="K263" s="22"/>
      <c r="L263" s="23"/>
      <c r="M263" s="44"/>
      <c r="N263" s="25"/>
      <c r="O263" s="44"/>
      <c r="P263" s="29"/>
      <c r="Q263" s="29"/>
      <c r="R263" s="29"/>
      <c r="S263" s="22"/>
      <c r="T263" s="23"/>
      <c r="U263" s="44"/>
      <c r="V263" s="25"/>
      <c r="W263" s="44"/>
      <c r="X263" s="54"/>
      <c r="Y263" s="22"/>
      <c r="Z263" s="23"/>
      <c r="AA263" s="44"/>
      <c r="AB263" s="25"/>
      <c r="AC263" s="44"/>
      <c r="AD263" s="54"/>
      <c r="AE263" s="22"/>
      <c r="AF263" s="23"/>
      <c r="AG263" s="44"/>
      <c r="AH263" s="25"/>
      <c r="AI263" s="44"/>
      <c r="AJ263" s="46"/>
      <c r="AK263" s="33"/>
      <c r="AL263" s="22"/>
      <c r="AM263" s="23"/>
      <c r="AN263" s="44"/>
      <c r="AO263" s="25"/>
      <c r="AP263" s="44"/>
      <c r="AQ263" s="29"/>
      <c r="AR263" s="29"/>
      <c r="AS263" s="29"/>
      <c r="AT263" s="22"/>
      <c r="AU263" s="23"/>
      <c r="AV263" s="44"/>
      <c r="AW263" s="25"/>
      <c r="AX263" s="44"/>
      <c r="AY263" s="54"/>
      <c r="AZ263" s="22"/>
      <c r="BA263" s="23"/>
      <c r="BB263" s="44"/>
      <c r="BC263" s="25"/>
      <c r="BD263" s="44"/>
      <c r="BE263" s="54"/>
      <c r="BF263" s="22"/>
      <c r="BG263" s="23"/>
      <c r="BH263" s="44"/>
      <c r="BI263" s="25"/>
      <c r="BJ263" s="44"/>
      <c r="BK263" s="46"/>
      <c r="BL263" s="33"/>
      <c r="BM263" s="22"/>
      <c r="BN263" s="23"/>
      <c r="BO263" s="44"/>
      <c r="BP263" s="25"/>
      <c r="BQ263" s="44"/>
      <c r="BR263" s="29"/>
      <c r="BS263" s="29"/>
      <c r="BT263" s="29"/>
      <c r="BU263" s="22"/>
      <c r="BV263" s="23"/>
      <c r="BW263" s="44"/>
      <c r="BX263" s="25"/>
      <c r="BY263" s="44"/>
      <c r="BZ263" s="54"/>
      <c r="CA263" s="22"/>
      <c r="CB263" s="23"/>
      <c r="CC263" s="44"/>
      <c r="CD263" s="25"/>
      <c r="CE263" s="44"/>
      <c r="CF263" s="54"/>
      <c r="CG263" s="22"/>
      <c r="CH263" s="26"/>
      <c r="CI263" s="91"/>
      <c r="CJ263" s="26"/>
      <c r="CK263" s="91"/>
      <c r="CL263" s="26"/>
    </row>
    <row r="264">
      <c r="A264" s="26"/>
      <c r="B264" s="27"/>
      <c r="C264" s="27"/>
      <c r="D264" s="27"/>
      <c r="E264" s="26"/>
      <c r="F264" s="26"/>
      <c r="G264" s="20"/>
      <c r="H264" s="20"/>
      <c r="I264" s="23"/>
      <c r="J264" s="33"/>
      <c r="K264" s="22"/>
      <c r="L264" s="23"/>
      <c r="M264" s="44"/>
      <c r="N264" s="25"/>
      <c r="O264" s="44"/>
      <c r="P264" s="29"/>
      <c r="Q264" s="29"/>
      <c r="R264" s="29"/>
      <c r="S264" s="22"/>
      <c r="T264" s="23"/>
      <c r="U264" s="44"/>
      <c r="V264" s="25"/>
      <c r="W264" s="44"/>
      <c r="X264" s="54"/>
      <c r="Y264" s="22"/>
      <c r="Z264" s="23"/>
      <c r="AA264" s="44"/>
      <c r="AB264" s="25"/>
      <c r="AC264" s="44"/>
      <c r="AD264" s="54"/>
      <c r="AE264" s="22"/>
      <c r="AF264" s="23"/>
      <c r="AG264" s="44"/>
      <c r="AH264" s="25"/>
      <c r="AI264" s="44"/>
      <c r="AJ264" s="46"/>
      <c r="AK264" s="33"/>
      <c r="AL264" s="22"/>
      <c r="AM264" s="23"/>
      <c r="AN264" s="44"/>
      <c r="AO264" s="25"/>
      <c r="AP264" s="44"/>
      <c r="AQ264" s="29"/>
      <c r="AR264" s="29"/>
      <c r="AS264" s="29"/>
      <c r="AT264" s="22"/>
      <c r="AU264" s="23"/>
      <c r="AV264" s="44"/>
      <c r="AW264" s="25"/>
      <c r="AX264" s="44"/>
      <c r="AY264" s="54"/>
      <c r="AZ264" s="22"/>
      <c r="BA264" s="23"/>
      <c r="BB264" s="44"/>
      <c r="BC264" s="25"/>
      <c r="BD264" s="44"/>
      <c r="BE264" s="54"/>
      <c r="BF264" s="22"/>
      <c r="BG264" s="23"/>
      <c r="BH264" s="44"/>
      <c r="BI264" s="25"/>
      <c r="BJ264" s="44"/>
      <c r="BK264" s="46"/>
      <c r="BL264" s="33"/>
      <c r="BM264" s="22"/>
      <c r="BN264" s="23"/>
      <c r="BO264" s="44"/>
      <c r="BP264" s="25"/>
      <c r="BQ264" s="44"/>
      <c r="BR264" s="29"/>
      <c r="BS264" s="29"/>
      <c r="BT264" s="29"/>
      <c r="BU264" s="22"/>
      <c r="BV264" s="23"/>
      <c r="BW264" s="44"/>
      <c r="BX264" s="25"/>
      <c r="BY264" s="44"/>
      <c r="BZ264" s="54"/>
      <c r="CA264" s="22"/>
      <c r="CB264" s="23"/>
      <c r="CC264" s="44"/>
      <c r="CD264" s="25"/>
      <c r="CE264" s="44"/>
      <c r="CF264" s="54"/>
      <c r="CG264" s="22"/>
      <c r="CH264" s="26"/>
      <c r="CI264" s="91"/>
      <c r="CJ264" s="26"/>
      <c r="CK264" s="91"/>
      <c r="CL264" s="26"/>
    </row>
    <row r="265">
      <c r="A265" s="26"/>
      <c r="B265" s="27"/>
      <c r="C265" s="27"/>
      <c r="D265" s="27"/>
      <c r="E265" s="26"/>
      <c r="F265" s="26"/>
      <c r="G265" s="20"/>
      <c r="H265" s="20"/>
      <c r="I265" s="23"/>
      <c r="J265" s="33"/>
      <c r="K265" s="22"/>
      <c r="L265" s="23"/>
      <c r="M265" s="44"/>
      <c r="N265" s="25"/>
      <c r="O265" s="44"/>
      <c r="P265" s="29"/>
      <c r="Q265" s="29"/>
      <c r="R265" s="29"/>
      <c r="S265" s="22"/>
      <c r="T265" s="23"/>
      <c r="U265" s="44"/>
      <c r="V265" s="25"/>
      <c r="W265" s="44"/>
      <c r="X265" s="54"/>
      <c r="Y265" s="22"/>
      <c r="Z265" s="23"/>
      <c r="AA265" s="44"/>
      <c r="AB265" s="25"/>
      <c r="AC265" s="44"/>
      <c r="AD265" s="54"/>
      <c r="AE265" s="22"/>
      <c r="AF265" s="23"/>
      <c r="AG265" s="44"/>
      <c r="AH265" s="25"/>
      <c r="AI265" s="44"/>
      <c r="AJ265" s="46"/>
      <c r="AK265" s="33"/>
      <c r="AL265" s="22"/>
      <c r="AM265" s="23"/>
      <c r="AN265" s="44"/>
      <c r="AO265" s="25"/>
      <c r="AP265" s="44"/>
      <c r="AQ265" s="29"/>
      <c r="AR265" s="29"/>
      <c r="AS265" s="29"/>
      <c r="AT265" s="22"/>
      <c r="AU265" s="23"/>
      <c r="AV265" s="44"/>
      <c r="AW265" s="25"/>
      <c r="AX265" s="44"/>
      <c r="AY265" s="54"/>
      <c r="AZ265" s="22"/>
      <c r="BA265" s="23"/>
      <c r="BB265" s="44"/>
      <c r="BC265" s="25"/>
      <c r="BD265" s="44"/>
      <c r="BE265" s="54"/>
      <c r="BF265" s="22"/>
      <c r="BG265" s="23"/>
      <c r="BH265" s="44"/>
      <c r="BI265" s="25"/>
      <c r="BJ265" s="44"/>
      <c r="BK265" s="46"/>
      <c r="BL265" s="33"/>
      <c r="BM265" s="22"/>
      <c r="BN265" s="23"/>
      <c r="BO265" s="44"/>
      <c r="BP265" s="25"/>
      <c r="BQ265" s="44"/>
      <c r="BR265" s="29"/>
      <c r="BS265" s="29"/>
      <c r="BT265" s="29"/>
      <c r="BU265" s="22"/>
      <c r="BV265" s="23"/>
      <c r="BW265" s="44"/>
      <c r="BX265" s="25"/>
      <c r="BY265" s="44"/>
      <c r="BZ265" s="54"/>
      <c r="CA265" s="22"/>
      <c r="CB265" s="23"/>
      <c r="CC265" s="44"/>
      <c r="CD265" s="25"/>
      <c r="CE265" s="44"/>
      <c r="CF265" s="54"/>
      <c r="CG265" s="22"/>
      <c r="CH265" s="26"/>
      <c r="CI265" s="91"/>
      <c r="CJ265" s="26"/>
      <c r="CK265" s="91"/>
      <c r="CL265" s="26"/>
    </row>
    <row r="266">
      <c r="A266" s="26"/>
      <c r="B266" s="27"/>
      <c r="C266" s="27"/>
      <c r="D266" s="27"/>
      <c r="E266" s="26"/>
      <c r="F266" s="26"/>
      <c r="G266" s="20"/>
      <c r="H266" s="20"/>
      <c r="I266" s="23"/>
      <c r="J266" s="33"/>
      <c r="K266" s="22"/>
      <c r="L266" s="23"/>
      <c r="M266" s="44"/>
      <c r="N266" s="25"/>
      <c r="O266" s="44"/>
      <c r="P266" s="29"/>
      <c r="Q266" s="29"/>
      <c r="R266" s="29"/>
      <c r="S266" s="22"/>
      <c r="T266" s="23"/>
      <c r="U266" s="44"/>
      <c r="V266" s="25"/>
      <c r="W266" s="44"/>
      <c r="X266" s="54"/>
      <c r="Y266" s="22"/>
      <c r="Z266" s="23"/>
      <c r="AA266" s="44"/>
      <c r="AB266" s="25"/>
      <c r="AC266" s="44"/>
      <c r="AD266" s="54"/>
      <c r="AE266" s="22"/>
      <c r="AF266" s="23"/>
      <c r="AG266" s="44"/>
      <c r="AH266" s="25"/>
      <c r="AI266" s="44"/>
      <c r="AJ266" s="46"/>
      <c r="AK266" s="33"/>
      <c r="AL266" s="22"/>
      <c r="AM266" s="23"/>
      <c r="AN266" s="44"/>
      <c r="AO266" s="25"/>
      <c r="AP266" s="44"/>
      <c r="AQ266" s="29"/>
      <c r="AR266" s="29"/>
      <c r="AS266" s="29"/>
      <c r="AT266" s="22"/>
      <c r="AU266" s="23"/>
      <c r="AV266" s="44"/>
      <c r="AW266" s="25"/>
      <c r="AX266" s="44"/>
      <c r="AY266" s="54"/>
      <c r="AZ266" s="22"/>
      <c r="BA266" s="23"/>
      <c r="BB266" s="44"/>
      <c r="BC266" s="25"/>
      <c r="BD266" s="44"/>
      <c r="BE266" s="54"/>
      <c r="BF266" s="22"/>
      <c r="BG266" s="23"/>
      <c r="BH266" s="44"/>
      <c r="BI266" s="25"/>
      <c r="BJ266" s="44"/>
      <c r="BK266" s="46"/>
      <c r="BL266" s="33"/>
      <c r="BM266" s="22"/>
      <c r="BN266" s="23"/>
      <c r="BO266" s="44"/>
      <c r="BP266" s="25"/>
      <c r="BQ266" s="44"/>
      <c r="BR266" s="29"/>
      <c r="BS266" s="29"/>
      <c r="BT266" s="29"/>
      <c r="BU266" s="22"/>
      <c r="BV266" s="23"/>
      <c r="BW266" s="44"/>
      <c r="BX266" s="25"/>
      <c r="BY266" s="44"/>
      <c r="BZ266" s="54"/>
      <c r="CA266" s="22"/>
      <c r="CB266" s="23"/>
      <c r="CC266" s="44"/>
      <c r="CD266" s="25"/>
      <c r="CE266" s="44"/>
      <c r="CF266" s="54"/>
      <c r="CG266" s="22"/>
      <c r="CH266" s="26"/>
      <c r="CI266" s="91"/>
      <c r="CJ266" s="26"/>
      <c r="CK266" s="91"/>
      <c r="CL266" s="26"/>
    </row>
    <row r="267">
      <c r="A267" s="26"/>
      <c r="B267" s="27"/>
      <c r="C267" s="27"/>
      <c r="D267" s="27"/>
      <c r="E267" s="26"/>
      <c r="F267" s="26"/>
      <c r="G267" s="20"/>
      <c r="H267" s="20"/>
      <c r="I267" s="23"/>
      <c r="J267" s="33"/>
      <c r="K267" s="22"/>
      <c r="L267" s="23"/>
      <c r="M267" s="44"/>
      <c r="N267" s="25"/>
      <c r="O267" s="44"/>
      <c r="P267" s="29"/>
      <c r="Q267" s="29"/>
      <c r="R267" s="29"/>
      <c r="S267" s="22"/>
      <c r="T267" s="23"/>
      <c r="U267" s="44"/>
      <c r="V267" s="25"/>
      <c r="W267" s="44"/>
      <c r="X267" s="54"/>
      <c r="Y267" s="22"/>
      <c r="Z267" s="23"/>
      <c r="AA267" s="44"/>
      <c r="AB267" s="25"/>
      <c r="AC267" s="44"/>
      <c r="AD267" s="54"/>
      <c r="AE267" s="22"/>
      <c r="AF267" s="23"/>
      <c r="AG267" s="44"/>
      <c r="AH267" s="25"/>
      <c r="AI267" s="44"/>
      <c r="AJ267" s="46"/>
      <c r="AK267" s="33"/>
      <c r="AL267" s="22"/>
      <c r="AM267" s="23"/>
      <c r="AN267" s="44"/>
      <c r="AO267" s="25"/>
      <c r="AP267" s="44"/>
      <c r="AQ267" s="29"/>
      <c r="AR267" s="29"/>
      <c r="AS267" s="29"/>
      <c r="AT267" s="22"/>
      <c r="AU267" s="23"/>
      <c r="AV267" s="44"/>
      <c r="AW267" s="25"/>
      <c r="AX267" s="44"/>
      <c r="AY267" s="54"/>
      <c r="AZ267" s="22"/>
      <c r="BA267" s="23"/>
      <c r="BB267" s="44"/>
      <c r="BC267" s="25"/>
      <c r="BD267" s="44"/>
      <c r="BE267" s="54"/>
      <c r="BF267" s="22"/>
      <c r="BG267" s="23"/>
      <c r="BH267" s="44"/>
      <c r="BI267" s="25"/>
      <c r="BJ267" s="44"/>
      <c r="BK267" s="46"/>
      <c r="BL267" s="33"/>
      <c r="BM267" s="22"/>
      <c r="BN267" s="23"/>
      <c r="BO267" s="44"/>
      <c r="BP267" s="25"/>
      <c r="BQ267" s="44"/>
      <c r="BR267" s="29"/>
      <c r="BS267" s="29"/>
      <c r="BT267" s="29"/>
      <c r="BU267" s="22"/>
      <c r="BV267" s="23"/>
      <c r="BW267" s="44"/>
      <c r="BX267" s="25"/>
      <c r="BY267" s="44"/>
      <c r="BZ267" s="54"/>
      <c r="CA267" s="22"/>
      <c r="CB267" s="23"/>
      <c r="CC267" s="44"/>
      <c r="CD267" s="25"/>
      <c r="CE267" s="44"/>
      <c r="CF267" s="54"/>
      <c r="CG267" s="22"/>
      <c r="CH267" s="26"/>
      <c r="CI267" s="91"/>
      <c r="CJ267" s="26"/>
      <c r="CK267" s="91"/>
      <c r="CL267" s="26"/>
    </row>
    <row r="268">
      <c r="A268" s="26"/>
      <c r="B268" s="27"/>
      <c r="C268" s="27"/>
      <c r="D268" s="27"/>
      <c r="E268" s="26"/>
      <c r="F268" s="26"/>
      <c r="G268" s="20"/>
      <c r="H268" s="20"/>
      <c r="I268" s="23"/>
      <c r="J268" s="33"/>
      <c r="K268" s="22"/>
      <c r="L268" s="23"/>
      <c r="M268" s="44"/>
      <c r="N268" s="25"/>
      <c r="O268" s="44"/>
      <c r="P268" s="29"/>
      <c r="Q268" s="29"/>
      <c r="R268" s="29"/>
      <c r="S268" s="22"/>
      <c r="T268" s="23"/>
      <c r="U268" s="44"/>
      <c r="V268" s="25"/>
      <c r="W268" s="44"/>
      <c r="X268" s="54"/>
      <c r="Y268" s="22"/>
      <c r="Z268" s="23"/>
      <c r="AA268" s="44"/>
      <c r="AB268" s="25"/>
      <c r="AC268" s="44"/>
      <c r="AD268" s="54"/>
      <c r="AE268" s="22"/>
      <c r="AF268" s="23"/>
      <c r="AG268" s="44"/>
      <c r="AH268" s="25"/>
      <c r="AI268" s="44"/>
      <c r="AJ268" s="46"/>
      <c r="AK268" s="33"/>
      <c r="AL268" s="22"/>
      <c r="AM268" s="23"/>
      <c r="AN268" s="44"/>
      <c r="AO268" s="25"/>
      <c r="AP268" s="44"/>
      <c r="AQ268" s="29"/>
      <c r="AR268" s="29"/>
      <c r="AS268" s="29"/>
      <c r="AT268" s="22"/>
      <c r="AU268" s="23"/>
      <c r="AV268" s="44"/>
      <c r="AW268" s="25"/>
      <c r="AX268" s="44"/>
      <c r="AY268" s="54"/>
      <c r="AZ268" s="22"/>
      <c r="BA268" s="23"/>
      <c r="BB268" s="44"/>
      <c r="BC268" s="25"/>
      <c r="BD268" s="44"/>
      <c r="BE268" s="54"/>
      <c r="BF268" s="22"/>
      <c r="BG268" s="23"/>
      <c r="BH268" s="44"/>
      <c r="BI268" s="25"/>
      <c r="BJ268" s="44"/>
      <c r="BK268" s="46"/>
      <c r="BL268" s="33"/>
      <c r="BM268" s="22"/>
      <c r="BN268" s="23"/>
      <c r="BO268" s="44"/>
      <c r="BP268" s="25"/>
      <c r="BQ268" s="44"/>
      <c r="BR268" s="29"/>
      <c r="BS268" s="29"/>
      <c r="BT268" s="29"/>
      <c r="BU268" s="22"/>
      <c r="BV268" s="23"/>
      <c r="BW268" s="44"/>
      <c r="BX268" s="25"/>
      <c r="BY268" s="44"/>
      <c r="BZ268" s="54"/>
      <c r="CA268" s="22"/>
      <c r="CB268" s="23"/>
      <c r="CC268" s="44"/>
      <c r="CD268" s="25"/>
      <c r="CE268" s="44"/>
      <c r="CF268" s="54"/>
      <c r="CG268" s="22"/>
      <c r="CH268" s="26"/>
      <c r="CI268" s="91"/>
      <c r="CJ268" s="26"/>
      <c r="CK268" s="91"/>
      <c r="CL268" s="26"/>
    </row>
    <row r="269">
      <c r="A269" s="26"/>
      <c r="B269" s="27"/>
      <c r="C269" s="27"/>
      <c r="D269" s="27"/>
      <c r="E269" s="26"/>
      <c r="F269" s="26"/>
      <c r="G269" s="20"/>
      <c r="H269" s="20"/>
      <c r="I269" s="23"/>
      <c r="J269" s="33"/>
      <c r="K269" s="22"/>
      <c r="L269" s="23"/>
      <c r="M269" s="44"/>
      <c r="N269" s="25"/>
      <c r="O269" s="44"/>
      <c r="P269" s="29"/>
      <c r="Q269" s="29"/>
      <c r="R269" s="29"/>
      <c r="S269" s="22"/>
      <c r="T269" s="23"/>
      <c r="U269" s="44"/>
      <c r="V269" s="25"/>
      <c r="W269" s="44"/>
      <c r="X269" s="54"/>
      <c r="Y269" s="22"/>
      <c r="Z269" s="23"/>
      <c r="AA269" s="44"/>
      <c r="AB269" s="25"/>
      <c r="AC269" s="44"/>
      <c r="AD269" s="54"/>
      <c r="AE269" s="22"/>
      <c r="AF269" s="23"/>
      <c r="AG269" s="44"/>
      <c r="AH269" s="25"/>
      <c r="AI269" s="44"/>
      <c r="AJ269" s="46"/>
      <c r="AK269" s="33"/>
      <c r="AL269" s="22"/>
      <c r="AM269" s="23"/>
      <c r="AN269" s="44"/>
      <c r="AO269" s="25"/>
      <c r="AP269" s="44"/>
      <c r="AQ269" s="29"/>
      <c r="AR269" s="29"/>
      <c r="AS269" s="29"/>
      <c r="AT269" s="22"/>
      <c r="AU269" s="23"/>
      <c r="AV269" s="44"/>
      <c r="AW269" s="25"/>
      <c r="AX269" s="44"/>
      <c r="AY269" s="54"/>
      <c r="AZ269" s="22"/>
      <c r="BA269" s="23"/>
      <c r="BB269" s="44"/>
      <c r="BC269" s="25"/>
      <c r="BD269" s="44"/>
      <c r="BE269" s="54"/>
      <c r="BF269" s="22"/>
      <c r="BG269" s="23"/>
      <c r="BH269" s="44"/>
      <c r="BI269" s="25"/>
      <c r="BJ269" s="44"/>
      <c r="BK269" s="46"/>
      <c r="BL269" s="33"/>
      <c r="BM269" s="22"/>
      <c r="BN269" s="23"/>
      <c r="BO269" s="44"/>
      <c r="BP269" s="25"/>
      <c r="BQ269" s="44"/>
      <c r="BR269" s="29"/>
      <c r="BS269" s="29"/>
      <c r="BT269" s="29"/>
      <c r="BU269" s="22"/>
      <c r="BV269" s="23"/>
      <c r="BW269" s="44"/>
      <c r="BX269" s="25"/>
      <c r="BY269" s="44"/>
      <c r="BZ269" s="54"/>
      <c r="CA269" s="22"/>
      <c r="CB269" s="23"/>
      <c r="CC269" s="44"/>
      <c r="CD269" s="25"/>
      <c r="CE269" s="44"/>
      <c r="CF269" s="54"/>
      <c r="CG269" s="22"/>
      <c r="CH269" s="26"/>
      <c r="CI269" s="91"/>
      <c r="CJ269" s="26"/>
      <c r="CK269" s="91"/>
      <c r="CL269" s="26"/>
    </row>
    <row r="270">
      <c r="A270" s="26" t="str">
        <f>IF(C270="","",COUNTA($C$3:C270))</f>
        <v/>
      </c>
      <c r="B270" s="27"/>
      <c r="C270" s="27"/>
      <c r="D270" s="27"/>
      <c r="E270" s="26"/>
      <c r="F270" s="26"/>
      <c r="G270" s="20"/>
      <c r="H270" s="20"/>
      <c r="I270" s="23"/>
      <c r="J270" s="33"/>
      <c r="K270" s="22" t="str">
        <f>G270</f>
        <v/>
      </c>
      <c r="L270" s="23"/>
      <c r="M270" s="44"/>
      <c r="N270" s="25"/>
      <c r="O270" s="44"/>
      <c r="P270" s="29"/>
      <c r="Q270" s="29"/>
      <c r="R270" s="29"/>
      <c r="S270" s="22" t="str">
        <f>V270</f>
        <v/>
      </c>
      <c r="T270" s="23"/>
      <c r="U270" s="44" t="str">
        <f>if(T270&lt;&gt;"", if(U270="",NOW(),U270),"")</f>
        <v/>
      </c>
      <c r="V270" s="25"/>
      <c r="W270" s="44" t="str">
        <f>if(V270="Done", if(W270="",NOW(),W270),"")</f>
        <v/>
      </c>
      <c r="X270" s="54"/>
      <c r="Y270" s="22" t="str">
        <f>AB270</f>
        <v/>
      </c>
      <c r="Z270" s="23"/>
      <c r="AA270" s="44" t="str">
        <f>if(Z270&lt;&gt;"", if(AA270="",NOW(),AA270),"")</f>
        <v/>
      </c>
      <c r="AB270" s="25"/>
      <c r="AC270" s="44" t="str">
        <f>if(AB270="Done", if(AC270="",NOW(),AC270),"")</f>
        <v/>
      </c>
      <c r="AD270" s="54"/>
      <c r="AE270" s="22" t="str">
        <f>AH270</f>
        <v/>
      </c>
      <c r="AF270" s="23"/>
      <c r="AG270" s="44" t="str">
        <f>if(AF270&lt;&gt;"", if(AG270="",NOW(),AG270),"")</f>
        <v/>
      </c>
      <c r="AH270" s="25"/>
      <c r="AI270" s="44" t="str">
        <f>if(AH270="Done", if(AI270="",NOW(),AI270),"")</f>
        <v/>
      </c>
      <c r="AJ270" s="46">
        <v>0.0</v>
      </c>
      <c r="AK270" s="33"/>
      <c r="AL270" s="22"/>
      <c r="AM270" s="23"/>
      <c r="AN270" s="44" t="str">
        <f>if(AM270&lt;&gt;"", if(AN270="",NOW(),AN270),"")</f>
        <v/>
      </c>
      <c r="AO270" s="25"/>
      <c r="AP270" s="44" t="str">
        <f>if(AO270="Done", if(AP270="",NOW(),AP270),"")</f>
        <v/>
      </c>
      <c r="AQ270" s="29" t="str">
        <f>IF(AND(AN270&lt;&gt;"",AP270&lt;&gt;""),(AP270-AN270)*1440,"")</f>
        <v/>
      </c>
      <c r="AR270" s="29">
        <f>IF(
  INT(AN270)=INT(AP270),
  IF(
    AND(MOD(AN270,1)&lt;TIME(12,0,0), MOD(AP270,1)&gt;TIME(12,0,0)),
    60,
    0
  ),
  IF(
    MOD(AP270,1)&lt;=TIME(12,0,0),
    (INT(AP270)-INT(AN270))*960,
    (INT(AP270)-INT(AN270))*1020
  )
)</f>
        <v>0</v>
      </c>
      <c r="AS270" s="29">
        <f>(AQ270-AR270)/60</f>
        <v>0</v>
      </c>
      <c r="AT270" s="22" t="str">
        <f>AW270</f>
        <v/>
      </c>
      <c r="AU270" s="23"/>
      <c r="AV270" s="44" t="str">
        <f>if(AU270&lt;&gt;"", if(AV270="",NOW(),AV270),"")</f>
        <v/>
      </c>
      <c r="AW270" s="25"/>
      <c r="AX270" s="44" t="str">
        <f>if(AW270="Done", if(AX270="",NOW(),AX270),"")</f>
        <v/>
      </c>
      <c r="AY270" s="54"/>
      <c r="AZ270" s="22" t="str">
        <f>BC270</f>
        <v/>
      </c>
      <c r="BA270" s="23"/>
      <c r="BB270" s="44" t="str">
        <f>if(BA270&lt;&gt;"", if(BB270="",NOW(),BB270),"")</f>
        <v/>
      </c>
      <c r="BC270" s="25"/>
      <c r="BD270" s="44" t="str">
        <f>if(BC270="Done", if(BD270="",NOW(),BD270),"")</f>
        <v/>
      </c>
      <c r="BE270" s="54"/>
      <c r="BF270" s="22" t="str">
        <f>BI270</f>
        <v/>
      </c>
      <c r="BG270" s="23"/>
      <c r="BH270" s="44" t="str">
        <f>if(BG270&lt;&gt;"", if(BH270="",NOW(),BH270),"")</f>
        <v/>
      </c>
      <c r="BI270" s="25"/>
      <c r="BJ270" s="44" t="str">
        <f>if(BI270="Done", if(BJ270="",NOW(),BJ270),"")</f>
        <v/>
      </c>
      <c r="BK270" s="46">
        <v>0.0</v>
      </c>
      <c r="BL270" s="33"/>
      <c r="BM270" s="22" t="str">
        <f>BI270</f>
        <v/>
      </c>
      <c r="BN270" s="23"/>
      <c r="BO270" s="44" t="str">
        <f>if(BN270&lt;&gt;"", if(BO270="",NOW(),BO270),"")</f>
        <v/>
      </c>
      <c r="BP270" s="25"/>
      <c r="BQ270" s="44" t="str">
        <f>if(BP270="Done", if(BQ270="",NOW(),BQ270),"")</f>
        <v/>
      </c>
      <c r="BR270" s="29" t="str">
        <f>IF(AND(BO270&lt;&gt;"",BQ270&lt;&gt;""),(BQ270-BO270)*1440,"")</f>
        <v/>
      </c>
      <c r="BS270" s="29">
        <f>IF(
  INT(BO270)=INT(BQ270),
  IF(
    AND(MOD(BO270,1)&lt;TIME(12,0,0), MOD(BQ270,1)&gt;TIME(12,0,0)),
    60,
    0
  ),
  IF(
    MOD(BQ270,1)&lt;=TIME(12,0,0),
    (INT(BQ270)-INT(BO270))*960,
    (INT(BQ270)-INT(BO270))*1020
  )
)</f>
        <v>0</v>
      </c>
      <c r="BT270" s="29">
        <f>(BR270-BS270)/60</f>
        <v>0</v>
      </c>
      <c r="BU270" s="22" t="str">
        <f>BX270</f>
        <v/>
      </c>
      <c r="BV270" s="23"/>
      <c r="BW270" s="44" t="str">
        <f>if(BV270&lt;&gt;"", if(BW270="",NOW(),BW270),"")</f>
        <v/>
      </c>
      <c r="BX270" s="25"/>
      <c r="BY270" s="44" t="str">
        <f>if(BX270="Done", if(BY270="",NOW(),BY270),"")</f>
        <v/>
      </c>
      <c r="BZ270" s="54"/>
      <c r="CA270" s="22" t="str">
        <f>CD270</f>
        <v/>
      </c>
      <c r="CB270" s="23"/>
      <c r="CC270" s="44" t="str">
        <f>if(CB270&lt;&gt;"", if(CC270="",NOW(),CC270),"")</f>
        <v/>
      </c>
      <c r="CD270" s="25"/>
      <c r="CE270" s="44" t="str">
        <f>if(CD270="Done", if(CE270="",NOW(),CE270),"")</f>
        <v/>
      </c>
      <c r="CF270" s="54"/>
      <c r="CG270" s="22" t="str">
        <f>CJ270</f>
        <v/>
      </c>
      <c r="CH270" s="26"/>
      <c r="CI270" s="91"/>
      <c r="CJ270" s="26"/>
      <c r="CK270" s="91"/>
      <c r="CL270" s="26"/>
    </row>
  </sheetData>
  <mergeCells count="23">
    <mergeCell ref="A1:F1"/>
    <mergeCell ref="G1:I1"/>
    <mergeCell ref="K1:R1"/>
    <mergeCell ref="S1:S2"/>
    <mergeCell ref="T1:X1"/>
    <mergeCell ref="Y1:Y2"/>
    <mergeCell ref="AE1:AE2"/>
    <mergeCell ref="Z1:AD1"/>
    <mergeCell ref="AF1:AJ1"/>
    <mergeCell ref="AL1:AS1"/>
    <mergeCell ref="AT1:AT2"/>
    <mergeCell ref="AU1:AY1"/>
    <mergeCell ref="AZ1:AZ2"/>
    <mergeCell ref="BF1:BF2"/>
    <mergeCell ref="CB1:CF1"/>
    <mergeCell ref="CH1:CL1"/>
    <mergeCell ref="BA1:BE1"/>
    <mergeCell ref="BG1:BK1"/>
    <mergeCell ref="BM1:BT1"/>
    <mergeCell ref="BU1:BU2"/>
    <mergeCell ref="BV1:BZ1"/>
    <mergeCell ref="CA1:CA2"/>
    <mergeCell ref="CG1:CG2"/>
  </mergeCells>
  <conditionalFormatting sqref="G1:H270">
    <cfRule type="containsBlanks" dxfId="0" priority="1">
      <formula>LEN(TRIM(G1))=0</formula>
    </cfRule>
  </conditionalFormatting>
  <dataValidations>
    <dataValidation type="list" allowBlank="1" sqref="X3:X270 AD3:AD270 AY3:AY270 BE3:BE270 BZ3:BZ270 CF3:CF270">
      <formula1>"5%,10%,20%,30%,40%,50%,60%,70%,80%,90%,100%"</formula1>
    </dataValidation>
    <dataValidation type="list" allowBlank="1" showErrorMessage="1" sqref="BM4:BM270">
      <formula1>"Senjata,Kendaraan Darat,Kendaraan Laut,Kendaraan Udara,Bangunan Unik,Target"</formula1>
    </dataValidation>
    <dataValidation type="list" allowBlank="1" showErrorMessage="1" sqref="G3:H270">
      <formula1>"1,2,3,4,5"</formula1>
    </dataValidation>
    <dataValidation type="list" allowBlank="1" showErrorMessage="1" sqref="F26 CH3:CH74 I3:I270 L3:L270 T3:T270 Z3:Z270 AF3:AF270 AM3:AM270 AU3:AU270 BA3:BA270 BG3:BG270 BN3:BN270 BV3:BV270 CB3:CB270">
      <formula1>'List Personnel'!$A$2:$A$100</formula1>
    </dataValidation>
    <dataValidation type="list" allowBlank="1" showErrorMessage="1" sqref="D3:D270">
      <formula1>"Content,Environment,Cloth"</formula1>
    </dataValidation>
    <dataValidation type="list" allowBlank="1" showErrorMessage="1" sqref="CJ3:CJ74 N3:N270 V3:V270 AB3:AB270 AH3:AH270 AO3:AO270 AW3:AW270 BC3:BC270 BI3:BI270 BP3:BP270 BX3:BX270 CD3:CD270">
      <formula1>"Ongoing,Done,Pending,Revision"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 outlineLevelCol="1"/>
  <cols>
    <col customWidth="1" min="1" max="1" width="5.88"/>
    <col customWidth="1" min="2" max="2" width="22.75"/>
    <col customWidth="1" min="3" max="4" width="15.38"/>
    <col customWidth="1" min="5" max="7" width="18.5"/>
    <col customWidth="1" min="8" max="8" width="19.75"/>
    <col customWidth="1" min="9" max="9" width="3.5"/>
    <col customWidth="1" min="10" max="10" width="9.75"/>
    <col customWidth="1" min="11" max="11" width="22.5"/>
    <col customWidth="1" min="12" max="12" width="20.88"/>
    <col collapsed="1" customWidth="1" min="14" max="14" width="19.13"/>
    <col hidden="1" min="15" max="17" width="12.63" outlineLevel="1"/>
    <col collapsed="1" min="18" max="18" width="12.63"/>
    <col hidden="1" min="19" max="23" width="12.63" outlineLevel="1"/>
    <col collapsed="1" min="24" max="24" width="12.63"/>
    <col hidden="1" min="25" max="29" width="12.63" outlineLevel="1"/>
    <col collapsed="1" customWidth="1" min="30" max="30" width="16.5"/>
    <col hidden="1" min="31" max="35" width="12.63" outlineLevel="1"/>
    <col customWidth="1" min="36" max="36" width="3.63"/>
    <col customWidth="1" min="38" max="38" width="13.88"/>
    <col customWidth="1" min="39" max="39" width="22.5"/>
    <col customWidth="1" min="40" max="40" width="20.88"/>
    <col collapsed="1" customWidth="1" min="42" max="42" width="19.13"/>
    <col hidden="1" min="43" max="45" width="12.63" outlineLevel="1"/>
    <col collapsed="1" min="46" max="46" width="12.63"/>
    <col hidden="1" min="47" max="51" width="12.63" outlineLevel="1"/>
    <col collapsed="1" min="52" max="52" width="12.63"/>
    <col hidden="1" min="53" max="57" width="12.63" outlineLevel="1"/>
    <col collapsed="1" min="58" max="58" width="12.63"/>
    <col hidden="1" min="59" max="63" width="12.63" outlineLevel="1"/>
    <col customWidth="1" min="64" max="64" width="3.63"/>
    <col customWidth="1" min="66" max="66" width="22.5"/>
    <col customWidth="1" min="67" max="67" width="20.88"/>
    <col collapsed="1" customWidth="1" min="69" max="69" width="19.13"/>
    <col hidden="1" min="70" max="72" width="12.63" outlineLevel="1"/>
    <col collapsed="1" min="73" max="73" width="12.63"/>
    <col hidden="1" min="74" max="78" width="12.63" outlineLevel="1"/>
    <col collapsed="1" min="79" max="79" width="12.63"/>
    <col hidden="1" min="80" max="84" width="12.63" outlineLevel="1"/>
    <col collapsed="1" min="85" max="85" width="12.63"/>
    <col hidden="1" min="86" max="90" width="12.63" outlineLevel="1"/>
    <col customWidth="1" min="91" max="93" width="3.63"/>
  </cols>
  <sheetData>
    <row r="1">
      <c r="A1" s="58" t="s">
        <v>130</v>
      </c>
      <c r="E1" s="58"/>
      <c r="I1" s="59"/>
      <c r="J1" s="58" t="s">
        <v>131</v>
      </c>
      <c r="R1" s="60" t="s">
        <v>8</v>
      </c>
      <c r="S1" s="60" t="s">
        <v>8</v>
      </c>
      <c r="X1" s="60" t="s">
        <v>10</v>
      </c>
      <c r="Y1" s="60" t="s">
        <v>10</v>
      </c>
      <c r="AD1" s="8" t="s">
        <v>133</v>
      </c>
      <c r="AE1" s="60" t="s">
        <v>14</v>
      </c>
      <c r="AJ1" s="59"/>
      <c r="AK1" s="58" t="s">
        <v>134</v>
      </c>
      <c r="AS1" s="58"/>
      <c r="AT1" s="60" t="s">
        <v>8</v>
      </c>
      <c r="AU1" s="60" t="s">
        <v>8</v>
      </c>
      <c r="AZ1" s="60" t="s">
        <v>10</v>
      </c>
      <c r="BA1" s="60" t="s">
        <v>10</v>
      </c>
      <c r="BF1" s="8" t="s">
        <v>135</v>
      </c>
      <c r="BG1" s="58" t="s">
        <v>14</v>
      </c>
      <c r="BL1" s="59"/>
      <c r="BM1" s="58" t="s">
        <v>136</v>
      </c>
      <c r="BU1" s="8" t="s">
        <v>8</v>
      </c>
      <c r="BV1" s="8" t="s">
        <v>8</v>
      </c>
      <c r="BW1" s="61" t="s">
        <v>38</v>
      </c>
      <c r="BX1" s="61" t="s">
        <v>39</v>
      </c>
      <c r="BY1" s="61" t="s">
        <v>40</v>
      </c>
      <c r="BZ1" s="61" t="s">
        <v>47</v>
      </c>
      <c r="CA1" s="8" t="s">
        <v>10</v>
      </c>
      <c r="CB1" s="8" t="s">
        <v>10</v>
      </c>
      <c r="CC1" s="61" t="s">
        <v>38</v>
      </c>
      <c r="CD1" s="61" t="s">
        <v>39</v>
      </c>
      <c r="CE1" s="61" t="s">
        <v>40</v>
      </c>
      <c r="CF1" s="61" t="s">
        <v>47</v>
      </c>
      <c r="CG1" s="8" t="s">
        <v>138</v>
      </c>
      <c r="CH1" s="58" t="s">
        <v>139</v>
      </c>
      <c r="CM1" s="59"/>
      <c r="CN1" s="59"/>
      <c r="CO1" s="59"/>
    </row>
    <row r="2">
      <c r="A2" s="60" t="s">
        <v>24</v>
      </c>
      <c r="B2" s="8" t="s">
        <v>140</v>
      </c>
      <c r="C2" s="8" t="s">
        <v>141</v>
      </c>
      <c r="D2" s="8" t="s">
        <v>65</v>
      </c>
      <c r="E2" s="8" t="s">
        <v>142</v>
      </c>
      <c r="F2" s="8" t="s">
        <v>143</v>
      </c>
      <c r="G2" s="8" t="s">
        <v>144</v>
      </c>
      <c r="H2" s="3" t="s">
        <v>31</v>
      </c>
      <c r="J2" s="60" t="s">
        <v>35</v>
      </c>
      <c r="K2" s="60" t="s">
        <v>36</v>
      </c>
      <c r="L2" s="3" t="s">
        <v>38</v>
      </c>
      <c r="M2" s="3" t="s">
        <v>39</v>
      </c>
      <c r="N2" s="3" t="s">
        <v>40</v>
      </c>
      <c r="O2" s="3" t="s">
        <v>42</v>
      </c>
      <c r="P2" s="3" t="s">
        <v>44</v>
      </c>
      <c r="Q2" s="3" t="s">
        <v>45</v>
      </c>
      <c r="S2" s="60" t="s">
        <v>46</v>
      </c>
      <c r="T2" s="60" t="s">
        <v>38</v>
      </c>
      <c r="U2" s="60" t="s">
        <v>39</v>
      </c>
      <c r="V2" s="60" t="s">
        <v>40</v>
      </c>
      <c r="W2" s="3" t="s">
        <v>47</v>
      </c>
      <c r="Y2" s="60" t="s">
        <v>48</v>
      </c>
      <c r="Z2" s="60" t="s">
        <v>38</v>
      </c>
      <c r="AA2" s="60" t="s">
        <v>39</v>
      </c>
      <c r="AB2" s="60" t="s">
        <v>40</v>
      </c>
      <c r="AC2" s="3" t="s">
        <v>47</v>
      </c>
      <c r="AE2" s="60" t="s">
        <v>49</v>
      </c>
      <c r="AF2" s="60" t="s">
        <v>38</v>
      </c>
      <c r="AG2" s="60" t="s">
        <v>39</v>
      </c>
      <c r="AH2" s="60" t="s">
        <v>40</v>
      </c>
      <c r="AI2" s="58" t="s">
        <v>51</v>
      </c>
      <c r="AK2" s="60" t="s">
        <v>35</v>
      </c>
      <c r="AL2" s="58" t="s">
        <v>65</v>
      </c>
      <c r="AM2" s="60" t="s">
        <v>36</v>
      </c>
      <c r="AN2" s="3" t="s">
        <v>38</v>
      </c>
      <c r="AO2" s="3" t="s">
        <v>39</v>
      </c>
      <c r="AP2" s="3" t="s">
        <v>40</v>
      </c>
      <c r="AQ2" s="3" t="s">
        <v>42</v>
      </c>
      <c r="AR2" s="3" t="s">
        <v>44</v>
      </c>
      <c r="AS2" s="3" t="s">
        <v>45</v>
      </c>
      <c r="AU2" s="60" t="s">
        <v>46</v>
      </c>
      <c r="AV2" s="60" t="s">
        <v>38</v>
      </c>
      <c r="AW2" s="60" t="s">
        <v>39</v>
      </c>
      <c r="AX2" s="60" t="s">
        <v>40</v>
      </c>
      <c r="AY2" s="3" t="s">
        <v>47</v>
      </c>
      <c r="BA2" s="60" t="s">
        <v>48</v>
      </c>
      <c r="BB2" s="60" t="s">
        <v>38</v>
      </c>
      <c r="BC2" s="60" t="s">
        <v>39</v>
      </c>
      <c r="BD2" s="60" t="s">
        <v>40</v>
      </c>
      <c r="BE2" s="3" t="s">
        <v>47</v>
      </c>
      <c r="BG2" s="60" t="s">
        <v>49</v>
      </c>
      <c r="BH2" s="60" t="s">
        <v>38</v>
      </c>
      <c r="BI2" s="60" t="s">
        <v>39</v>
      </c>
      <c r="BJ2" s="60" t="s">
        <v>40</v>
      </c>
      <c r="BK2" s="58" t="s">
        <v>51</v>
      </c>
      <c r="BL2" s="59"/>
      <c r="BM2" s="60" t="s">
        <v>35</v>
      </c>
      <c r="BN2" s="60" t="s">
        <v>36</v>
      </c>
      <c r="BO2" s="3" t="s">
        <v>38</v>
      </c>
      <c r="BP2" s="3" t="s">
        <v>39</v>
      </c>
      <c r="BQ2" s="3" t="s">
        <v>40</v>
      </c>
      <c r="BR2" s="3" t="s">
        <v>42</v>
      </c>
      <c r="BS2" s="3" t="s">
        <v>44</v>
      </c>
      <c r="BT2" s="3" t="s">
        <v>45</v>
      </c>
      <c r="CH2" s="60" t="s">
        <v>49</v>
      </c>
      <c r="CI2" s="60" t="s">
        <v>38</v>
      </c>
      <c r="CJ2" s="60" t="s">
        <v>39</v>
      </c>
      <c r="CK2" s="60" t="s">
        <v>40</v>
      </c>
      <c r="CL2" s="58" t="s">
        <v>51</v>
      </c>
      <c r="CM2" s="59"/>
      <c r="CN2" s="59"/>
      <c r="CO2" s="59"/>
    </row>
    <row r="3">
      <c r="A3" s="20">
        <f t="shared" ref="A3:A12" si="1">IF(B3="","",COUNTA(#REF!))</f>
        <v>1</v>
      </c>
      <c r="B3" s="21" t="s">
        <v>145</v>
      </c>
      <c r="C3" s="22" t="str">
        <f>IFERROR(__xludf.DUMMYFUNCTION("IFERROR(
IF(A3&lt;&gt;"""",
""EVJEN00""&amp;A3,
IF(B3&lt;&gt;"""",
INDEX(FILTER($F3:F$4,$A3:A$4&lt;&gt;""""),COUNTA(FILTER($F3:F$4,$A3:A$4&lt;&gt;"""")))&amp;B3,
IF(C3&lt;&gt;"""",
INDEX(FILTER($F3:F$4,$B3:B$4&lt;&gt;""""),COUNTA(FILTER($F3:F$4,$B3:B$4&lt;&gt;"""")))&amp;C3,
""""))),
"""")"),"EVJEN001")</f>
        <v>EVJEN001</v>
      </c>
      <c r="D3" s="20" t="s">
        <v>146</v>
      </c>
      <c r="E3" s="20">
        <v>2.0</v>
      </c>
      <c r="F3" s="20">
        <v>2.0</v>
      </c>
      <c r="G3" s="20">
        <v>1.0</v>
      </c>
      <c r="H3" s="23" t="s">
        <v>72</v>
      </c>
      <c r="I3" s="5"/>
      <c r="J3" s="22">
        <f t="shared" ref="J3:J13" si="2">E3</f>
        <v>2</v>
      </c>
      <c r="K3" s="23"/>
      <c r="L3" s="44" t="str">
        <f>if(K3&lt;&gt;"", if(L3="",NOW(),L3),"")</f>
        <v/>
      </c>
      <c r="M3" s="25"/>
      <c r="N3" s="44" t="str">
        <f>if(M3="Done", if(N3="",NOW(),N3),"")</f>
        <v/>
      </c>
      <c r="O3" s="29" t="str">
        <f t="shared" ref="O3:O13" si="3">IF(AND(L3&lt;&gt;"",N3&lt;&gt;""),(N3-L3)*1440,"")</f>
        <v/>
      </c>
      <c r="P3" s="29">
        <f t="shared" ref="P3:P13" si="4">IF(
  INT(L3)=INT(N3),
  IF(
    AND(MOD(L3,1)&lt;TIME(12,0,0), MOD(N3,1)&gt;TIME(12,0,0)),
    60,
    0
  ),
  IF(
    MOD(N3,1)&lt;=TIME(12,0,0),
    (INT(N3)-INT(L3))*960,
    (INT(N3)-INT(L3))*1020
  )
)</f>
        <v>0</v>
      </c>
      <c r="Q3" s="29">
        <f t="shared" ref="Q3:Q13" si="5">(O3-P3)/60</f>
        <v>0</v>
      </c>
      <c r="R3" s="22" t="str">
        <f t="shared" ref="R3:R13" si="6">U3</f>
        <v/>
      </c>
      <c r="S3" s="23"/>
      <c r="T3" s="44" t="str">
        <f t="shared" ref="T3:T13" si="7">if(S3&lt;&gt;"", if(T3="",NOW(),T3),"")</f>
        <v/>
      </c>
      <c r="U3" s="25"/>
      <c r="V3" s="44" t="str">
        <f t="shared" ref="V3:V13" si="8">if(U3="Done", if(V3="",NOW(),V3),"")</f>
        <v/>
      </c>
      <c r="W3" s="47"/>
      <c r="X3" s="22" t="str">
        <f t="shared" ref="X3:X13" si="9">AA3</f>
        <v/>
      </c>
      <c r="Y3" s="23"/>
      <c r="Z3" s="44" t="str">
        <f t="shared" ref="Z3:Z13" si="10">if(Y3&lt;&gt;"", if(Z3="",NOW(),Z3),"")</f>
        <v/>
      </c>
      <c r="AA3" s="25"/>
      <c r="AB3" s="44" t="str">
        <f t="shared" ref="AB3:AB13" si="11">if(AA3="Done", if(AB3="",NOW(),AB3),"")</f>
        <v/>
      </c>
      <c r="AC3" s="47"/>
      <c r="AD3" s="22" t="str">
        <f t="shared" ref="AD3:AD13" si="12">AG3</f>
        <v/>
      </c>
      <c r="AE3" s="23"/>
      <c r="AF3" s="44" t="str">
        <f t="shared" ref="AF3:AF13" si="13">if(AE3&lt;&gt;"", if(AF3="",NOW(),AF3),"")</f>
        <v/>
      </c>
      <c r="AG3" s="25"/>
      <c r="AH3" s="44" t="str">
        <f t="shared" ref="AH3:AH13" si="14">if(AG3="Done", if(AH3="",NOW(),AH3),"")</f>
        <v/>
      </c>
      <c r="AI3" s="20">
        <v>0.0</v>
      </c>
      <c r="AJ3" s="5"/>
      <c r="AK3" s="22">
        <f t="shared" ref="AK3:AK13" si="15">F3</f>
        <v>2</v>
      </c>
      <c r="AL3" s="20" t="s">
        <v>146</v>
      </c>
      <c r="AM3" s="23"/>
      <c r="AN3" s="44" t="str">
        <f>if(AM3&lt;&gt;"", if(AN3="",NOW(),AN3),"")</f>
        <v/>
      </c>
      <c r="AO3" s="25"/>
      <c r="AP3" s="44" t="str">
        <f t="shared" ref="AP3:AP4" si="16">if(AO3="Done", if(AP3="",NOW(),AP3),"")</f>
        <v/>
      </c>
      <c r="AQ3" s="29" t="str">
        <f t="shared" ref="AQ3:AQ13" si="17">IF(AND(AN3&lt;&gt;"",AP3&lt;&gt;""),(AP3-AN3)*1440,"")</f>
        <v/>
      </c>
      <c r="AR3" s="29">
        <f t="shared" ref="AR3:AR13" si="18">IF(
  INT(AN3)=INT(AP3),
  IF(
    AND(MOD(AN3,1)&lt;TIME(12,0,0), MOD(AP3,1)&gt;TIME(12,0,0)),
    60,
    0
  ),
  IF(
    MOD(AP3,1)&lt;=TIME(12,0,0),
    (INT(AP3)-INT(AN3))*960,
    (INT(AP3)-INT(AN3))*1020
  )
)</f>
        <v>0</v>
      </c>
      <c r="AS3" s="29">
        <f t="shared" ref="AS3:AS13" si="19">(AQ3-AR3)/60</f>
        <v>0</v>
      </c>
      <c r="AT3" s="22" t="str">
        <f t="shared" ref="AT3:AT13" si="20">AW3</f>
        <v/>
      </c>
      <c r="AU3" s="23"/>
      <c r="AV3" s="44" t="str">
        <f t="shared" ref="AV3:AV13" si="21">if(AU3&lt;&gt;"", if(AV3="",NOW(),AV3),"")</f>
        <v/>
      </c>
      <c r="AW3" s="25"/>
      <c r="AX3" s="44" t="str">
        <f t="shared" ref="AX3:AX13" si="22">if(AW3="Done", if(AX3="",NOW(),AX3),"")</f>
        <v/>
      </c>
      <c r="AY3" s="47"/>
      <c r="AZ3" s="22" t="str">
        <f t="shared" ref="AZ3:AZ13" si="23">BC3</f>
        <v/>
      </c>
      <c r="BA3" s="23"/>
      <c r="BB3" s="44" t="str">
        <f t="shared" ref="BB3:BB13" si="24">if(BA3&lt;&gt;"", if(BB3="",NOW(),BB3),"")</f>
        <v/>
      </c>
      <c r="BC3" s="25"/>
      <c r="BD3" s="44" t="str">
        <f t="shared" ref="BD3:BD13" si="25">if(BC3="Done", if(BD3="",NOW(),BD3),"")</f>
        <v/>
      </c>
      <c r="BE3" s="47"/>
      <c r="BF3" s="22" t="str">
        <f t="shared" ref="BF3:BF13" si="26">BI3</f>
        <v/>
      </c>
      <c r="BG3" s="23"/>
      <c r="BH3" s="44" t="str">
        <f t="shared" ref="BH3:BH13" si="27">if(BG3&lt;&gt;"", if(BH3="",NOW(),BH3),"")</f>
        <v/>
      </c>
      <c r="BI3" s="25"/>
      <c r="BJ3" s="44" t="str">
        <f t="shared" ref="BJ3:BJ13" si="28">if(BI3="Done", if(BJ3="",NOW(),BJ3),"")</f>
        <v/>
      </c>
      <c r="BK3" s="20">
        <v>0.0</v>
      </c>
      <c r="BL3" s="5"/>
      <c r="BM3" s="22">
        <f t="shared" ref="BM3:BM13" si="29">G3</f>
        <v>1</v>
      </c>
      <c r="BN3" s="23"/>
      <c r="BO3" s="44" t="str">
        <f t="shared" ref="BO3:BO13" si="30">if(BN3&lt;&gt;"", if(BO3="",NOW(),BO3),"")</f>
        <v/>
      </c>
      <c r="BP3" s="25"/>
      <c r="BQ3" s="44" t="str">
        <f t="shared" ref="BQ3:BQ13" si="31">if(BP3="Done", if(BQ3="",NOW(),BQ3),"")</f>
        <v/>
      </c>
      <c r="BR3" s="29" t="str">
        <f>IF(AND(BO3&lt;&gt;"",BQ3&lt;&gt;""),(BQ3-BO3)*1440,"")</f>
        <v/>
      </c>
      <c r="BS3" s="29">
        <f>IF(
  INT(BO3)=INT(BQ3),
  IF(
    AND(MOD(BO3,1)&lt;TIME(12,0,0), MOD(BQ3,1)&gt;TIME(12,0,0)),
    60,
    0
  ),
  IF(
    MOD(BQ3,1)&lt;=TIME(12,0,0),
    (INT(BQ3)-INT(BO3))*960,
    (INT(BQ3)-INT(BO3))*1020
  )
)</f>
        <v>0</v>
      </c>
      <c r="BT3" s="29">
        <f>(BR3-BS3)/60</f>
        <v>0</v>
      </c>
      <c r="BU3" s="22" t="str">
        <f>BX3</f>
        <v/>
      </c>
      <c r="BV3" s="23"/>
      <c r="BW3" s="44" t="str">
        <f t="shared" ref="BW3:BW13" si="33">if(BV3&lt;&gt;"", if(BW3="",NOW(),BW3),"")</f>
        <v/>
      </c>
      <c r="BX3" s="25"/>
      <c r="BY3" s="44" t="str">
        <f t="shared" ref="BY3:BY13" si="34">if(BX3="Done", if(BY3="",NOW(),BY3),"")</f>
        <v/>
      </c>
      <c r="BZ3" s="47"/>
      <c r="CA3" s="22" t="str">
        <f t="shared" ref="CA3:CA13" si="35">CD3</f>
        <v/>
      </c>
      <c r="CB3" s="23"/>
      <c r="CC3" s="44" t="str">
        <f t="shared" ref="CC3:CC13" si="36">if(CB3&lt;&gt;"", if(CC3="",NOW(),CC3),"")</f>
        <v/>
      </c>
      <c r="CD3" s="25"/>
      <c r="CE3" s="44" t="str">
        <f t="shared" ref="CE3:CE13" si="37">if(CD3="Done", if(CE3="",NOW(),CE3),"")</f>
        <v/>
      </c>
      <c r="CF3" s="47"/>
      <c r="CG3" s="22" t="str">
        <f t="shared" ref="CG3:CG13" si="38">CJ3</f>
        <v/>
      </c>
      <c r="CH3" s="23"/>
      <c r="CI3" s="44" t="str">
        <f t="shared" ref="CI3:CI13" si="39">if(CH3&lt;&gt;"", if(CI3="",NOW(),CI3),"")</f>
        <v/>
      </c>
      <c r="CJ3" s="25"/>
      <c r="CK3" s="44" t="str">
        <f t="shared" ref="CK3:CK13" si="40">if(CJ3="Done", if(CK3="",NOW(),CK3),"")</f>
        <v/>
      </c>
      <c r="CL3" s="20">
        <v>0.0</v>
      </c>
      <c r="CM3" s="5"/>
      <c r="CN3" s="5"/>
      <c r="CO3" s="5"/>
    </row>
    <row r="4">
      <c r="A4" s="20">
        <f t="shared" si="1"/>
        <v>2</v>
      </c>
      <c r="B4" s="21" t="s">
        <v>169</v>
      </c>
      <c r="C4" s="22" t="str">
        <f>IFERROR(__xludf.DUMMYFUNCTION("IFERROR(
IF(A4&lt;&gt;"""",
""EVJEN00""&amp;A4,
IF(B4&lt;&gt;"""",
INDEX(FILTER($F4:F$4,#REF!&lt;&gt;""""),COUNTA(FILTER($F4:F$4,#REF!&lt;&gt;"""")))&amp;B4,
IF(C4&lt;&gt;"""",
INDEX(FILTER($F4:F$4,#REF!&lt;&gt;""""),COUNTA(FILTER($F4:F$4,#REF!&lt;&gt;"""")))&amp;C4,
""""))),
"""")"),"EVJEN002")</f>
        <v>EVJEN002</v>
      </c>
      <c r="D4" s="20" t="s">
        <v>170</v>
      </c>
      <c r="E4" s="20">
        <v>2.0</v>
      </c>
      <c r="F4" s="20">
        <v>2.0</v>
      </c>
      <c r="G4" s="20">
        <v>1.0</v>
      </c>
      <c r="H4" s="23" t="s">
        <v>72</v>
      </c>
      <c r="I4" s="5"/>
      <c r="J4" s="22">
        <f t="shared" si="2"/>
        <v>2</v>
      </c>
      <c r="K4" s="23" t="s">
        <v>172</v>
      </c>
      <c r="L4" s="34">
        <v>46311.44338510417</v>
      </c>
      <c r="M4" s="25" t="s">
        <v>69</v>
      </c>
      <c r="N4" s="34">
        <v>46311.70648736111</v>
      </c>
      <c r="O4" s="29">
        <f t="shared" si="3"/>
        <v>378.86725</v>
      </c>
      <c r="P4" s="29">
        <f t="shared" si="4"/>
        <v>60</v>
      </c>
      <c r="Q4" s="29">
        <f t="shared" si="5"/>
        <v>5.314454167</v>
      </c>
      <c r="R4" s="22" t="str">
        <f t="shared" si="6"/>
        <v/>
      </c>
      <c r="S4" s="23"/>
      <c r="T4" s="44" t="str">
        <f t="shared" si="7"/>
        <v/>
      </c>
      <c r="U4" s="25"/>
      <c r="V4" s="44" t="str">
        <f t="shared" si="8"/>
        <v/>
      </c>
      <c r="W4" s="47"/>
      <c r="X4" s="22" t="str">
        <f t="shared" si="9"/>
        <v/>
      </c>
      <c r="Y4" s="23"/>
      <c r="Z4" s="44" t="str">
        <f t="shared" si="10"/>
        <v/>
      </c>
      <c r="AA4" s="25"/>
      <c r="AB4" s="44" t="str">
        <f t="shared" si="11"/>
        <v/>
      </c>
      <c r="AC4" s="47"/>
      <c r="AD4" s="22" t="str">
        <f t="shared" si="12"/>
        <v/>
      </c>
      <c r="AE4" s="23"/>
      <c r="AF4" s="44" t="str">
        <f t="shared" si="13"/>
        <v/>
      </c>
      <c r="AG4" s="25"/>
      <c r="AH4" s="44" t="str">
        <f t="shared" si="14"/>
        <v/>
      </c>
      <c r="AI4" s="20">
        <v>0.0</v>
      </c>
      <c r="AJ4" s="5"/>
      <c r="AK4" s="22">
        <f t="shared" si="15"/>
        <v>2</v>
      </c>
      <c r="AL4" s="20" t="s">
        <v>170</v>
      </c>
      <c r="AM4" s="23" t="s">
        <v>172</v>
      </c>
      <c r="AN4" s="34">
        <v>46314.39659724537</v>
      </c>
      <c r="AO4" s="25" t="s">
        <v>147</v>
      </c>
      <c r="AP4" s="44" t="str">
        <f t="shared" si="16"/>
        <v/>
      </c>
      <c r="AQ4" s="29" t="str">
        <f t="shared" si="17"/>
        <v/>
      </c>
      <c r="AR4" s="29">
        <f t="shared" si="18"/>
        <v>-44461440</v>
      </c>
      <c r="AS4" s="29">
        <f t="shared" si="19"/>
        <v>741024</v>
      </c>
      <c r="AT4" s="22" t="str">
        <f t="shared" si="20"/>
        <v/>
      </c>
      <c r="AU4" s="23"/>
      <c r="AV4" s="44" t="str">
        <f t="shared" si="21"/>
        <v/>
      </c>
      <c r="AW4" s="25"/>
      <c r="AX4" s="44" t="str">
        <f t="shared" si="22"/>
        <v/>
      </c>
      <c r="AY4" s="47"/>
      <c r="AZ4" s="22" t="str">
        <f t="shared" si="23"/>
        <v/>
      </c>
      <c r="BA4" s="23"/>
      <c r="BB4" s="44" t="str">
        <f t="shared" si="24"/>
        <v/>
      </c>
      <c r="BC4" s="25"/>
      <c r="BD4" s="44" t="str">
        <f t="shared" si="25"/>
        <v/>
      </c>
      <c r="BE4" s="47"/>
      <c r="BF4" s="22" t="str">
        <f t="shared" si="26"/>
        <v/>
      </c>
      <c r="BG4" s="23"/>
      <c r="BH4" s="44" t="str">
        <f t="shared" si="27"/>
        <v/>
      </c>
      <c r="BI4" s="25"/>
      <c r="BJ4" s="44" t="str">
        <f t="shared" si="28"/>
        <v/>
      </c>
      <c r="BK4" s="20">
        <v>0.0</v>
      </c>
      <c r="BL4" s="5"/>
      <c r="BM4" s="22">
        <f t="shared" si="29"/>
        <v>1</v>
      </c>
      <c r="BN4" s="23"/>
      <c r="BO4" s="44" t="str">
        <f t="shared" si="30"/>
        <v/>
      </c>
      <c r="BP4" s="25"/>
      <c r="BQ4" s="44" t="str">
        <f t="shared" si="31"/>
        <v/>
      </c>
      <c r="BR4" s="45" t="str">
        <f t="shared" ref="BR4:BU4" si="32">if(BQ4="Done", if(BR4="",NOW(),BR4),"")</f>
        <v/>
      </c>
      <c r="BS4" s="45" t="str">
        <f t="shared" si="32"/>
        <v/>
      </c>
      <c r="BT4" s="45" t="str">
        <f t="shared" si="32"/>
        <v/>
      </c>
      <c r="BU4" s="45" t="str">
        <f t="shared" si="32"/>
        <v/>
      </c>
      <c r="BV4" s="23"/>
      <c r="BW4" s="44" t="str">
        <f t="shared" si="33"/>
        <v/>
      </c>
      <c r="BX4" s="25"/>
      <c r="BY4" s="44" t="str">
        <f t="shared" si="34"/>
        <v/>
      </c>
      <c r="BZ4" s="47"/>
      <c r="CA4" s="22" t="str">
        <f t="shared" si="35"/>
        <v/>
      </c>
      <c r="CB4" s="23"/>
      <c r="CC4" s="44" t="str">
        <f t="shared" si="36"/>
        <v/>
      </c>
      <c r="CD4" s="25"/>
      <c r="CE4" s="44" t="str">
        <f t="shared" si="37"/>
        <v/>
      </c>
      <c r="CF4" s="47"/>
      <c r="CG4" s="22" t="str">
        <f t="shared" si="38"/>
        <v/>
      </c>
      <c r="CH4" s="23"/>
      <c r="CI4" s="44" t="str">
        <f t="shared" si="39"/>
        <v/>
      </c>
      <c r="CJ4" s="25"/>
      <c r="CK4" s="44" t="str">
        <f t="shared" si="40"/>
        <v/>
      </c>
      <c r="CL4" s="20">
        <v>0.0</v>
      </c>
      <c r="CM4" s="5"/>
      <c r="CN4" s="5"/>
      <c r="CO4" s="5"/>
    </row>
    <row r="5">
      <c r="A5" s="20">
        <f t="shared" si="1"/>
        <v>3</v>
      </c>
      <c r="B5" s="21" t="s">
        <v>174</v>
      </c>
      <c r="C5" s="22" t="str">
        <f>IFERROR(__xludf.DUMMYFUNCTION("IFERROR(
IF(A5&lt;&gt;"""",
""EVJEN00""&amp;A5,
IF(B5&lt;&gt;"""",
INDEX(FILTER($F$4:F5,#REF!&lt;&gt;""""),COUNTA(FILTER($F$4:F5,#REF!&lt;&gt;"""")))&amp;B5,
IF(C5&lt;&gt;"""",
INDEX(FILTER($F$4:F5,#REF!&lt;&gt;""""),COUNTA(FILTER($F$4:F5,#REF!&lt;&gt;"""")))&amp;C5,
""""))),
"""")"),"EVJEN003")</f>
        <v>EVJEN003</v>
      </c>
      <c r="D5" s="20" t="s">
        <v>146</v>
      </c>
      <c r="E5" s="20">
        <v>1.0</v>
      </c>
      <c r="F5" s="20">
        <v>1.0</v>
      </c>
      <c r="G5" s="20">
        <v>1.0</v>
      </c>
      <c r="H5" s="23" t="s">
        <v>72</v>
      </c>
      <c r="I5" s="5"/>
      <c r="J5" s="22">
        <f t="shared" si="2"/>
        <v>1</v>
      </c>
      <c r="K5" s="23" t="s">
        <v>176</v>
      </c>
      <c r="L5" s="34">
        <v>46310.55138575232</v>
      </c>
      <c r="M5" s="25" t="s">
        <v>69</v>
      </c>
      <c r="N5" s="34">
        <v>46310.610208240745</v>
      </c>
      <c r="O5" s="29">
        <f t="shared" si="3"/>
        <v>84.70438333</v>
      </c>
      <c r="P5" s="29">
        <f t="shared" si="4"/>
        <v>0</v>
      </c>
      <c r="Q5" s="29">
        <f t="shared" si="5"/>
        <v>1.411739722</v>
      </c>
      <c r="R5" s="22" t="str">
        <f t="shared" si="6"/>
        <v/>
      </c>
      <c r="S5" s="23"/>
      <c r="T5" s="44" t="str">
        <f t="shared" si="7"/>
        <v/>
      </c>
      <c r="U5" s="25"/>
      <c r="V5" s="44" t="str">
        <f t="shared" si="8"/>
        <v/>
      </c>
      <c r="W5" s="47"/>
      <c r="X5" s="22" t="str">
        <f t="shared" si="9"/>
        <v/>
      </c>
      <c r="Y5" s="23"/>
      <c r="Z5" s="44" t="str">
        <f t="shared" si="10"/>
        <v/>
      </c>
      <c r="AA5" s="25"/>
      <c r="AB5" s="44" t="str">
        <f t="shared" si="11"/>
        <v/>
      </c>
      <c r="AC5" s="47"/>
      <c r="AD5" s="22" t="str">
        <f t="shared" si="12"/>
        <v/>
      </c>
      <c r="AE5" s="23"/>
      <c r="AF5" s="44" t="str">
        <f t="shared" si="13"/>
        <v/>
      </c>
      <c r="AG5" s="25"/>
      <c r="AH5" s="44" t="str">
        <f t="shared" si="14"/>
        <v/>
      </c>
      <c r="AI5" s="20">
        <v>0.0</v>
      </c>
      <c r="AJ5" s="5"/>
      <c r="AK5" s="22">
        <f t="shared" si="15"/>
        <v>1</v>
      </c>
      <c r="AL5" s="20" t="s">
        <v>146</v>
      </c>
      <c r="AM5" s="23" t="s">
        <v>176</v>
      </c>
      <c r="AN5" s="34">
        <v>46311.59885504629</v>
      </c>
      <c r="AO5" s="25" t="s">
        <v>69</v>
      </c>
      <c r="AP5" s="34">
        <v>46311.62546715278</v>
      </c>
      <c r="AQ5" s="29">
        <f t="shared" si="17"/>
        <v>38.32143334</v>
      </c>
      <c r="AR5" s="29">
        <f t="shared" si="18"/>
        <v>0</v>
      </c>
      <c r="AS5" s="29">
        <f t="shared" si="19"/>
        <v>0.6386905556</v>
      </c>
      <c r="AT5" s="22" t="str">
        <f t="shared" si="20"/>
        <v/>
      </c>
      <c r="AU5" s="23"/>
      <c r="AV5" s="44" t="str">
        <f t="shared" si="21"/>
        <v/>
      </c>
      <c r="AW5" s="25"/>
      <c r="AX5" s="44" t="str">
        <f t="shared" si="22"/>
        <v/>
      </c>
      <c r="AY5" s="47"/>
      <c r="AZ5" s="22" t="str">
        <f t="shared" si="23"/>
        <v/>
      </c>
      <c r="BA5" s="23"/>
      <c r="BB5" s="44" t="str">
        <f t="shared" si="24"/>
        <v/>
      </c>
      <c r="BC5" s="25"/>
      <c r="BD5" s="44" t="str">
        <f t="shared" si="25"/>
        <v/>
      </c>
      <c r="BE5" s="47"/>
      <c r="BF5" s="22" t="str">
        <f t="shared" si="26"/>
        <v/>
      </c>
      <c r="BG5" s="23"/>
      <c r="BH5" s="44" t="str">
        <f t="shared" si="27"/>
        <v/>
      </c>
      <c r="BI5" s="25"/>
      <c r="BJ5" s="44" t="str">
        <f t="shared" si="28"/>
        <v/>
      </c>
      <c r="BK5" s="20">
        <v>0.0</v>
      </c>
      <c r="BL5" s="5"/>
      <c r="BM5" s="22">
        <f t="shared" si="29"/>
        <v>1</v>
      </c>
      <c r="BN5" s="23" t="s">
        <v>176</v>
      </c>
      <c r="BO5" s="44">
        <f t="shared" si="30"/>
        <v>46315.4307</v>
      </c>
      <c r="BP5" s="25" t="s">
        <v>69</v>
      </c>
      <c r="BQ5" s="44">
        <f t="shared" si="31"/>
        <v>46315.43071</v>
      </c>
      <c r="BR5" s="29">
        <f t="shared" ref="BR5:BR13" si="41">IF(AND(BO5&lt;&gt;"",BQ5&lt;&gt;""),(BQ5-BO5)*1440,"")</f>
        <v>0.01253333408</v>
      </c>
      <c r="BS5" s="29">
        <f t="shared" ref="BS5:BS13" si="42">IF(
  INT(BO5)=INT(BQ5),
  IF(
    AND(MOD(BO5,1)&lt;TIME(12,0,0), MOD(BQ5,1)&gt;TIME(12,0,0)),
    60,
    0
  ),
  IF(
    MOD(BQ5,1)&lt;=TIME(12,0,0),
    (INT(BQ5)-INT(BO5))*960,
    (INT(BQ5)-INT(BO5))*1020
  )
)</f>
        <v>0</v>
      </c>
      <c r="BT5" s="29">
        <f t="shared" ref="BT5:BT13" si="43">(BR5-BS5)/60</f>
        <v>0.0002088889014</v>
      </c>
      <c r="BU5" s="22" t="str">
        <f t="shared" ref="BU5:BU13" si="44">BX5</f>
        <v/>
      </c>
      <c r="BV5" s="23"/>
      <c r="BW5" s="44" t="str">
        <f t="shared" si="33"/>
        <v/>
      </c>
      <c r="BX5" s="25"/>
      <c r="BY5" s="44" t="str">
        <f t="shared" si="34"/>
        <v/>
      </c>
      <c r="BZ5" s="47"/>
      <c r="CA5" s="22" t="str">
        <f t="shared" si="35"/>
        <v/>
      </c>
      <c r="CB5" s="23"/>
      <c r="CC5" s="44" t="str">
        <f t="shared" si="36"/>
        <v/>
      </c>
      <c r="CD5" s="25"/>
      <c r="CE5" s="44" t="str">
        <f t="shared" si="37"/>
        <v/>
      </c>
      <c r="CF5" s="47"/>
      <c r="CG5" s="22" t="str">
        <f t="shared" si="38"/>
        <v/>
      </c>
      <c r="CH5" s="23"/>
      <c r="CI5" s="44" t="str">
        <f t="shared" si="39"/>
        <v/>
      </c>
      <c r="CJ5" s="25"/>
      <c r="CK5" s="44" t="str">
        <f t="shared" si="40"/>
        <v/>
      </c>
      <c r="CL5" s="20">
        <v>0.0</v>
      </c>
      <c r="CM5" s="5"/>
      <c r="CN5" s="5"/>
      <c r="CO5" s="5"/>
    </row>
    <row r="6">
      <c r="A6" s="20">
        <f t="shared" si="1"/>
        <v>4</v>
      </c>
      <c r="B6" s="21" t="s">
        <v>179</v>
      </c>
      <c r="C6" s="22" t="str">
        <f>IFERROR(__xludf.DUMMYFUNCTION("IFERROR(
IF(A6&lt;&gt;"""",
""EVJEN00""&amp;A6,
IF(B6&lt;&gt;"""",
INDEX(FILTER($F$4:F6,#REF!&lt;&gt;""""),COUNTA(FILTER($F$4:F6,#REF!&lt;&gt;"""")))&amp;B6,
IF(C6&lt;&gt;"""",
INDEX(FILTER($F$4:F6,#REF!&lt;&gt;""""),COUNTA(FILTER($F$4:F6,#REF!&lt;&gt;"""")))&amp;C6,
""""))),
"""")"),"EVJEN004")</f>
        <v>EVJEN004</v>
      </c>
      <c r="D6" s="20" t="s">
        <v>146</v>
      </c>
      <c r="E6" s="20">
        <v>1.0</v>
      </c>
      <c r="F6" s="20">
        <v>1.0</v>
      </c>
      <c r="G6" s="20">
        <v>1.0</v>
      </c>
      <c r="H6" s="23" t="s">
        <v>72</v>
      </c>
      <c r="I6" s="5"/>
      <c r="J6" s="22">
        <f t="shared" si="2"/>
        <v>1</v>
      </c>
      <c r="K6" s="23" t="s">
        <v>180</v>
      </c>
      <c r="L6" s="34">
        <v>46310.49448540509</v>
      </c>
      <c r="M6" s="25" t="s">
        <v>69</v>
      </c>
      <c r="N6" s="34">
        <v>46310.616986030094</v>
      </c>
      <c r="O6" s="29">
        <f t="shared" si="3"/>
        <v>176.4009</v>
      </c>
      <c r="P6" s="29">
        <f t="shared" si="4"/>
        <v>60</v>
      </c>
      <c r="Q6" s="29">
        <f t="shared" si="5"/>
        <v>1.940015</v>
      </c>
      <c r="R6" s="22" t="str">
        <f t="shared" si="6"/>
        <v/>
      </c>
      <c r="S6" s="23"/>
      <c r="T6" s="44" t="str">
        <f t="shared" si="7"/>
        <v/>
      </c>
      <c r="U6" s="25"/>
      <c r="V6" s="44" t="str">
        <f t="shared" si="8"/>
        <v/>
      </c>
      <c r="W6" s="47"/>
      <c r="X6" s="22" t="str">
        <f t="shared" si="9"/>
        <v/>
      </c>
      <c r="Y6" s="23"/>
      <c r="Z6" s="44" t="str">
        <f t="shared" si="10"/>
        <v/>
      </c>
      <c r="AA6" s="25"/>
      <c r="AB6" s="44" t="str">
        <f t="shared" si="11"/>
        <v/>
      </c>
      <c r="AC6" s="47"/>
      <c r="AD6" s="22" t="str">
        <f t="shared" si="12"/>
        <v/>
      </c>
      <c r="AE6" s="23"/>
      <c r="AF6" s="44" t="str">
        <f t="shared" si="13"/>
        <v/>
      </c>
      <c r="AG6" s="25"/>
      <c r="AH6" s="44" t="str">
        <f t="shared" si="14"/>
        <v/>
      </c>
      <c r="AI6" s="20">
        <v>0.0</v>
      </c>
      <c r="AJ6" s="5"/>
      <c r="AK6" s="22">
        <f t="shared" si="15"/>
        <v>1</v>
      </c>
      <c r="AL6" s="20" t="s">
        <v>146</v>
      </c>
      <c r="AM6" s="23" t="s">
        <v>180</v>
      </c>
      <c r="AN6" s="34">
        <v>46311.63641333333</v>
      </c>
      <c r="AO6" s="25" t="s">
        <v>69</v>
      </c>
      <c r="AP6" s="34">
        <v>46314.465783125</v>
      </c>
      <c r="AQ6" s="29">
        <f t="shared" si="17"/>
        <v>4074.2925</v>
      </c>
      <c r="AR6" s="29">
        <f t="shared" si="18"/>
        <v>2880</v>
      </c>
      <c r="AS6" s="29">
        <f t="shared" si="19"/>
        <v>19.904875</v>
      </c>
      <c r="AT6" s="22" t="str">
        <f t="shared" si="20"/>
        <v/>
      </c>
      <c r="AU6" s="23"/>
      <c r="AV6" s="44" t="str">
        <f t="shared" si="21"/>
        <v/>
      </c>
      <c r="AW6" s="25"/>
      <c r="AX6" s="44" t="str">
        <f t="shared" si="22"/>
        <v/>
      </c>
      <c r="AY6" s="47"/>
      <c r="AZ6" s="22" t="str">
        <f t="shared" si="23"/>
        <v/>
      </c>
      <c r="BA6" s="23"/>
      <c r="BB6" s="44" t="str">
        <f t="shared" si="24"/>
        <v/>
      </c>
      <c r="BC6" s="25"/>
      <c r="BD6" s="44" t="str">
        <f t="shared" si="25"/>
        <v/>
      </c>
      <c r="BE6" s="47"/>
      <c r="BF6" s="22" t="str">
        <f t="shared" si="26"/>
        <v/>
      </c>
      <c r="BG6" s="23"/>
      <c r="BH6" s="44" t="str">
        <f t="shared" si="27"/>
        <v/>
      </c>
      <c r="BI6" s="25"/>
      <c r="BJ6" s="44" t="str">
        <f t="shared" si="28"/>
        <v/>
      </c>
      <c r="BK6" s="20">
        <v>0.0</v>
      </c>
      <c r="BL6" s="5"/>
      <c r="BM6" s="22">
        <f t="shared" si="29"/>
        <v>1</v>
      </c>
      <c r="BN6" s="23"/>
      <c r="BO6" s="44" t="str">
        <f t="shared" si="30"/>
        <v/>
      </c>
      <c r="BP6" s="25"/>
      <c r="BQ6" s="44" t="str">
        <f t="shared" si="31"/>
        <v/>
      </c>
      <c r="BR6" s="29" t="str">
        <f t="shared" si="41"/>
        <v/>
      </c>
      <c r="BS6" s="29">
        <f t="shared" si="42"/>
        <v>0</v>
      </c>
      <c r="BT6" s="29">
        <f t="shared" si="43"/>
        <v>0</v>
      </c>
      <c r="BU6" s="22" t="str">
        <f t="shared" si="44"/>
        <v/>
      </c>
      <c r="BV6" s="23"/>
      <c r="BW6" s="44" t="str">
        <f t="shared" si="33"/>
        <v/>
      </c>
      <c r="BX6" s="25"/>
      <c r="BY6" s="44" t="str">
        <f t="shared" si="34"/>
        <v/>
      </c>
      <c r="BZ6" s="47"/>
      <c r="CA6" s="22" t="str">
        <f t="shared" si="35"/>
        <v/>
      </c>
      <c r="CB6" s="23"/>
      <c r="CC6" s="44" t="str">
        <f t="shared" si="36"/>
        <v/>
      </c>
      <c r="CD6" s="25"/>
      <c r="CE6" s="44" t="str">
        <f t="shared" si="37"/>
        <v/>
      </c>
      <c r="CF6" s="47"/>
      <c r="CG6" s="22" t="str">
        <f t="shared" si="38"/>
        <v/>
      </c>
      <c r="CH6" s="23"/>
      <c r="CI6" s="44" t="str">
        <f t="shared" si="39"/>
        <v/>
      </c>
      <c r="CJ6" s="25"/>
      <c r="CK6" s="44" t="str">
        <f t="shared" si="40"/>
        <v/>
      </c>
      <c r="CL6" s="20">
        <v>0.0</v>
      </c>
      <c r="CM6" s="5"/>
      <c r="CN6" s="5"/>
      <c r="CO6" s="5"/>
    </row>
    <row r="7">
      <c r="A7" s="20" t="str">
        <f t="shared" si="1"/>
        <v/>
      </c>
      <c r="B7" s="21"/>
      <c r="C7" s="22" t="str">
        <f>IFERROR(__xludf.DUMMYFUNCTION("IFERROR(
IF(A7&lt;&gt;"""",
""EVJEN00""&amp;A7,
IF(B7&lt;&gt;"""",
INDEX(FILTER($F$4:F7,#REF!&lt;&gt;""""),COUNTA(FILTER($F$4:F7,#REF!&lt;&gt;"""")))&amp;B7,
IF(C7&lt;&gt;"""",
INDEX(FILTER($F$4:F7,#REF!&lt;&gt;""""),COUNTA(FILTER($F$4:F7,#REF!&lt;&gt;"""")))&amp;C7,
""""))),
"""")"),"")</f>
        <v/>
      </c>
      <c r="D7" s="22"/>
      <c r="E7" s="20"/>
      <c r="F7" s="20"/>
      <c r="G7" s="20"/>
      <c r="H7" s="23"/>
      <c r="I7" s="5"/>
      <c r="J7" s="22" t="str">
        <f t="shared" si="2"/>
        <v/>
      </c>
      <c r="K7" s="23"/>
      <c r="L7" s="44" t="str">
        <f t="shared" ref="L7:L13" si="45">if(K7&lt;&gt;"", if(L7="",NOW(),L7),"")</f>
        <v/>
      </c>
      <c r="M7" s="25"/>
      <c r="N7" s="44" t="str">
        <f t="shared" ref="N7:N13" si="46">if(M7="Done", if(N7="",NOW(),N7),"")</f>
        <v/>
      </c>
      <c r="O7" s="29" t="str">
        <f t="shared" si="3"/>
        <v/>
      </c>
      <c r="P7" s="29">
        <f t="shared" si="4"/>
        <v>0</v>
      </c>
      <c r="Q7" s="29">
        <f t="shared" si="5"/>
        <v>0</v>
      </c>
      <c r="R7" s="22" t="str">
        <f t="shared" si="6"/>
        <v/>
      </c>
      <c r="S7" s="23"/>
      <c r="T7" s="44" t="str">
        <f t="shared" si="7"/>
        <v/>
      </c>
      <c r="U7" s="25"/>
      <c r="V7" s="44" t="str">
        <f t="shared" si="8"/>
        <v/>
      </c>
      <c r="W7" s="47"/>
      <c r="X7" s="22" t="str">
        <f t="shared" si="9"/>
        <v/>
      </c>
      <c r="Y7" s="23"/>
      <c r="Z7" s="44" t="str">
        <f t="shared" si="10"/>
        <v/>
      </c>
      <c r="AA7" s="25"/>
      <c r="AB7" s="44" t="str">
        <f t="shared" si="11"/>
        <v/>
      </c>
      <c r="AC7" s="47"/>
      <c r="AD7" s="22" t="str">
        <f t="shared" si="12"/>
        <v/>
      </c>
      <c r="AE7" s="23"/>
      <c r="AF7" s="44" t="str">
        <f t="shared" si="13"/>
        <v/>
      </c>
      <c r="AG7" s="25"/>
      <c r="AH7" s="44" t="str">
        <f t="shared" si="14"/>
        <v/>
      </c>
      <c r="AI7" s="20">
        <v>0.0</v>
      </c>
      <c r="AJ7" s="5"/>
      <c r="AK7" s="22" t="str">
        <f t="shared" si="15"/>
        <v/>
      </c>
      <c r="AL7" s="20"/>
      <c r="AM7" s="23"/>
      <c r="AN7" s="44" t="str">
        <f t="shared" ref="AN7:AN13" si="47">if(AM7&lt;&gt;"", if(AN7="",NOW(),AN7),"")</f>
        <v/>
      </c>
      <c r="AO7" s="25"/>
      <c r="AP7" s="44" t="str">
        <f t="shared" ref="AP7:AP13" si="48">if(AO7="Done", if(AP7="",NOW(),AP7),"")</f>
        <v/>
      </c>
      <c r="AQ7" s="29" t="str">
        <f t="shared" si="17"/>
        <v/>
      </c>
      <c r="AR7" s="29">
        <f t="shared" si="18"/>
        <v>0</v>
      </c>
      <c r="AS7" s="29">
        <f t="shared" si="19"/>
        <v>0</v>
      </c>
      <c r="AT7" s="22" t="str">
        <f t="shared" si="20"/>
        <v/>
      </c>
      <c r="AU7" s="23"/>
      <c r="AV7" s="44" t="str">
        <f t="shared" si="21"/>
        <v/>
      </c>
      <c r="AW7" s="25"/>
      <c r="AX7" s="44" t="str">
        <f t="shared" si="22"/>
        <v/>
      </c>
      <c r="AY7" s="47"/>
      <c r="AZ7" s="22" t="str">
        <f t="shared" si="23"/>
        <v/>
      </c>
      <c r="BA7" s="23"/>
      <c r="BB7" s="44" t="str">
        <f t="shared" si="24"/>
        <v/>
      </c>
      <c r="BC7" s="25"/>
      <c r="BD7" s="44" t="str">
        <f t="shared" si="25"/>
        <v/>
      </c>
      <c r="BE7" s="47"/>
      <c r="BF7" s="22" t="str">
        <f t="shared" si="26"/>
        <v/>
      </c>
      <c r="BG7" s="23"/>
      <c r="BH7" s="44" t="str">
        <f t="shared" si="27"/>
        <v/>
      </c>
      <c r="BI7" s="25"/>
      <c r="BJ7" s="44" t="str">
        <f t="shared" si="28"/>
        <v/>
      </c>
      <c r="BK7" s="20">
        <v>0.0</v>
      </c>
      <c r="BL7" s="5"/>
      <c r="BM7" s="22" t="str">
        <f t="shared" si="29"/>
        <v/>
      </c>
      <c r="BN7" s="23"/>
      <c r="BO7" s="44" t="str">
        <f t="shared" si="30"/>
        <v/>
      </c>
      <c r="BP7" s="25"/>
      <c r="BQ7" s="44" t="str">
        <f t="shared" si="31"/>
        <v/>
      </c>
      <c r="BR7" s="29" t="str">
        <f t="shared" si="41"/>
        <v/>
      </c>
      <c r="BS7" s="29">
        <f t="shared" si="42"/>
        <v>0</v>
      </c>
      <c r="BT7" s="29">
        <f t="shared" si="43"/>
        <v>0</v>
      </c>
      <c r="BU7" s="22" t="str">
        <f t="shared" si="44"/>
        <v/>
      </c>
      <c r="BV7" s="23"/>
      <c r="BW7" s="44" t="str">
        <f t="shared" si="33"/>
        <v/>
      </c>
      <c r="BX7" s="25"/>
      <c r="BY7" s="44" t="str">
        <f t="shared" si="34"/>
        <v/>
      </c>
      <c r="BZ7" s="47"/>
      <c r="CA7" s="22" t="str">
        <f t="shared" si="35"/>
        <v/>
      </c>
      <c r="CB7" s="23"/>
      <c r="CC7" s="44" t="str">
        <f t="shared" si="36"/>
        <v/>
      </c>
      <c r="CD7" s="25"/>
      <c r="CE7" s="44" t="str">
        <f t="shared" si="37"/>
        <v/>
      </c>
      <c r="CF7" s="47"/>
      <c r="CG7" s="22" t="str">
        <f t="shared" si="38"/>
        <v/>
      </c>
      <c r="CH7" s="23"/>
      <c r="CI7" s="44" t="str">
        <f t="shared" si="39"/>
        <v/>
      </c>
      <c r="CJ7" s="25"/>
      <c r="CK7" s="44" t="str">
        <f t="shared" si="40"/>
        <v/>
      </c>
      <c r="CL7" s="20">
        <v>0.0</v>
      </c>
      <c r="CM7" s="5"/>
      <c r="CN7" s="5"/>
      <c r="CO7" s="5"/>
    </row>
    <row r="8">
      <c r="A8" s="20" t="str">
        <f t="shared" si="1"/>
        <v/>
      </c>
      <c r="B8" s="21"/>
      <c r="C8" s="22" t="str">
        <f>IFERROR(__xludf.DUMMYFUNCTION("IFERROR(
IF(A8&lt;&gt;"""",
""EVJEN00""&amp;A8,
IF(B8&lt;&gt;"""",
INDEX(FILTER($F$4:F8,#REF!&lt;&gt;""""),COUNTA(FILTER($F$4:F8,#REF!&lt;&gt;"""")))&amp;B8,
IF(C8&lt;&gt;"""",
INDEX(FILTER($F$4:F8,#REF!&lt;&gt;""""),COUNTA(FILTER($F$4:F8,#REF!&lt;&gt;"""")))&amp;C8,
""""))),
"""")"),"")</f>
        <v/>
      </c>
      <c r="D8" s="22"/>
      <c r="E8" s="20"/>
      <c r="F8" s="20"/>
      <c r="G8" s="20"/>
      <c r="H8" s="23"/>
      <c r="I8" s="5"/>
      <c r="J8" s="22" t="str">
        <f t="shared" si="2"/>
        <v/>
      </c>
      <c r="K8" s="23"/>
      <c r="L8" s="44" t="str">
        <f t="shared" si="45"/>
        <v/>
      </c>
      <c r="M8" s="25"/>
      <c r="N8" s="44" t="str">
        <f t="shared" si="46"/>
        <v/>
      </c>
      <c r="O8" s="29" t="str">
        <f t="shared" si="3"/>
        <v/>
      </c>
      <c r="P8" s="29">
        <f t="shared" si="4"/>
        <v>0</v>
      </c>
      <c r="Q8" s="29">
        <f t="shared" si="5"/>
        <v>0</v>
      </c>
      <c r="R8" s="22" t="str">
        <f t="shared" si="6"/>
        <v/>
      </c>
      <c r="S8" s="23"/>
      <c r="T8" s="44" t="str">
        <f t="shared" si="7"/>
        <v/>
      </c>
      <c r="U8" s="25"/>
      <c r="V8" s="44" t="str">
        <f t="shared" si="8"/>
        <v/>
      </c>
      <c r="W8" s="47"/>
      <c r="X8" s="22" t="str">
        <f t="shared" si="9"/>
        <v/>
      </c>
      <c r="Y8" s="23"/>
      <c r="Z8" s="44" t="str">
        <f t="shared" si="10"/>
        <v/>
      </c>
      <c r="AA8" s="25"/>
      <c r="AB8" s="44" t="str">
        <f t="shared" si="11"/>
        <v/>
      </c>
      <c r="AC8" s="47"/>
      <c r="AD8" s="22" t="str">
        <f t="shared" si="12"/>
        <v/>
      </c>
      <c r="AE8" s="23"/>
      <c r="AF8" s="44" t="str">
        <f t="shared" si="13"/>
        <v/>
      </c>
      <c r="AG8" s="25"/>
      <c r="AH8" s="44" t="str">
        <f t="shared" si="14"/>
        <v/>
      </c>
      <c r="AI8" s="20">
        <v>0.0</v>
      </c>
      <c r="AJ8" s="5"/>
      <c r="AK8" s="22" t="str">
        <f t="shared" si="15"/>
        <v/>
      </c>
      <c r="AL8" s="20"/>
      <c r="AM8" s="23"/>
      <c r="AN8" s="44" t="str">
        <f t="shared" si="47"/>
        <v/>
      </c>
      <c r="AO8" s="25"/>
      <c r="AP8" s="44" t="str">
        <f t="shared" si="48"/>
        <v/>
      </c>
      <c r="AQ8" s="29" t="str">
        <f t="shared" si="17"/>
        <v/>
      </c>
      <c r="AR8" s="29">
        <f t="shared" si="18"/>
        <v>0</v>
      </c>
      <c r="AS8" s="29">
        <f t="shared" si="19"/>
        <v>0</v>
      </c>
      <c r="AT8" s="22" t="str">
        <f t="shared" si="20"/>
        <v/>
      </c>
      <c r="AU8" s="23"/>
      <c r="AV8" s="44" t="str">
        <f t="shared" si="21"/>
        <v/>
      </c>
      <c r="AW8" s="25"/>
      <c r="AX8" s="44" t="str">
        <f t="shared" si="22"/>
        <v/>
      </c>
      <c r="AY8" s="47"/>
      <c r="AZ8" s="22" t="str">
        <f t="shared" si="23"/>
        <v/>
      </c>
      <c r="BA8" s="23"/>
      <c r="BB8" s="44" t="str">
        <f t="shared" si="24"/>
        <v/>
      </c>
      <c r="BC8" s="25"/>
      <c r="BD8" s="44" t="str">
        <f t="shared" si="25"/>
        <v/>
      </c>
      <c r="BE8" s="47"/>
      <c r="BF8" s="22" t="str">
        <f t="shared" si="26"/>
        <v/>
      </c>
      <c r="BG8" s="23"/>
      <c r="BH8" s="44" t="str">
        <f t="shared" si="27"/>
        <v/>
      </c>
      <c r="BI8" s="25"/>
      <c r="BJ8" s="44" t="str">
        <f t="shared" si="28"/>
        <v/>
      </c>
      <c r="BK8" s="20">
        <v>0.0</v>
      </c>
      <c r="BL8" s="5"/>
      <c r="BM8" s="22" t="str">
        <f t="shared" si="29"/>
        <v/>
      </c>
      <c r="BN8" s="23"/>
      <c r="BO8" s="44" t="str">
        <f t="shared" si="30"/>
        <v/>
      </c>
      <c r="BP8" s="25"/>
      <c r="BQ8" s="44" t="str">
        <f t="shared" si="31"/>
        <v/>
      </c>
      <c r="BR8" s="29" t="str">
        <f t="shared" si="41"/>
        <v/>
      </c>
      <c r="BS8" s="29">
        <f t="shared" si="42"/>
        <v>0</v>
      </c>
      <c r="BT8" s="29">
        <f t="shared" si="43"/>
        <v>0</v>
      </c>
      <c r="BU8" s="22" t="str">
        <f t="shared" si="44"/>
        <v/>
      </c>
      <c r="BV8" s="23"/>
      <c r="BW8" s="44" t="str">
        <f t="shared" si="33"/>
        <v/>
      </c>
      <c r="BX8" s="25"/>
      <c r="BY8" s="44" t="str">
        <f t="shared" si="34"/>
        <v/>
      </c>
      <c r="BZ8" s="47"/>
      <c r="CA8" s="22" t="str">
        <f t="shared" si="35"/>
        <v/>
      </c>
      <c r="CB8" s="23"/>
      <c r="CC8" s="44" t="str">
        <f t="shared" si="36"/>
        <v/>
      </c>
      <c r="CD8" s="25"/>
      <c r="CE8" s="44" t="str">
        <f t="shared" si="37"/>
        <v/>
      </c>
      <c r="CF8" s="47"/>
      <c r="CG8" s="22" t="str">
        <f t="shared" si="38"/>
        <v/>
      </c>
      <c r="CH8" s="23"/>
      <c r="CI8" s="44" t="str">
        <f t="shared" si="39"/>
        <v/>
      </c>
      <c r="CJ8" s="25"/>
      <c r="CK8" s="44" t="str">
        <f t="shared" si="40"/>
        <v/>
      </c>
      <c r="CL8" s="20">
        <v>0.0</v>
      </c>
      <c r="CM8" s="5"/>
      <c r="CN8" s="5"/>
      <c r="CO8" s="5"/>
    </row>
    <row r="9">
      <c r="A9" s="20" t="str">
        <f t="shared" si="1"/>
        <v/>
      </c>
      <c r="B9" s="21"/>
      <c r="C9" s="22" t="str">
        <f>IFERROR(__xludf.DUMMYFUNCTION("IFERROR(
IF(A9&lt;&gt;"""",
""EVJEN00""&amp;A9,
IF(B9&lt;&gt;"""",
INDEX(FILTER($F$4:F9,#REF!&lt;&gt;""""),COUNTA(FILTER($F$4:F9,#REF!&lt;&gt;"""")))&amp;B9,
IF(C9&lt;&gt;"""",
INDEX(FILTER($F$4:F9,#REF!&lt;&gt;""""),COUNTA(FILTER($F$4:F9,#REF!&lt;&gt;"""")))&amp;C9,
""""))),
"""")"),"")</f>
        <v/>
      </c>
      <c r="D9" s="22"/>
      <c r="E9" s="20"/>
      <c r="F9" s="20"/>
      <c r="G9" s="20"/>
      <c r="H9" s="23"/>
      <c r="I9" s="5"/>
      <c r="J9" s="22" t="str">
        <f t="shared" si="2"/>
        <v/>
      </c>
      <c r="K9" s="23"/>
      <c r="L9" s="44" t="str">
        <f t="shared" si="45"/>
        <v/>
      </c>
      <c r="M9" s="25"/>
      <c r="N9" s="44" t="str">
        <f t="shared" si="46"/>
        <v/>
      </c>
      <c r="O9" s="29" t="str">
        <f t="shared" si="3"/>
        <v/>
      </c>
      <c r="P9" s="29">
        <f t="shared" si="4"/>
        <v>0</v>
      </c>
      <c r="Q9" s="29">
        <f t="shared" si="5"/>
        <v>0</v>
      </c>
      <c r="R9" s="22" t="str">
        <f t="shared" si="6"/>
        <v/>
      </c>
      <c r="S9" s="23"/>
      <c r="T9" s="44" t="str">
        <f t="shared" si="7"/>
        <v/>
      </c>
      <c r="U9" s="25"/>
      <c r="V9" s="44" t="str">
        <f t="shared" si="8"/>
        <v/>
      </c>
      <c r="W9" s="47"/>
      <c r="X9" s="22" t="str">
        <f t="shared" si="9"/>
        <v/>
      </c>
      <c r="Y9" s="23"/>
      <c r="Z9" s="44" t="str">
        <f t="shared" si="10"/>
        <v/>
      </c>
      <c r="AA9" s="25"/>
      <c r="AB9" s="44" t="str">
        <f t="shared" si="11"/>
        <v/>
      </c>
      <c r="AC9" s="47"/>
      <c r="AD9" s="22" t="str">
        <f t="shared" si="12"/>
        <v/>
      </c>
      <c r="AE9" s="23"/>
      <c r="AF9" s="44" t="str">
        <f t="shared" si="13"/>
        <v/>
      </c>
      <c r="AG9" s="25"/>
      <c r="AH9" s="44" t="str">
        <f t="shared" si="14"/>
        <v/>
      </c>
      <c r="AI9" s="20">
        <v>0.0</v>
      </c>
      <c r="AJ9" s="5"/>
      <c r="AK9" s="22" t="str">
        <f t="shared" si="15"/>
        <v/>
      </c>
      <c r="AL9" s="20"/>
      <c r="AM9" s="23"/>
      <c r="AN9" s="44" t="str">
        <f t="shared" si="47"/>
        <v/>
      </c>
      <c r="AO9" s="25"/>
      <c r="AP9" s="44" t="str">
        <f t="shared" si="48"/>
        <v/>
      </c>
      <c r="AQ9" s="29" t="str">
        <f t="shared" si="17"/>
        <v/>
      </c>
      <c r="AR9" s="29">
        <f t="shared" si="18"/>
        <v>0</v>
      </c>
      <c r="AS9" s="29">
        <f t="shared" si="19"/>
        <v>0</v>
      </c>
      <c r="AT9" s="22" t="str">
        <f t="shared" si="20"/>
        <v/>
      </c>
      <c r="AU9" s="23"/>
      <c r="AV9" s="44" t="str">
        <f t="shared" si="21"/>
        <v/>
      </c>
      <c r="AW9" s="25"/>
      <c r="AX9" s="44" t="str">
        <f t="shared" si="22"/>
        <v/>
      </c>
      <c r="AY9" s="47"/>
      <c r="AZ9" s="22" t="str">
        <f t="shared" si="23"/>
        <v/>
      </c>
      <c r="BA9" s="23"/>
      <c r="BB9" s="44" t="str">
        <f t="shared" si="24"/>
        <v/>
      </c>
      <c r="BC9" s="25"/>
      <c r="BD9" s="44" t="str">
        <f t="shared" si="25"/>
        <v/>
      </c>
      <c r="BE9" s="47"/>
      <c r="BF9" s="22" t="str">
        <f t="shared" si="26"/>
        <v/>
      </c>
      <c r="BG9" s="23"/>
      <c r="BH9" s="44" t="str">
        <f t="shared" si="27"/>
        <v/>
      </c>
      <c r="BI9" s="25"/>
      <c r="BJ9" s="44" t="str">
        <f t="shared" si="28"/>
        <v/>
      </c>
      <c r="BK9" s="20">
        <v>0.0</v>
      </c>
      <c r="BL9" s="5"/>
      <c r="BM9" s="22" t="str">
        <f t="shared" si="29"/>
        <v/>
      </c>
      <c r="BN9" s="23"/>
      <c r="BO9" s="44" t="str">
        <f t="shared" si="30"/>
        <v/>
      </c>
      <c r="BP9" s="25"/>
      <c r="BQ9" s="44" t="str">
        <f t="shared" si="31"/>
        <v/>
      </c>
      <c r="BR9" s="29" t="str">
        <f t="shared" si="41"/>
        <v/>
      </c>
      <c r="BS9" s="29">
        <f t="shared" si="42"/>
        <v>0</v>
      </c>
      <c r="BT9" s="29">
        <f t="shared" si="43"/>
        <v>0</v>
      </c>
      <c r="BU9" s="22" t="str">
        <f t="shared" si="44"/>
        <v/>
      </c>
      <c r="BV9" s="23"/>
      <c r="BW9" s="44" t="str">
        <f t="shared" si="33"/>
        <v/>
      </c>
      <c r="BX9" s="25"/>
      <c r="BY9" s="44" t="str">
        <f t="shared" si="34"/>
        <v/>
      </c>
      <c r="BZ9" s="47"/>
      <c r="CA9" s="22" t="str">
        <f t="shared" si="35"/>
        <v/>
      </c>
      <c r="CB9" s="23"/>
      <c r="CC9" s="44" t="str">
        <f t="shared" si="36"/>
        <v/>
      </c>
      <c r="CD9" s="25"/>
      <c r="CE9" s="44" t="str">
        <f t="shared" si="37"/>
        <v/>
      </c>
      <c r="CF9" s="47"/>
      <c r="CG9" s="22" t="str">
        <f t="shared" si="38"/>
        <v/>
      </c>
      <c r="CH9" s="23"/>
      <c r="CI9" s="44" t="str">
        <f t="shared" si="39"/>
        <v/>
      </c>
      <c r="CJ9" s="25"/>
      <c r="CK9" s="44" t="str">
        <f t="shared" si="40"/>
        <v/>
      </c>
      <c r="CL9" s="20">
        <v>0.0</v>
      </c>
      <c r="CM9" s="5"/>
      <c r="CN9" s="5"/>
      <c r="CO9" s="5"/>
    </row>
    <row r="10">
      <c r="A10" s="20" t="str">
        <f t="shared" si="1"/>
        <v/>
      </c>
      <c r="B10" s="21"/>
      <c r="C10" s="22" t="str">
        <f>IFERROR(__xludf.DUMMYFUNCTION("IFERROR(
IF(A10&lt;&gt;"""",
""EVJEN00""&amp;A10,
IF(B10&lt;&gt;"""",
INDEX(FILTER($F$4:F10,#REF!&lt;&gt;""""),COUNTA(FILTER($F$4:F10,#REF!&lt;&gt;"""")))&amp;B10,
IF(C10&lt;&gt;"""",
INDEX(FILTER($F$4:F10,#REF!&lt;&gt;""""),COUNTA(FILTER($F$4:F10,#REF!&lt;&gt;"""")))&amp;C10,
""""))),
"""")"),"")</f>
        <v/>
      </c>
      <c r="D10" s="22"/>
      <c r="E10" s="20"/>
      <c r="F10" s="20"/>
      <c r="G10" s="20"/>
      <c r="H10" s="23"/>
      <c r="I10" s="5"/>
      <c r="J10" s="22" t="str">
        <f t="shared" si="2"/>
        <v/>
      </c>
      <c r="K10" s="23"/>
      <c r="L10" s="44" t="str">
        <f t="shared" si="45"/>
        <v/>
      </c>
      <c r="M10" s="25"/>
      <c r="N10" s="44" t="str">
        <f t="shared" si="46"/>
        <v/>
      </c>
      <c r="O10" s="29" t="str">
        <f t="shared" si="3"/>
        <v/>
      </c>
      <c r="P10" s="29">
        <f t="shared" si="4"/>
        <v>0</v>
      </c>
      <c r="Q10" s="29">
        <f t="shared" si="5"/>
        <v>0</v>
      </c>
      <c r="R10" s="22" t="str">
        <f t="shared" si="6"/>
        <v/>
      </c>
      <c r="S10" s="23"/>
      <c r="T10" s="44" t="str">
        <f t="shared" si="7"/>
        <v/>
      </c>
      <c r="U10" s="25"/>
      <c r="V10" s="44" t="str">
        <f t="shared" si="8"/>
        <v/>
      </c>
      <c r="W10" s="47"/>
      <c r="X10" s="22" t="str">
        <f t="shared" si="9"/>
        <v/>
      </c>
      <c r="Y10" s="23"/>
      <c r="Z10" s="44" t="str">
        <f t="shared" si="10"/>
        <v/>
      </c>
      <c r="AA10" s="25"/>
      <c r="AB10" s="44" t="str">
        <f t="shared" si="11"/>
        <v/>
      </c>
      <c r="AC10" s="47"/>
      <c r="AD10" s="22" t="str">
        <f t="shared" si="12"/>
        <v/>
      </c>
      <c r="AE10" s="23"/>
      <c r="AF10" s="44" t="str">
        <f t="shared" si="13"/>
        <v/>
      </c>
      <c r="AG10" s="25"/>
      <c r="AH10" s="44" t="str">
        <f t="shared" si="14"/>
        <v/>
      </c>
      <c r="AI10" s="20">
        <v>0.0</v>
      </c>
      <c r="AJ10" s="5"/>
      <c r="AK10" s="22" t="str">
        <f t="shared" si="15"/>
        <v/>
      </c>
      <c r="AL10" s="20"/>
      <c r="AM10" s="23"/>
      <c r="AN10" s="44" t="str">
        <f t="shared" si="47"/>
        <v/>
      </c>
      <c r="AO10" s="25"/>
      <c r="AP10" s="44" t="str">
        <f t="shared" si="48"/>
        <v/>
      </c>
      <c r="AQ10" s="29" t="str">
        <f t="shared" si="17"/>
        <v/>
      </c>
      <c r="AR10" s="29">
        <f t="shared" si="18"/>
        <v>0</v>
      </c>
      <c r="AS10" s="29">
        <f t="shared" si="19"/>
        <v>0</v>
      </c>
      <c r="AT10" s="22" t="str">
        <f t="shared" si="20"/>
        <v/>
      </c>
      <c r="AU10" s="23"/>
      <c r="AV10" s="44" t="str">
        <f t="shared" si="21"/>
        <v/>
      </c>
      <c r="AW10" s="25"/>
      <c r="AX10" s="44" t="str">
        <f t="shared" si="22"/>
        <v/>
      </c>
      <c r="AY10" s="47"/>
      <c r="AZ10" s="22" t="str">
        <f t="shared" si="23"/>
        <v/>
      </c>
      <c r="BA10" s="23"/>
      <c r="BB10" s="44" t="str">
        <f t="shared" si="24"/>
        <v/>
      </c>
      <c r="BC10" s="25"/>
      <c r="BD10" s="44" t="str">
        <f t="shared" si="25"/>
        <v/>
      </c>
      <c r="BE10" s="47"/>
      <c r="BF10" s="22" t="str">
        <f t="shared" si="26"/>
        <v/>
      </c>
      <c r="BG10" s="23"/>
      <c r="BH10" s="44" t="str">
        <f t="shared" si="27"/>
        <v/>
      </c>
      <c r="BI10" s="25"/>
      <c r="BJ10" s="44" t="str">
        <f t="shared" si="28"/>
        <v/>
      </c>
      <c r="BK10" s="20">
        <v>0.0</v>
      </c>
      <c r="BL10" s="5"/>
      <c r="BM10" s="22" t="str">
        <f t="shared" si="29"/>
        <v/>
      </c>
      <c r="BN10" s="23"/>
      <c r="BO10" s="44" t="str">
        <f t="shared" si="30"/>
        <v/>
      </c>
      <c r="BP10" s="25"/>
      <c r="BQ10" s="44" t="str">
        <f t="shared" si="31"/>
        <v/>
      </c>
      <c r="BR10" s="29" t="str">
        <f t="shared" si="41"/>
        <v/>
      </c>
      <c r="BS10" s="29">
        <f t="shared" si="42"/>
        <v>0</v>
      </c>
      <c r="BT10" s="29">
        <f t="shared" si="43"/>
        <v>0</v>
      </c>
      <c r="BU10" s="22" t="str">
        <f t="shared" si="44"/>
        <v/>
      </c>
      <c r="BV10" s="23"/>
      <c r="BW10" s="44" t="str">
        <f t="shared" si="33"/>
        <v/>
      </c>
      <c r="BX10" s="25"/>
      <c r="BY10" s="44" t="str">
        <f t="shared" si="34"/>
        <v/>
      </c>
      <c r="BZ10" s="47"/>
      <c r="CA10" s="22" t="str">
        <f t="shared" si="35"/>
        <v/>
      </c>
      <c r="CB10" s="23"/>
      <c r="CC10" s="44" t="str">
        <f t="shared" si="36"/>
        <v/>
      </c>
      <c r="CD10" s="25"/>
      <c r="CE10" s="44" t="str">
        <f t="shared" si="37"/>
        <v/>
      </c>
      <c r="CF10" s="47"/>
      <c r="CG10" s="22" t="str">
        <f t="shared" si="38"/>
        <v/>
      </c>
      <c r="CH10" s="23"/>
      <c r="CI10" s="44" t="str">
        <f t="shared" si="39"/>
        <v/>
      </c>
      <c r="CJ10" s="25"/>
      <c r="CK10" s="44" t="str">
        <f t="shared" si="40"/>
        <v/>
      </c>
      <c r="CL10" s="20">
        <v>0.0</v>
      </c>
      <c r="CM10" s="5"/>
      <c r="CN10" s="5"/>
      <c r="CO10" s="5"/>
    </row>
    <row r="11">
      <c r="A11" s="20" t="str">
        <f t="shared" si="1"/>
        <v/>
      </c>
      <c r="B11" s="21"/>
      <c r="C11" s="22" t="str">
        <f>IFERROR(__xludf.DUMMYFUNCTION("IFERROR(
IF(A11&lt;&gt;"""",
""EVJEN00""&amp;A11,
IF(B11&lt;&gt;"""",
INDEX(FILTER($F$4:F11,#REF!&lt;&gt;""""),COUNTA(FILTER($F$4:F11,#REF!&lt;&gt;"""")))&amp;B11,
IF(C11&lt;&gt;"""",
INDEX(FILTER($F$4:F11,#REF!&lt;&gt;""""),COUNTA(FILTER($F$4:F11,#REF!&lt;&gt;"""")))&amp;C11,
""""))),
"""")"),"")</f>
        <v/>
      </c>
      <c r="D11" s="22"/>
      <c r="E11" s="20"/>
      <c r="F11" s="20"/>
      <c r="G11" s="20"/>
      <c r="H11" s="23"/>
      <c r="I11" s="5"/>
      <c r="J11" s="22" t="str">
        <f t="shared" si="2"/>
        <v/>
      </c>
      <c r="K11" s="23"/>
      <c r="L11" s="44" t="str">
        <f t="shared" si="45"/>
        <v/>
      </c>
      <c r="M11" s="25"/>
      <c r="N11" s="44" t="str">
        <f t="shared" si="46"/>
        <v/>
      </c>
      <c r="O11" s="29" t="str">
        <f t="shared" si="3"/>
        <v/>
      </c>
      <c r="P11" s="29">
        <f t="shared" si="4"/>
        <v>0</v>
      </c>
      <c r="Q11" s="29">
        <f t="shared" si="5"/>
        <v>0</v>
      </c>
      <c r="R11" s="22" t="str">
        <f t="shared" si="6"/>
        <v/>
      </c>
      <c r="S11" s="23"/>
      <c r="T11" s="44" t="str">
        <f t="shared" si="7"/>
        <v/>
      </c>
      <c r="U11" s="25"/>
      <c r="V11" s="44" t="str">
        <f t="shared" si="8"/>
        <v/>
      </c>
      <c r="W11" s="47"/>
      <c r="X11" s="22" t="str">
        <f t="shared" si="9"/>
        <v/>
      </c>
      <c r="Y11" s="23"/>
      <c r="Z11" s="44" t="str">
        <f t="shared" si="10"/>
        <v/>
      </c>
      <c r="AA11" s="25"/>
      <c r="AB11" s="44" t="str">
        <f t="shared" si="11"/>
        <v/>
      </c>
      <c r="AC11" s="47"/>
      <c r="AD11" s="22" t="str">
        <f t="shared" si="12"/>
        <v/>
      </c>
      <c r="AE11" s="23"/>
      <c r="AF11" s="44" t="str">
        <f t="shared" si="13"/>
        <v/>
      </c>
      <c r="AG11" s="25"/>
      <c r="AH11" s="44" t="str">
        <f t="shared" si="14"/>
        <v/>
      </c>
      <c r="AI11" s="20">
        <v>0.0</v>
      </c>
      <c r="AJ11" s="5"/>
      <c r="AK11" s="22" t="str">
        <f t="shared" si="15"/>
        <v/>
      </c>
      <c r="AL11" s="20"/>
      <c r="AM11" s="23"/>
      <c r="AN11" s="44" t="str">
        <f t="shared" si="47"/>
        <v/>
      </c>
      <c r="AO11" s="25"/>
      <c r="AP11" s="44" t="str">
        <f t="shared" si="48"/>
        <v/>
      </c>
      <c r="AQ11" s="29" t="str">
        <f t="shared" si="17"/>
        <v/>
      </c>
      <c r="AR11" s="29">
        <f t="shared" si="18"/>
        <v>0</v>
      </c>
      <c r="AS11" s="29">
        <f t="shared" si="19"/>
        <v>0</v>
      </c>
      <c r="AT11" s="22" t="str">
        <f t="shared" si="20"/>
        <v/>
      </c>
      <c r="AU11" s="23"/>
      <c r="AV11" s="44" t="str">
        <f t="shared" si="21"/>
        <v/>
      </c>
      <c r="AW11" s="25"/>
      <c r="AX11" s="44" t="str">
        <f t="shared" si="22"/>
        <v/>
      </c>
      <c r="AY11" s="47"/>
      <c r="AZ11" s="22" t="str">
        <f t="shared" si="23"/>
        <v/>
      </c>
      <c r="BA11" s="23"/>
      <c r="BB11" s="44" t="str">
        <f t="shared" si="24"/>
        <v/>
      </c>
      <c r="BC11" s="25"/>
      <c r="BD11" s="44" t="str">
        <f t="shared" si="25"/>
        <v/>
      </c>
      <c r="BE11" s="47"/>
      <c r="BF11" s="22" t="str">
        <f t="shared" si="26"/>
        <v/>
      </c>
      <c r="BG11" s="23"/>
      <c r="BH11" s="44" t="str">
        <f t="shared" si="27"/>
        <v/>
      </c>
      <c r="BI11" s="25"/>
      <c r="BJ11" s="44" t="str">
        <f t="shared" si="28"/>
        <v/>
      </c>
      <c r="BK11" s="20">
        <v>0.0</v>
      </c>
      <c r="BL11" s="5"/>
      <c r="BM11" s="22" t="str">
        <f t="shared" si="29"/>
        <v/>
      </c>
      <c r="BN11" s="23"/>
      <c r="BO11" s="44" t="str">
        <f t="shared" si="30"/>
        <v/>
      </c>
      <c r="BP11" s="25"/>
      <c r="BQ11" s="44" t="str">
        <f t="shared" si="31"/>
        <v/>
      </c>
      <c r="BR11" s="29" t="str">
        <f t="shared" si="41"/>
        <v/>
      </c>
      <c r="BS11" s="29">
        <f t="shared" si="42"/>
        <v>0</v>
      </c>
      <c r="BT11" s="29">
        <f t="shared" si="43"/>
        <v>0</v>
      </c>
      <c r="BU11" s="22" t="str">
        <f t="shared" si="44"/>
        <v/>
      </c>
      <c r="BV11" s="23"/>
      <c r="BW11" s="44" t="str">
        <f t="shared" si="33"/>
        <v/>
      </c>
      <c r="BX11" s="25"/>
      <c r="BY11" s="44" t="str">
        <f t="shared" si="34"/>
        <v/>
      </c>
      <c r="BZ11" s="47"/>
      <c r="CA11" s="22" t="str">
        <f t="shared" si="35"/>
        <v/>
      </c>
      <c r="CB11" s="23"/>
      <c r="CC11" s="44" t="str">
        <f t="shared" si="36"/>
        <v/>
      </c>
      <c r="CD11" s="25"/>
      <c r="CE11" s="44" t="str">
        <f t="shared" si="37"/>
        <v/>
      </c>
      <c r="CF11" s="47"/>
      <c r="CG11" s="22" t="str">
        <f t="shared" si="38"/>
        <v/>
      </c>
      <c r="CH11" s="23"/>
      <c r="CI11" s="44" t="str">
        <f t="shared" si="39"/>
        <v/>
      </c>
      <c r="CJ11" s="25"/>
      <c r="CK11" s="44" t="str">
        <f t="shared" si="40"/>
        <v/>
      </c>
      <c r="CL11" s="20">
        <v>0.0</v>
      </c>
      <c r="CM11" s="5"/>
      <c r="CN11" s="5"/>
      <c r="CO11" s="5"/>
    </row>
    <row r="12">
      <c r="A12" s="20" t="str">
        <f t="shared" si="1"/>
        <v/>
      </c>
      <c r="B12" s="21"/>
      <c r="C12" s="22" t="str">
        <f>IFERROR(__xludf.DUMMYFUNCTION("IFERROR(
IF(A12&lt;&gt;"""",
""EVJEN00""&amp;A12,
IF(B12&lt;&gt;"""",
INDEX(FILTER($F$4:F12,#REF!&lt;&gt;""""),COUNTA(FILTER($F$4:F12,#REF!&lt;&gt;"""")))&amp;B12,
IF(C12&lt;&gt;"""",
INDEX(FILTER($F$4:F12,#REF!&lt;&gt;""""),COUNTA(FILTER($F$4:F12,#REF!&lt;&gt;"""")))&amp;C12,
""""))),
"""")"),"")</f>
        <v/>
      </c>
      <c r="D12" s="22"/>
      <c r="E12" s="20"/>
      <c r="F12" s="20"/>
      <c r="G12" s="20"/>
      <c r="H12" s="23"/>
      <c r="I12" s="5"/>
      <c r="J12" s="22" t="str">
        <f t="shared" si="2"/>
        <v/>
      </c>
      <c r="K12" s="23"/>
      <c r="L12" s="44" t="str">
        <f t="shared" si="45"/>
        <v/>
      </c>
      <c r="M12" s="25"/>
      <c r="N12" s="44" t="str">
        <f t="shared" si="46"/>
        <v/>
      </c>
      <c r="O12" s="29" t="str">
        <f t="shared" si="3"/>
        <v/>
      </c>
      <c r="P12" s="29">
        <f t="shared" si="4"/>
        <v>0</v>
      </c>
      <c r="Q12" s="29">
        <f t="shared" si="5"/>
        <v>0</v>
      </c>
      <c r="R12" s="22" t="str">
        <f t="shared" si="6"/>
        <v/>
      </c>
      <c r="S12" s="23"/>
      <c r="T12" s="44" t="str">
        <f t="shared" si="7"/>
        <v/>
      </c>
      <c r="U12" s="25"/>
      <c r="V12" s="44" t="str">
        <f t="shared" si="8"/>
        <v/>
      </c>
      <c r="W12" s="47"/>
      <c r="X12" s="22" t="str">
        <f t="shared" si="9"/>
        <v/>
      </c>
      <c r="Y12" s="23"/>
      <c r="Z12" s="44" t="str">
        <f t="shared" si="10"/>
        <v/>
      </c>
      <c r="AA12" s="25"/>
      <c r="AB12" s="44" t="str">
        <f t="shared" si="11"/>
        <v/>
      </c>
      <c r="AC12" s="47"/>
      <c r="AD12" s="22" t="str">
        <f t="shared" si="12"/>
        <v/>
      </c>
      <c r="AE12" s="23"/>
      <c r="AF12" s="44" t="str">
        <f t="shared" si="13"/>
        <v/>
      </c>
      <c r="AG12" s="25"/>
      <c r="AH12" s="44" t="str">
        <f t="shared" si="14"/>
        <v/>
      </c>
      <c r="AI12" s="20">
        <v>0.0</v>
      </c>
      <c r="AJ12" s="5"/>
      <c r="AK12" s="22" t="str">
        <f t="shared" si="15"/>
        <v/>
      </c>
      <c r="AL12" s="20"/>
      <c r="AM12" s="23"/>
      <c r="AN12" s="44" t="str">
        <f t="shared" si="47"/>
        <v/>
      </c>
      <c r="AO12" s="25"/>
      <c r="AP12" s="44" t="str">
        <f t="shared" si="48"/>
        <v/>
      </c>
      <c r="AQ12" s="29" t="str">
        <f t="shared" si="17"/>
        <v/>
      </c>
      <c r="AR12" s="29">
        <f t="shared" si="18"/>
        <v>0</v>
      </c>
      <c r="AS12" s="29">
        <f t="shared" si="19"/>
        <v>0</v>
      </c>
      <c r="AT12" s="22" t="str">
        <f t="shared" si="20"/>
        <v/>
      </c>
      <c r="AU12" s="23"/>
      <c r="AV12" s="44" t="str">
        <f t="shared" si="21"/>
        <v/>
      </c>
      <c r="AW12" s="25"/>
      <c r="AX12" s="44" t="str">
        <f t="shared" si="22"/>
        <v/>
      </c>
      <c r="AY12" s="47"/>
      <c r="AZ12" s="22" t="str">
        <f t="shared" si="23"/>
        <v/>
      </c>
      <c r="BA12" s="23"/>
      <c r="BB12" s="44" t="str">
        <f t="shared" si="24"/>
        <v/>
      </c>
      <c r="BC12" s="25"/>
      <c r="BD12" s="44" t="str">
        <f t="shared" si="25"/>
        <v/>
      </c>
      <c r="BE12" s="47"/>
      <c r="BF12" s="22" t="str">
        <f t="shared" si="26"/>
        <v/>
      </c>
      <c r="BG12" s="23"/>
      <c r="BH12" s="44" t="str">
        <f t="shared" si="27"/>
        <v/>
      </c>
      <c r="BI12" s="25"/>
      <c r="BJ12" s="44" t="str">
        <f t="shared" si="28"/>
        <v/>
      </c>
      <c r="BK12" s="20">
        <v>0.0</v>
      </c>
      <c r="BL12" s="5"/>
      <c r="BM12" s="22" t="str">
        <f t="shared" si="29"/>
        <v/>
      </c>
      <c r="BN12" s="23"/>
      <c r="BO12" s="44" t="str">
        <f t="shared" si="30"/>
        <v/>
      </c>
      <c r="BP12" s="25"/>
      <c r="BQ12" s="44" t="str">
        <f t="shared" si="31"/>
        <v/>
      </c>
      <c r="BR12" s="29" t="str">
        <f t="shared" si="41"/>
        <v/>
      </c>
      <c r="BS12" s="29">
        <f t="shared" si="42"/>
        <v>0</v>
      </c>
      <c r="BT12" s="29">
        <f t="shared" si="43"/>
        <v>0</v>
      </c>
      <c r="BU12" s="22" t="str">
        <f t="shared" si="44"/>
        <v/>
      </c>
      <c r="BV12" s="23"/>
      <c r="BW12" s="44" t="str">
        <f t="shared" si="33"/>
        <v/>
      </c>
      <c r="BX12" s="25"/>
      <c r="BY12" s="44" t="str">
        <f t="shared" si="34"/>
        <v/>
      </c>
      <c r="BZ12" s="47"/>
      <c r="CA12" s="22" t="str">
        <f t="shared" si="35"/>
        <v/>
      </c>
      <c r="CB12" s="23"/>
      <c r="CC12" s="44" t="str">
        <f t="shared" si="36"/>
        <v/>
      </c>
      <c r="CD12" s="25"/>
      <c r="CE12" s="44" t="str">
        <f t="shared" si="37"/>
        <v/>
      </c>
      <c r="CF12" s="47"/>
      <c r="CG12" s="22" t="str">
        <f t="shared" si="38"/>
        <v/>
      </c>
      <c r="CH12" s="23"/>
      <c r="CI12" s="44" t="str">
        <f t="shared" si="39"/>
        <v/>
      </c>
      <c r="CJ12" s="25"/>
      <c r="CK12" s="44" t="str">
        <f t="shared" si="40"/>
        <v/>
      </c>
      <c r="CL12" s="20">
        <v>0.0</v>
      </c>
      <c r="CM12" s="5"/>
      <c r="CN12" s="5"/>
      <c r="CO12" s="5"/>
    </row>
    <row r="13">
      <c r="A13" s="20" t="str">
        <f>IF(B13="","",COUNTA($B$3:B13))</f>
        <v/>
      </c>
      <c r="B13" s="21"/>
      <c r="C13" s="22" t="str">
        <f>IFERROR(__xludf.DUMMYFUNCTION("IFERROR(
IF(A13&lt;&gt;"""",
""EVJEN00""&amp;A13,
IF(B13&lt;&gt;"""",
INDEX(FILTER($F4:F$13,$A$4:A13&lt;&gt;""""),COUNTA(FILTER($F4:F$13,$A$4:A13&lt;&gt;"""")))&amp;B13,
IF(C13&lt;&gt;"""",
INDEX(FILTER($F4:F$13,$B$4:B13&lt;&gt;""""),COUNTA(FILTER($F4:F$13,$B$4:B13&lt;&gt;"""")))&amp;C13,
""""))),
"""")"),"1111111111111111111111111111110")</f>
        <v>1111111111111111111111111111110</v>
      </c>
      <c r="D13" s="22"/>
      <c r="E13" s="69"/>
      <c r="F13" s="69"/>
      <c r="G13" s="69"/>
      <c r="H13" s="70"/>
      <c r="I13" s="5"/>
      <c r="J13" s="22" t="str">
        <f t="shared" si="2"/>
        <v/>
      </c>
      <c r="K13" s="23"/>
      <c r="L13" s="44" t="str">
        <f t="shared" si="45"/>
        <v/>
      </c>
      <c r="M13" s="25"/>
      <c r="N13" s="44" t="str">
        <f t="shared" si="46"/>
        <v/>
      </c>
      <c r="O13" s="29" t="str">
        <f t="shared" si="3"/>
        <v/>
      </c>
      <c r="P13" s="29">
        <f t="shared" si="4"/>
        <v>0</v>
      </c>
      <c r="Q13" s="29">
        <f t="shared" si="5"/>
        <v>0</v>
      </c>
      <c r="R13" s="22" t="str">
        <f t="shared" si="6"/>
        <v/>
      </c>
      <c r="S13" s="23"/>
      <c r="T13" s="44" t="str">
        <f t="shared" si="7"/>
        <v/>
      </c>
      <c r="U13" s="25"/>
      <c r="V13" s="44" t="str">
        <f t="shared" si="8"/>
        <v/>
      </c>
      <c r="W13" s="47"/>
      <c r="X13" s="22" t="str">
        <f t="shared" si="9"/>
        <v/>
      </c>
      <c r="Y13" s="23"/>
      <c r="Z13" s="44" t="str">
        <f t="shared" si="10"/>
        <v/>
      </c>
      <c r="AA13" s="25"/>
      <c r="AB13" s="44" t="str">
        <f t="shared" si="11"/>
        <v/>
      </c>
      <c r="AC13" s="47"/>
      <c r="AD13" s="22" t="str">
        <f t="shared" si="12"/>
        <v/>
      </c>
      <c r="AE13" s="23"/>
      <c r="AF13" s="44" t="str">
        <f t="shared" si="13"/>
        <v/>
      </c>
      <c r="AG13" s="25"/>
      <c r="AH13" s="44" t="str">
        <f t="shared" si="14"/>
        <v/>
      </c>
      <c r="AI13" s="20">
        <v>0.0</v>
      </c>
      <c r="AJ13" s="5"/>
      <c r="AK13" s="22" t="str">
        <f t="shared" si="15"/>
        <v/>
      </c>
      <c r="AL13" s="20"/>
      <c r="AM13" s="23"/>
      <c r="AN13" s="44" t="str">
        <f t="shared" si="47"/>
        <v/>
      </c>
      <c r="AO13" s="25"/>
      <c r="AP13" s="44" t="str">
        <f t="shared" si="48"/>
        <v/>
      </c>
      <c r="AQ13" s="29" t="str">
        <f t="shared" si="17"/>
        <v/>
      </c>
      <c r="AR13" s="29">
        <f t="shared" si="18"/>
        <v>0</v>
      </c>
      <c r="AS13" s="29">
        <f t="shared" si="19"/>
        <v>0</v>
      </c>
      <c r="AT13" s="22" t="str">
        <f t="shared" si="20"/>
        <v/>
      </c>
      <c r="AU13" s="23"/>
      <c r="AV13" s="44" t="str">
        <f t="shared" si="21"/>
        <v/>
      </c>
      <c r="AW13" s="25"/>
      <c r="AX13" s="44" t="str">
        <f t="shared" si="22"/>
        <v/>
      </c>
      <c r="AY13" s="47"/>
      <c r="AZ13" s="22" t="str">
        <f t="shared" si="23"/>
        <v/>
      </c>
      <c r="BA13" s="23"/>
      <c r="BB13" s="44" t="str">
        <f t="shared" si="24"/>
        <v/>
      </c>
      <c r="BC13" s="25"/>
      <c r="BD13" s="44" t="str">
        <f t="shared" si="25"/>
        <v/>
      </c>
      <c r="BE13" s="47"/>
      <c r="BF13" s="22" t="str">
        <f t="shared" si="26"/>
        <v/>
      </c>
      <c r="BG13" s="23"/>
      <c r="BH13" s="44" t="str">
        <f t="shared" si="27"/>
        <v/>
      </c>
      <c r="BI13" s="25"/>
      <c r="BJ13" s="44" t="str">
        <f t="shared" si="28"/>
        <v/>
      </c>
      <c r="BK13" s="20">
        <v>0.0</v>
      </c>
      <c r="BL13" s="5"/>
      <c r="BM13" s="22" t="str">
        <f t="shared" si="29"/>
        <v/>
      </c>
      <c r="BN13" s="23"/>
      <c r="BO13" s="44" t="str">
        <f t="shared" si="30"/>
        <v/>
      </c>
      <c r="BP13" s="25"/>
      <c r="BQ13" s="44" t="str">
        <f t="shared" si="31"/>
        <v/>
      </c>
      <c r="BR13" s="29" t="str">
        <f t="shared" si="41"/>
        <v/>
      </c>
      <c r="BS13" s="29">
        <f t="shared" si="42"/>
        <v>0</v>
      </c>
      <c r="BT13" s="29">
        <f t="shared" si="43"/>
        <v>0</v>
      </c>
      <c r="BU13" s="22" t="str">
        <f t="shared" si="44"/>
        <v/>
      </c>
      <c r="BV13" s="23"/>
      <c r="BW13" s="44" t="str">
        <f t="shared" si="33"/>
        <v/>
      </c>
      <c r="BX13" s="25"/>
      <c r="BY13" s="44" t="str">
        <f t="shared" si="34"/>
        <v/>
      </c>
      <c r="BZ13" s="47"/>
      <c r="CA13" s="22" t="str">
        <f t="shared" si="35"/>
        <v/>
      </c>
      <c r="CB13" s="23"/>
      <c r="CC13" s="44" t="str">
        <f t="shared" si="36"/>
        <v/>
      </c>
      <c r="CD13" s="25"/>
      <c r="CE13" s="44" t="str">
        <f t="shared" si="37"/>
        <v/>
      </c>
      <c r="CF13" s="47"/>
      <c r="CG13" s="22" t="str">
        <f t="shared" si="38"/>
        <v/>
      </c>
      <c r="CH13" s="23"/>
      <c r="CI13" s="44" t="str">
        <f t="shared" si="39"/>
        <v/>
      </c>
      <c r="CJ13" s="25"/>
      <c r="CK13" s="44" t="str">
        <f t="shared" si="40"/>
        <v/>
      </c>
      <c r="CL13" s="20">
        <v>0.0</v>
      </c>
      <c r="CM13" s="5"/>
      <c r="CN13" s="5"/>
      <c r="CO13" s="5"/>
    </row>
    <row r="15">
      <c r="A15" s="20" t="str">
        <f t="shared" ref="A15:A30" si="49">IF(B15="","",COUNTA($B$3:B15))</f>
        <v/>
      </c>
      <c r="B15" s="21"/>
      <c r="C15" s="22" t="str">
        <f>IFERROR(__xludf.DUMMYFUNCTION("IFERROR(
IF(A15&lt;&gt;"""",
""EVJEN00""&amp;A15,
IF(B15&lt;&gt;"""",
INDEX(FILTER($F$4:F15,$A$4:A15&lt;&gt;""""),COUNTA(FILTER($F$4:F15,$A$4:A15&lt;&gt;"""")))&amp;B15,
IF(C15&lt;&gt;"""",
INDEX(FILTER($F$4:F15,$B$4:B15&lt;&gt;""""),COUNTA(FILTER($F$4:F15,$B$4:B15&lt;&gt;"""")))&amp;C15,
""""))),
"""")"),"")</f>
        <v/>
      </c>
      <c r="D15" s="22"/>
      <c r="E15" s="69"/>
      <c r="F15" s="69"/>
      <c r="G15" s="69"/>
      <c r="H15" s="70"/>
      <c r="I15" s="5"/>
      <c r="J15" s="22" t="str">
        <f t="shared" ref="J15:J30" si="50">E15</f>
        <v/>
      </c>
      <c r="K15" s="23"/>
      <c r="L15" s="44" t="str">
        <f t="shared" ref="L15:L30" si="51">if(K15&lt;&gt;"", if(L15="",NOW(),L15),"")</f>
        <v/>
      </c>
      <c r="M15" s="25"/>
      <c r="N15" s="44" t="str">
        <f t="shared" ref="N15:N30" si="52">if(M15="Done", if(N15="",NOW(),N15),"")</f>
        <v/>
      </c>
      <c r="O15" s="29" t="str">
        <f t="shared" ref="O15:O30" si="53">IF(AND(L15&lt;&gt;"",N15&lt;&gt;""),(N15-L15)*1440,"")</f>
        <v/>
      </c>
      <c r="P15" s="29">
        <f t="shared" ref="P15:P30" si="54">IF(
  INT(L15)=INT(N15),
  IF(
    AND(MOD(L15,1)&lt;TIME(12,0,0), MOD(N15,1)&gt;TIME(12,0,0)),
    60,
    0
  ),
  IF(
    MOD(N15,1)&lt;=TIME(12,0,0),
    (INT(N15)-INT(L15))*960,
    (INT(N15)-INT(L15))*1020
  )
)</f>
        <v>0</v>
      </c>
      <c r="Q15" s="29">
        <f t="shared" ref="Q15:Q30" si="55">(O15-P15)/60</f>
        <v>0</v>
      </c>
      <c r="R15" s="22" t="str">
        <f t="shared" ref="R15:R30" si="56">U15</f>
        <v/>
      </c>
      <c r="S15" s="23"/>
      <c r="T15" s="44" t="str">
        <f t="shared" ref="T15:T30" si="57">if(S15&lt;&gt;"", if(T15="",NOW(),T15),"")</f>
        <v/>
      </c>
      <c r="U15" s="25"/>
      <c r="V15" s="44" t="str">
        <f t="shared" ref="V15:V30" si="58">if(U15="Done", if(V15="",NOW(),V15),"")</f>
        <v/>
      </c>
      <c r="W15" s="47"/>
      <c r="X15" s="22" t="str">
        <f t="shared" ref="X15:X30" si="59">AA15</f>
        <v/>
      </c>
      <c r="Y15" s="23"/>
      <c r="Z15" s="44" t="str">
        <f t="shared" ref="Z15:Z30" si="60">if(Y15&lt;&gt;"", if(Z15="",NOW(),Z15),"")</f>
        <v/>
      </c>
      <c r="AA15" s="25"/>
      <c r="AB15" s="44" t="str">
        <f t="shared" ref="AB15:AB30" si="61">if(AA15="Done", if(AB15="",NOW(),AB15),"")</f>
        <v/>
      </c>
      <c r="AC15" s="47"/>
      <c r="AD15" s="22" t="str">
        <f t="shared" ref="AD15:AD30" si="62">AG15</f>
        <v/>
      </c>
      <c r="AE15" s="23"/>
      <c r="AF15" s="44" t="str">
        <f t="shared" ref="AF15:AF30" si="63">if(AE15&lt;&gt;"", if(AF15="",NOW(),AF15),"")</f>
        <v/>
      </c>
      <c r="AG15" s="25"/>
      <c r="AH15" s="44" t="str">
        <f t="shared" ref="AH15:AH30" si="64">if(AG15="Done", if(AH15="",NOW(),AH15),"")</f>
        <v/>
      </c>
      <c r="AI15" s="20">
        <v>0.0</v>
      </c>
      <c r="AJ15" s="5"/>
      <c r="AK15" s="22" t="str">
        <f t="shared" ref="AK15:AK30" si="65">F15</f>
        <v/>
      </c>
      <c r="AL15" s="20"/>
      <c r="AM15" s="23"/>
      <c r="AN15" s="44" t="str">
        <f t="shared" ref="AN15:AN30" si="66">if(AM15&lt;&gt;"", if(AN15="",NOW(),AN15),"")</f>
        <v/>
      </c>
      <c r="AO15" s="25"/>
      <c r="AP15" s="44" t="str">
        <f t="shared" ref="AP15:AP30" si="67">if(AO15="Done", if(AP15="",NOW(),AP15),"")</f>
        <v/>
      </c>
      <c r="AQ15" s="29" t="str">
        <f t="shared" ref="AQ15:AQ30" si="68">IF(AND(AN15&lt;&gt;"",AP15&lt;&gt;""),(AP15-AN15)*1440,"")</f>
        <v/>
      </c>
      <c r="AR15" s="29">
        <f t="shared" ref="AR15:AR30" si="69">IF(
  INT(AN15)=INT(AP15),
  IF(
    AND(MOD(AN15,1)&lt;TIME(12,0,0), MOD(AP15,1)&gt;TIME(12,0,0)),
    60,
    0
  ),
  IF(
    MOD(AP15,1)&lt;=TIME(12,0,0),
    (INT(AP15)-INT(AN15))*960,
    (INT(AP15)-INT(AN15))*1020
  )
)</f>
        <v>0</v>
      </c>
      <c r="AS15" s="29">
        <f t="shared" ref="AS15:AS30" si="70">(AQ15-AR15)/60</f>
        <v>0</v>
      </c>
      <c r="AT15" s="22" t="str">
        <f t="shared" ref="AT15:AT30" si="71">AW15</f>
        <v/>
      </c>
      <c r="AU15" s="23"/>
      <c r="AV15" s="44" t="str">
        <f t="shared" ref="AV15:AV30" si="72">if(AU15&lt;&gt;"", if(AV15="",NOW(),AV15),"")</f>
        <v/>
      </c>
      <c r="AW15" s="25"/>
      <c r="AX15" s="44" t="str">
        <f t="shared" ref="AX15:AX30" si="73">if(AW15="Done", if(AX15="",NOW(),AX15),"")</f>
        <v/>
      </c>
      <c r="AY15" s="47"/>
      <c r="AZ15" s="22" t="str">
        <f t="shared" ref="AZ15:AZ30" si="74">BC15</f>
        <v/>
      </c>
      <c r="BA15" s="23"/>
      <c r="BB15" s="44" t="str">
        <f t="shared" ref="BB15:BB30" si="75">if(BA15&lt;&gt;"", if(BB15="",NOW(),BB15),"")</f>
        <v/>
      </c>
      <c r="BC15" s="25"/>
      <c r="BD15" s="44" t="str">
        <f t="shared" ref="BD15:BD30" si="76">if(BC15="Done", if(BD15="",NOW(),BD15),"")</f>
        <v/>
      </c>
      <c r="BE15" s="47"/>
      <c r="BF15" s="22" t="str">
        <f t="shared" ref="BF15:BF30" si="77">BI15</f>
        <v/>
      </c>
      <c r="BG15" s="23"/>
      <c r="BH15" s="44" t="str">
        <f t="shared" ref="BH15:BH30" si="78">if(BG15&lt;&gt;"", if(BH15="",NOW(),BH15),"")</f>
        <v/>
      </c>
      <c r="BI15" s="25"/>
      <c r="BJ15" s="44" t="str">
        <f t="shared" ref="BJ15:BJ30" si="79">if(BI15="Done", if(BJ15="",NOW(),BJ15),"")</f>
        <v/>
      </c>
      <c r="BK15" s="20">
        <v>0.0</v>
      </c>
      <c r="BL15" s="5"/>
      <c r="BM15" s="22" t="str">
        <f t="shared" ref="BM15:BM30" si="80">G15</f>
        <v/>
      </c>
      <c r="BN15" s="23"/>
      <c r="BO15" s="44" t="str">
        <f t="shared" ref="BO15:BO30" si="81">if(BN15&lt;&gt;"", if(BO15="",NOW(),BO15),"")</f>
        <v/>
      </c>
      <c r="BP15" s="25"/>
      <c r="BQ15" s="44" t="str">
        <f t="shared" ref="BQ15:BQ30" si="82">if(BP15="Done", if(BQ15="",NOW(),BQ15),"")</f>
        <v/>
      </c>
      <c r="BR15" s="29" t="str">
        <f t="shared" ref="BR15:BR30" si="83">IF(AND(BO15&lt;&gt;"",BQ15&lt;&gt;""),(BQ15-BO15)*1440,"")</f>
        <v/>
      </c>
      <c r="BS15" s="29">
        <f t="shared" ref="BS15:BS30" si="84">IF(
  INT(BO15)=INT(BQ15),
  IF(
    AND(MOD(BO15,1)&lt;TIME(12,0,0), MOD(BQ15,1)&gt;TIME(12,0,0)),
    60,
    0
  ),
  IF(
    MOD(BQ15,1)&lt;=TIME(12,0,0),
    (INT(BQ15)-INT(BO15))*960,
    (INT(BQ15)-INT(BO15))*1020
  )
)</f>
        <v>0</v>
      </c>
      <c r="BT15" s="29">
        <f t="shared" ref="BT15:BT30" si="85">(BR15-BS15)/60</f>
        <v>0</v>
      </c>
      <c r="BU15" s="22" t="str">
        <f t="shared" ref="BU15:BU30" si="86">BX15</f>
        <v/>
      </c>
      <c r="BV15" s="23"/>
      <c r="BW15" s="44" t="str">
        <f t="shared" ref="BW15:BW30" si="87">if(BV15&lt;&gt;"", if(BW15="",NOW(),BW15),"")</f>
        <v/>
      </c>
      <c r="BX15" s="25"/>
      <c r="BY15" s="44" t="str">
        <f t="shared" ref="BY15:BY30" si="88">if(BX15="Done", if(BY15="",NOW(),BY15),"")</f>
        <v/>
      </c>
      <c r="BZ15" s="47"/>
      <c r="CA15" s="22" t="str">
        <f t="shared" ref="CA15:CA30" si="89">CD15</f>
        <v/>
      </c>
      <c r="CB15" s="23"/>
      <c r="CC15" s="44" t="str">
        <f t="shared" ref="CC15:CC30" si="90">if(CB15&lt;&gt;"", if(CC15="",NOW(),CC15),"")</f>
        <v/>
      </c>
      <c r="CD15" s="25"/>
      <c r="CE15" s="44" t="str">
        <f t="shared" ref="CE15:CE30" si="91">if(CD15="Done", if(CE15="",NOW(),CE15),"")</f>
        <v/>
      </c>
      <c r="CF15" s="47"/>
      <c r="CG15" s="22" t="str">
        <f t="shared" ref="CG15:CG30" si="92">CJ15</f>
        <v/>
      </c>
      <c r="CH15" s="23"/>
      <c r="CI15" s="44" t="str">
        <f t="shared" ref="CI15:CI30" si="93">if(CH15&lt;&gt;"", if(CI15="",NOW(),CI15),"")</f>
        <v/>
      </c>
      <c r="CJ15" s="25"/>
      <c r="CK15" s="44" t="str">
        <f t="shared" ref="CK15:CK30" si="94">if(CJ15="Done", if(CK15="",NOW(),CK15),"")</f>
        <v/>
      </c>
      <c r="CL15" s="20">
        <v>0.0</v>
      </c>
      <c r="CM15" s="5"/>
      <c r="CN15" s="5"/>
      <c r="CO15" s="5"/>
    </row>
    <row r="16">
      <c r="A16" s="20" t="str">
        <f t="shared" si="49"/>
        <v/>
      </c>
      <c r="B16" s="21"/>
      <c r="C16" s="22" t="str">
        <f>IFERROR(__xludf.DUMMYFUNCTION("IFERROR(
IF(A16&lt;&gt;"""",
""EVJEN00""&amp;A16,
IF(B16&lt;&gt;"""",
INDEX(FILTER($F$4:F16,$A$4:A16&lt;&gt;""""),COUNTA(FILTER($F$4:F16,$A$4:A16&lt;&gt;"""")))&amp;B16,
IF(C16&lt;&gt;"""",
INDEX(FILTER($F$4:F16,$B$4:B16&lt;&gt;""""),COUNTA(FILTER($F$4:F16,$B$4:B16&lt;&gt;"""")))&amp;C16,
""""))),
"""")"),"")</f>
        <v/>
      </c>
      <c r="D16" s="22"/>
      <c r="E16" s="69"/>
      <c r="F16" s="69"/>
      <c r="G16" s="69"/>
      <c r="H16" s="70"/>
      <c r="I16" s="5"/>
      <c r="J16" s="22" t="str">
        <f t="shared" si="50"/>
        <v/>
      </c>
      <c r="K16" s="23"/>
      <c r="L16" s="44" t="str">
        <f t="shared" si="51"/>
        <v/>
      </c>
      <c r="M16" s="25"/>
      <c r="N16" s="44" t="str">
        <f t="shared" si="52"/>
        <v/>
      </c>
      <c r="O16" s="29" t="str">
        <f t="shared" si="53"/>
        <v/>
      </c>
      <c r="P16" s="29">
        <f t="shared" si="54"/>
        <v>0</v>
      </c>
      <c r="Q16" s="29">
        <f t="shared" si="55"/>
        <v>0</v>
      </c>
      <c r="R16" s="22" t="str">
        <f t="shared" si="56"/>
        <v/>
      </c>
      <c r="S16" s="23"/>
      <c r="T16" s="44" t="str">
        <f t="shared" si="57"/>
        <v/>
      </c>
      <c r="U16" s="25"/>
      <c r="V16" s="44" t="str">
        <f t="shared" si="58"/>
        <v/>
      </c>
      <c r="W16" s="47"/>
      <c r="X16" s="22" t="str">
        <f t="shared" si="59"/>
        <v/>
      </c>
      <c r="Y16" s="23"/>
      <c r="Z16" s="44" t="str">
        <f t="shared" si="60"/>
        <v/>
      </c>
      <c r="AA16" s="25"/>
      <c r="AB16" s="44" t="str">
        <f t="shared" si="61"/>
        <v/>
      </c>
      <c r="AC16" s="47"/>
      <c r="AD16" s="22" t="str">
        <f t="shared" si="62"/>
        <v/>
      </c>
      <c r="AE16" s="23"/>
      <c r="AF16" s="44" t="str">
        <f t="shared" si="63"/>
        <v/>
      </c>
      <c r="AG16" s="25"/>
      <c r="AH16" s="44" t="str">
        <f t="shared" si="64"/>
        <v/>
      </c>
      <c r="AI16" s="20">
        <v>0.0</v>
      </c>
      <c r="AJ16" s="5"/>
      <c r="AK16" s="22" t="str">
        <f t="shared" si="65"/>
        <v/>
      </c>
      <c r="AL16" s="20"/>
      <c r="AM16" s="23"/>
      <c r="AN16" s="44" t="str">
        <f t="shared" si="66"/>
        <v/>
      </c>
      <c r="AO16" s="25"/>
      <c r="AP16" s="44" t="str">
        <f t="shared" si="67"/>
        <v/>
      </c>
      <c r="AQ16" s="29" t="str">
        <f t="shared" si="68"/>
        <v/>
      </c>
      <c r="AR16" s="29">
        <f t="shared" si="69"/>
        <v>0</v>
      </c>
      <c r="AS16" s="29">
        <f t="shared" si="70"/>
        <v>0</v>
      </c>
      <c r="AT16" s="22" t="str">
        <f t="shared" si="71"/>
        <v/>
      </c>
      <c r="AU16" s="23"/>
      <c r="AV16" s="44" t="str">
        <f t="shared" si="72"/>
        <v/>
      </c>
      <c r="AW16" s="25"/>
      <c r="AX16" s="44" t="str">
        <f t="shared" si="73"/>
        <v/>
      </c>
      <c r="AY16" s="47"/>
      <c r="AZ16" s="22" t="str">
        <f t="shared" si="74"/>
        <v/>
      </c>
      <c r="BA16" s="23"/>
      <c r="BB16" s="44" t="str">
        <f t="shared" si="75"/>
        <v/>
      </c>
      <c r="BC16" s="25"/>
      <c r="BD16" s="44" t="str">
        <f t="shared" si="76"/>
        <v/>
      </c>
      <c r="BE16" s="47"/>
      <c r="BF16" s="22" t="str">
        <f t="shared" si="77"/>
        <v/>
      </c>
      <c r="BG16" s="23"/>
      <c r="BH16" s="44" t="str">
        <f t="shared" si="78"/>
        <v/>
      </c>
      <c r="BI16" s="25"/>
      <c r="BJ16" s="44" t="str">
        <f t="shared" si="79"/>
        <v/>
      </c>
      <c r="BK16" s="20">
        <v>0.0</v>
      </c>
      <c r="BL16" s="5"/>
      <c r="BM16" s="22" t="str">
        <f t="shared" si="80"/>
        <v/>
      </c>
      <c r="BN16" s="23"/>
      <c r="BO16" s="44" t="str">
        <f t="shared" si="81"/>
        <v/>
      </c>
      <c r="BP16" s="25"/>
      <c r="BQ16" s="44" t="str">
        <f t="shared" si="82"/>
        <v/>
      </c>
      <c r="BR16" s="29" t="str">
        <f t="shared" si="83"/>
        <v/>
      </c>
      <c r="BS16" s="29">
        <f t="shared" si="84"/>
        <v>0</v>
      </c>
      <c r="BT16" s="29">
        <f t="shared" si="85"/>
        <v>0</v>
      </c>
      <c r="BU16" s="22" t="str">
        <f t="shared" si="86"/>
        <v/>
      </c>
      <c r="BV16" s="23"/>
      <c r="BW16" s="44" t="str">
        <f t="shared" si="87"/>
        <v/>
      </c>
      <c r="BX16" s="25"/>
      <c r="BY16" s="44" t="str">
        <f t="shared" si="88"/>
        <v/>
      </c>
      <c r="BZ16" s="47"/>
      <c r="CA16" s="22" t="str">
        <f t="shared" si="89"/>
        <v/>
      </c>
      <c r="CB16" s="23"/>
      <c r="CC16" s="44" t="str">
        <f t="shared" si="90"/>
        <v/>
      </c>
      <c r="CD16" s="25"/>
      <c r="CE16" s="44" t="str">
        <f t="shared" si="91"/>
        <v/>
      </c>
      <c r="CF16" s="47"/>
      <c r="CG16" s="22" t="str">
        <f t="shared" si="92"/>
        <v/>
      </c>
      <c r="CH16" s="23"/>
      <c r="CI16" s="44" t="str">
        <f t="shared" si="93"/>
        <v/>
      </c>
      <c r="CJ16" s="25"/>
      <c r="CK16" s="44" t="str">
        <f t="shared" si="94"/>
        <v/>
      </c>
      <c r="CL16" s="20">
        <v>0.0</v>
      </c>
      <c r="CM16" s="5"/>
      <c r="CN16" s="5"/>
      <c r="CO16" s="5"/>
    </row>
    <row r="17">
      <c r="A17" s="20" t="str">
        <f t="shared" si="49"/>
        <v/>
      </c>
      <c r="B17" s="21"/>
      <c r="C17" s="22" t="str">
        <f>IFERROR(__xludf.DUMMYFUNCTION("IFERROR(
IF(A17&lt;&gt;"""",
""EVJEN00""&amp;A17,
IF(B17&lt;&gt;"""",
INDEX(FILTER($F$4:F17,$A$4:A17&lt;&gt;""""),COUNTA(FILTER($F$4:F17,$A$4:A17&lt;&gt;"""")))&amp;B17,
IF(C17&lt;&gt;"""",
INDEX(FILTER($F$4:F17,$B$4:B17&lt;&gt;""""),COUNTA(FILTER($F$4:F17,$B$4:B17&lt;&gt;"""")))&amp;C17,
""""))),
"""")"),"")</f>
        <v/>
      </c>
      <c r="D17" s="22"/>
      <c r="E17" s="69"/>
      <c r="F17" s="69"/>
      <c r="G17" s="69"/>
      <c r="H17" s="70"/>
      <c r="I17" s="5"/>
      <c r="J17" s="22" t="str">
        <f t="shared" si="50"/>
        <v/>
      </c>
      <c r="K17" s="23"/>
      <c r="L17" s="44" t="str">
        <f t="shared" si="51"/>
        <v/>
      </c>
      <c r="M17" s="25"/>
      <c r="N17" s="44" t="str">
        <f t="shared" si="52"/>
        <v/>
      </c>
      <c r="O17" s="29" t="str">
        <f t="shared" si="53"/>
        <v/>
      </c>
      <c r="P17" s="29">
        <f t="shared" si="54"/>
        <v>0</v>
      </c>
      <c r="Q17" s="29">
        <f t="shared" si="55"/>
        <v>0</v>
      </c>
      <c r="R17" s="22" t="str">
        <f t="shared" si="56"/>
        <v/>
      </c>
      <c r="S17" s="23"/>
      <c r="T17" s="44" t="str">
        <f t="shared" si="57"/>
        <v/>
      </c>
      <c r="U17" s="25"/>
      <c r="V17" s="44" t="str">
        <f t="shared" si="58"/>
        <v/>
      </c>
      <c r="W17" s="47"/>
      <c r="X17" s="22" t="str">
        <f t="shared" si="59"/>
        <v/>
      </c>
      <c r="Y17" s="23"/>
      <c r="Z17" s="44" t="str">
        <f t="shared" si="60"/>
        <v/>
      </c>
      <c r="AA17" s="25"/>
      <c r="AB17" s="44" t="str">
        <f t="shared" si="61"/>
        <v/>
      </c>
      <c r="AC17" s="47"/>
      <c r="AD17" s="22" t="str">
        <f t="shared" si="62"/>
        <v/>
      </c>
      <c r="AE17" s="23"/>
      <c r="AF17" s="44" t="str">
        <f t="shared" si="63"/>
        <v/>
      </c>
      <c r="AG17" s="25"/>
      <c r="AH17" s="44" t="str">
        <f t="shared" si="64"/>
        <v/>
      </c>
      <c r="AI17" s="20">
        <v>0.0</v>
      </c>
      <c r="AJ17" s="5"/>
      <c r="AK17" s="22" t="str">
        <f t="shared" si="65"/>
        <v/>
      </c>
      <c r="AL17" s="20"/>
      <c r="AM17" s="23"/>
      <c r="AN17" s="44" t="str">
        <f t="shared" si="66"/>
        <v/>
      </c>
      <c r="AO17" s="25"/>
      <c r="AP17" s="44" t="str">
        <f t="shared" si="67"/>
        <v/>
      </c>
      <c r="AQ17" s="29" t="str">
        <f t="shared" si="68"/>
        <v/>
      </c>
      <c r="AR17" s="29">
        <f t="shared" si="69"/>
        <v>0</v>
      </c>
      <c r="AS17" s="29">
        <f t="shared" si="70"/>
        <v>0</v>
      </c>
      <c r="AT17" s="22" t="str">
        <f t="shared" si="71"/>
        <v/>
      </c>
      <c r="AU17" s="23"/>
      <c r="AV17" s="44" t="str">
        <f t="shared" si="72"/>
        <v/>
      </c>
      <c r="AW17" s="25"/>
      <c r="AX17" s="44" t="str">
        <f t="shared" si="73"/>
        <v/>
      </c>
      <c r="AY17" s="47"/>
      <c r="AZ17" s="22" t="str">
        <f t="shared" si="74"/>
        <v/>
      </c>
      <c r="BA17" s="23"/>
      <c r="BB17" s="44" t="str">
        <f t="shared" si="75"/>
        <v/>
      </c>
      <c r="BC17" s="25"/>
      <c r="BD17" s="44" t="str">
        <f t="shared" si="76"/>
        <v/>
      </c>
      <c r="BE17" s="47"/>
      <c r="BF17" s="22" t="str">
        <f t="shared" si="77"/>
        <v/>
      </c>
      <c r="BG17" s="23"/>
      <c r="BH17" s="44" t="str">
        <f t="shared" si="78"/>
        <v/>
      </c>
      <c r="BI17" s="25"/>
      <c r="BJ17" s="44" t="str">
        <f t="shared" si="79"/>
        <v/>
      </c>
      <c r="BK17" s="20">
        <v>0.0</v>
      </c>
      <c r="BL17" s="5"/>
      <c r="BM17" s="22" t="str">
        <f t="shared" si="80"/>
        <v/>
      </c>
      <c r="BN17" s="23"/>
      <c r="BO17" s="44" t="str">
        <f t="shared" si="81"/>
        <v/>
      </c>
      <c r="BP17" s="25"/>
      <c r="BQ17" s="44" t="str">
        <f t="shared" si="82"/>
        <v/>
      </c>
      <c r="BR17" s="29" t="str">
        <f t="shared" si="83"/>
        <v/>
      </c>
      <c r="BS17" s="29">
        <f t="shared" si="84"/>
        <v>0</v>
      </c>
      <c r="BT17" s="29">
        <f t="shared" si="85"/>
        <v>0</v>
      </c>
      <c r="BU17" s="22" t="str">
        <f t="shared" si="86"/>
        <v/>
      </c>
      <c r="BV17" s="23"/>
      <c r="BW17" s="44" t="str">
        <f t="shared" si="87"/>
        <v/>
      </c>
      <c r="BX17" s="25"/>
      <c r="BY17" s="44" t="str">
        <f t="shared" si="88"/>
        <v/>
      </c>
      <c r="BZ17" s="47"/>
      <c r="CA17" s="22" t="str">
        <f t="shared" si="89"/>
        <v/>
      </c>
      <c r="CB17" s="23"/>
      <c r="CC17" s="44" t="str">
        <f t="shared" si="90"/>
        <v/>
      </c>
      <c r="CD17" s="25"/>
      <c r="CE17" s="44" t="str">
        <f t="shared" si="91"/>
        <v/>
      </c>
      <c r="CF17" s="47"/>
      <c r="CG17" s="22" t="str">
        <f t="shared" si="92"/>
        <v/>
      </c>
      <c r="CH17" s="23"/>
      <c r="CI17" s="44" t="str">
        <f t="shared" si="93"/>
        <v/>
      </c>
      <c r="CJ17" s="25"/>
      <c r="CK17" s="44" t="str">
        <f t="shared" si="94"/>
        <v/>
      </c>
      <c r="CL17" s="20">
        <v>0.0</v>
      </c>
      <c r="CM17" s="5"/>
      <c r="CN17" s="5"/>
      <c r="CO17" s="5"/>
    </row>
    <row r="18">
      <c r="A18" s="20" t="str">
        <f t="shared" si="49"/>
        <v/>
      </c>
      <c r="B18" s="21"/>
      <c r="C18" s="22" t="str">
        <f>IFERROR(__xludf.DUMMYFUNCTION("IFERROR(
IF(A18&lt;&gt;"""",
""EVJEN00""&amp;A18,
IF(B18&lt;&gt;"""",
INDEX(FILTER($F$4:F18,$A$4:A18&lt;&gt;""""),COUNTA(FILTER($F$4:F18,$A$4:A18&lt;&gt;"""")))&amp;B18,
IF(C18&lt;&gt;"""",
INDEX(FILTER($F$4:F18,$B$4:B18&lt;&gt;""""),COUNTA(FILTER($F$4:F18,$B$4:B18&lt;&gt;"""")))&amp;C18,
""""))),
"""")"),"")</f>
        <v/>
      </c>
      <c r="D18" s="22"/>
      <c r="E18" s="69"/>
      <c r="F18" s="69"/>
      <c r="G18" s="69"/>
      <c r="H18" s="70"/>
      <c r="I18" s="5"/>
      <c r="J18" s="22" t="str">
        <f t="shared" si="50"/>
        <v/>
      </c>
      <c r="K18" s="23"/>
      <c r="L18" s="44" t="str">
        <f t="shared" si="51"/>
        <v/>
      </c>
      <c r="M18" s="25"/>
      <c r="N18" s="44" t="str">
        <f t="shared" si="52"/>
        <v/>
      </c>
      <c r="O18" s="29" t="str">
        <f t="shared" si="53"/>
        <v/>
      </c>
      <c r="P18" s="29">
        <f t="shared" si="54"/>
        <v>0</v>
      </c>
      <c r="Q18" s="29">
        <f t="shared" si="55"/>
        <v>0</v>
      </c>
      <c r="R18" s="22" t="str">
        <f t="shared" si="56"/>
        <v/>
      </c>
      <c r="S18" s="23"/>
      <c r="T18" s="44" t="str">
        <f t="shared" si="57"/>
        <v/>
      </c>
      <c r="U18" s="25"/>
      <c r="V18" s="44" t="str">
        <f t="shared" si="58"/>
        <v/>
      </c>
      <c r="W18" s="47"/>
      <c r="X18" s="22" t="str">
        <f t="shared" si="59"/>
        <v/>
      </c>
      <c r="Y18" s="23"/>
      <c r="Z18" s="44" t="str">
        <f t="shared" si="60"/>
        <v/>
      </c>
      <c r="AA18" s="25"/>
      <c r="AB18" s="44" t="str">
        <f t="shared" si="61"/>
        <v/>
      </c>
      <c r="AC18" s="47"/>
      <c r="AD18" s="22" t="str">
        <f t="shared" si="62"/>
        <v/>
      </c>
      <c r="AE18" s="23"/>
      <c r="AF18" s="44" t="str">
        <f t="shared" si="63"/>
        <v/>
      </c>
      <c r="AG18" s="25"/>
      <c r="AH18" s="44" t="str">
        <f t="shared" si="64"/>
        <v/>
      </c>
      <c r="AI18" s="20">
        <v>0.0</v>
      </c>
      <c r="AJ18" s="5"/>
      <c r="AK18" s="22" t="str">
        <f t="shared" si="65"/>
        <v/>
      </c>
      <c r="AL18" s="20"/>
      <c r="AM18" s="23"/>
      <c r="AN18" s="44" t="str">
        <f t="shared" si="66"/>
        <v/>
      </c>
      <c r="AO18" s="25"/>
      <c r="AP18" s="44" t="str">
        <f t="shared" si="67"/>
        <v/>
      </c>
      <c r="AQ18" s="29" t="str">
        <f t="shared" si="68"/>
        <v/>
      </c>
      <c r="AR18" s="29">
        <f t="shared" si="69"/>
        <v>0</v>
      </c>
      <c r="AS18" s="29">
        <f t="shared" si="70"/>
        <v>0</v>
      </c>
      <c r="AT18" s="22" t="str">
        <f t="shared" si="71"/>
        <v/>
      </c>
      <c r="AU18" s="23"/>
      <c r="AV18" s="44" t="str">
        <f t="shared" si="72"/>
        <v/>
      </c>
      <c r="AW18" s="25"/>
      <c r="AX18" s="44" t="str">
        <f t="shared" si="73"/>
        <v/>
      </c>
      <c r="AY18" s="47"/>
      <c r="AZ18" s="22" t="str">
        <f t="shared" si="74"/>
        <v/>
      </c>
      <c r="BA18" s="23"/>
      <c r="BB18" s="44" t="str">
        <f t="shared" si="75"/>
        <v/>
      </c>
      <c r="BC18" s="25"/>
      <c r="BD18" s="44" t="str">
        <f t="shared" si="76"/>
        <v/>
      </c>
      <c r="BE18" s="47"/>
      <c r="BF18" s="22" t="str">
        <f t="shared" si="77"/>
        <v/>
      </c>
      <c r="BG18" s="23"/>
      <c r="BH18" s="44" t="str">
        <f t="shared" si="78"/>
        <v/>
      </c>
      <c r="BI18" s="25"/>
      <c r="BJ18" s="44" t="str">
        <f t="shared" si="79"/>
        <v/>
      </c>
      <c r="BK18" s="20">
        <v>0.0</v>
      </c>
      <c r="BL18" s="5"/>
      <c r="BM18" s="22" t="str">
        <f t="shared" si="80"/>
        <v/>
      </c>
      <c r="BN18" s="23"/>
      <c r="BO18" s="44" t="str">
        <f t="shared" si="81"/>
        <v/>
      </c>
      <c r="BP18" s="25"/>
      <c r="BQ18" s="44" t="str">
        <f t="shared" si="82"/>
        <v/>
      </c>
      <c r="BR18" s="29" t="str">
        <f t="shared" si="83"/>
        <v/>
      </c>
      <c r="BS18" s="29">
        <f t="shared" si="84"/>
        <v>0</v>
      </c>
      <c r="BT18" s="29">
        <f t="shared" si="85"/>
        <v>0</v>
      </c>
      <c r="BU18" s="22" t="str">
        <f t="shared" si="86"/>
        <v/>
      </c>
      <c r="BV18" s="23"/>
      <c r="BW18" s="44" t="str">
        <f t="shared" si="87"/>
        <v/>
      </c>
      <c r="BX18" s="25"/>
      <c r="BY18" s="44" t="str">
        <f t="shared" si="88"/>
        <v/>
      </c>
      <c r="BZ18" s="47"/>
      <c r="CA18" s="22" t="str">
        <f t="shared" si="89"/>
        <v/>
      </c>
      <c r="CB18" s="23"/>
      <c r="CC18" s="44" t="str">
        <f t="shared" si="90"/>
        <v/>
      </c>
      <c r="CD18" s="25"/>
      <c r="CE18" s="44" t="str">
        <f t="shared" si="91"/>
        <v/>
      </c>
      <c r="CF18" s="47"/>
      <c r="CG18" s="22" t="str">
        <f t="shared" si="92"/>
        <v/>
      </c>
      <c r="CH18" s="23"/>
      <c r="CI18" s="44" t="str">
        <f t="shared" si="93"/>
        <v/>
      </c>
      <c r="CJ18" s="25"/>
      <c r="CK18" s="44" t="str">
        <f t="shared" si="94"/>
        <v/>
      </c>
      <c r="CL18" s="20">
        <v>0.0</v>
      </c>
      <c r="CM18" s="5"/>
      <c r="CN18" s="5"/>
      <c r="CO18" s="5"/>
    </row>
    <row r="19">
      <c r="A19" s="20" t="str">
        <f t="shared" si="49"/>
        <v/>
      </c>
      <c r="B19" s="21"/>
      <c r="C19" s="22" t="str">
        <f>IFERROR(__xludf.DUMMYFUNCTION("IFERROR(
IF(A19&lt;&gt;"""",
""EVJEN00""&amp;A19,
IF(B19&lt;&gt;"""",
INDEX(FILTER($F$4:F19,$A$4:A19&lt;&gt;""""),COUNTA(FILTER($F$4:F19,$A$4:A19&lt;&gt;"""")))&amp;B19,
IF(C19&lt;&gt;"""",
INDEX(FILTER($F$4:F19,$B$4:B19&lt;&gt;""""),COUNTA(FILTER($F$4:F19,$B$4:B19&lt;&gt;"""")))&amp;C19,
""""))),
"""")"),"")</f>
        <v/>
      </c>
      <c r="D19" s="22"/>
      <c r="E19" s="69"/>
      <c r="F19" s="69"/>
      <c r="G19" s="69"/>
      <c r="H19" s="70"/>
      <c r="I19" s="5"/>
      <c r="J19" s="22" t="str">
        <f t="shared" si="50"/>
        <v/>
      </c>
      <c r="K19" s="23"/>
      <c r="L19" s="44" t="str">
        <f t="shared" si="51"/>
        <v/>
      </c>
      <c r="M19" s="25"/>
      <c r="N19" s="44" t="str">
        <f t="shared" si="52"/>
        <v/>
      </c>
      <c r="O19" s="29" t="str">
        <f t="shared" si="53"/>
        <v/>
      </c>
      <c r="P19" s="29">
        <f t="shared" si="54"/>
        <v>0</v>
      </c>
      <c r="Q19" s="29">
        <f t="shared" si="55"/>
        <v>0</v>
      </c>
      <c r="R19" s="22" t="str">
        <f t="shared" si="56"/>
        <v/>
      </c>
      <c r="S19" s="23"/>
      <c r="T19" s="44" t="str">
        <f t="shared" si="57"/>
        <v/>
      </c>
      <c r="U19" s="25"/>
      <c r="V19" s="44" t="str">
        <f t="shared" si="58"/>
        <v/>
      </c>
      <c r="W19" s="47"/>
      <c r="X19" s="22" t="str">
        <f t="shared" si="59"/>
        <v/>
      </c>
      <c r="Y19" s="23"/>
      <c r="Z19" s="44" t="str">
        <f t="shared" si="60"/>
        <v/>
      </c>
      <c r="AA19" s="25"/>
      <c r="AB19" s="44" t="str">
        <f t="shared" si="61"/>
        <v/>
      </c>
      <c r="AC19" s="47"/>
      <c r="AD19" s="22" t="str">
        <f t="shared" si="62"/>
        <v/>
      </c>
      <c r="AE19" s="23"/>
      <c r="AF19" s="44" t="str">
        <f t="shared" si="63"/>
        <v/>
      </c>
      <c r="AG19" s="25"/>
      <c r="AH19" s="44" t="str">
        <f t="shared" si="64"/>
        <v/>
      </c>
      <c r="AI19" s="20">
        <v>0.0</v>
      </c>
      <c r="AJ19" s="5"/>
      <c r="AK19" s="22" t="str">
        <f t="shared" si="65"/>
        <v/>
      </c>
      <c r="AL19" s="20"/>
      <c r="AM19" s="23"/>
      <c r="AN19" s="44" t="str">
        <f t="shared" si="66"/>
        <v/>
      </c>
      <c r="AO19" s="25"/>
      <c r="AP19" s="44" t="str">
        <f t="shared" si="67"/>
        <v/>
      </c>
      <c r="AQ19" s="29" t="str">
        <f t="shared" si="68"/>
        <v/>
      </c>
      <c r="AR19" s="29">
        <f t="shared" si="69"/>
        <v>0</v>
      </c>
      <c r="AS19" s="29">
        <f t="shared" si="70"/>
        <v>0</v>
      </c>
      <c r="AT19" s="22" t="str">
        <f t="shared" si="71"/>
        <v/>
      </c>
      <c r="AU19" s="23"/>
      <c r="AV19" s="44" t="str">
        <f t="shared" si="72"/>
        <v/>
      </c>
      <c r="AW19" s="25"/>
      <c r="AX19" s="44" t="str">
        <f t="shared" si="73"/>
        <v/>
      </c>
      <c r="AY19" s="47"/>
      <c r="AZ19" s="22" t="str">
        <f t="shared" si="74"/>
        <v/>
      </c>
      <c r="BA19" s="23"/>
      <c r="BB19" s="44" t="str">
        <f t="shared" si="75"/>
        <v/>
      </c>
      <c r="BC19" s="25"/>
      <c r="BD19" s="44" t="str">
        <f t="shared" si="76"/>
        <v/>
      </c>
      <c r="BE19" s="47"/>
      <c r="BF19" s="22" t="str">
        <f t="shared" si="77"/>
        <v/>
      </c>
      <c r="BG19" s="23"/>
      <c r="BH19" s="44" t="str">
        <f t="shared" si="78"/>
        <v/>
      </c>
      <c r="BI19" s="25"/>
      <c r="BJ19" s="44" t="str">
        <f t="shared" si="79"/>
        <v/>
      </c>
      <c r="BK19" s="20">
        <v>0.0</v>
      </c>
      <c r="BL19" s="5"/>
      <c r="BM19" s="22" t="str">
        <f t="shared" si="80"/>
        <v/>
      </c>
      <c r="BN19" s="23"/>
      <c r="BO19" s="44" t="str">
        <f t="shared" si="81"/>
        <v/>
      </c>
      <c r="BP19" s="25"/>
      <c r="BQ19" s="44" t="str">
        <f t="shared" si="82"/>
        <v/>
      </c>
      <c r="BR19" s="29" t="str">
        <f t="shared" si="83"/>
        <v/>
      </c>
      <c r="BS19" s="29">
        <f t="shared" si="84"/>
        <v>0</v>
      </c>
      <c r="BT19" s="29">
        <f t="shared" si="85"/>
        <v>0</v>
      </c>
      <c r="BU19" s="22" t="str">
        <f t="shared" si="86"/>
        <v/>
      </c>
      <c r="BV19" s="23"/>
      <c r="BW19" s="44" t="str">
        <f t="shared" si="87"/>
        <v/>
      </c>
      <c r="BX19" s="25"/>
      <c r="BY19" s="44" t="str">
        <f t="shared" si="88"/>
        <v/>
      </c>
      <c r="BZ19" s="47"/>
      <c r="CA19" s="22" t="str">
        <f t="shared" si="89"/>
        <v/>
      </c>
      <c r="CB19" s="23"/>
      <c r="CC19" s="44" t="str">
        <f t="shared" si="90"/>
        <v/>
      </c>
      <c r="CD19" s="25"/>
      <c r="CE19" s="44" t="str">
        <f t="shared" si="91"/>
        <v/>
      </c>
      <c r="CF19" s="47"/>
      <c r="CG19" s="22" t="str">
        <f t="shared" si="92"/>
        <v/>
      </c>
      <c r="CH19" s="23"/>
      <c r="CI19" s="44" t="str">
        <f t="shared" si="93"/>
        <v/>
      </c>
      <c r="CJ19" s="25"/>
      <c r="CK19" s="44" t="str">
        <f t="shared" si="94"/>
        <v/>
      </c>
      <c r="CL19" s="20">
        <v>0.0</v>
      </c>
      <c r="CM19" s="5"/>
      <c r="CN19" s="5"/>
      <c r="CO19" s="5"/>
    </row>
    <row r="20">
      <c r="A20" s="20" t="str">
        <f t="shared" si="49"/>
        <v/>
      </c>
      <c r="B20" s="21"/>
      <c r="C20" s="22" t="str">
        <f>IFERROR(__xludf.DUMMYFUNCTION("IFERROR(
IF(A20&lt;&gt;"""",
""EVJEN00""&amp;A20,
IF(B20&lt;&gt;"""",
INDEX(FILTER($F$4:F20,$A$4:A20&lt;&gt;""""),COUNTA(FILTER($F$4:F20,$A$4:A20&lt;&gt;"""")))&amp;B20,
IF(C20&lt;&gt;"""",
INDEX(FILTER($F$4:F20,$B$4:B20&lt;&gt;""""),COUNTA(FILTER($F$4:F20,$B$4:B20&lt;&gt;"""")))&amp;C20,
""""))),
"""")"),"")</f>
        <v/>
      </c>
      <c r="D20" s="22"/>
      <c r="E20" s="20"/>
      <c r="F20" s="20"/>
      <c r="G20" s="20"/>
      <c r="H20" s="55"/>
      <c r="I20" s="5"/>
      <c r="J20" s="22" t="str">
        <f t="shared" si="50"/>
        <v/>
      </c>
      <c r="K20" s="23"/>
      <c r="L20" s="44" t="str">
        <f t="shared" si="51"/>
        <v/>
      </c>
      <c r="M20" s="25"/>
      <c r="N20" s="44" t="str">
        <f t="shared" si="52"/>
        <v/>
      </c>
      <c r="O20" s="29" t="str">
        <f t="shared" si="53"/>
        <v/>
      </c>
      <c r="P20" s="29">
        <f t="shared" si="54"/>
        <v>0</v>
      </c>
      <c r="Q20" s="29">
        <f t="shared" si="55"/>
        <v>0</v>
      </c>
      <c r="R20" s="22" t="str">
        <f t="shared" si="56"/>
        <v/>
      </c>
      <c r="S20" s="23"/>
      <c r="T20" s="44" t="str">
        <f t="shared" si="57"/>
        <v/>
      </c>
      <c r="U20" s="25"/>
      <c r="V20" s="44" t="str">
        <f t="shared" si="58"/>
        <v/>
      </c>
      <c r="W20" s="47"/>
      <c r="X20" s="22" t="str">
        <f t="shared" si="59"/>
        <v/>
      </c>
      <c r="Y20" s="23"/>
      <c r="Z20" s="44" t="str">
        <f t="shared" si="60"/>
        <v/>
      </c>
      <c r="AA20" s="25"/>
      <c r="AB20" s="44" t="str">
        <f t="shared" si="61"/>
        <v/>
      </c>
      <c r="AC20" s="47"/>
      <c r="AD20" s="22" t="str">
        <f t="shared" si="62"/>
        <v/>
      </c>
      <c r="AE20" s="23"/>
      <c r="AF20" s="44" t="str">
        <f t="shared" si="63"/>
        <v/>
      </c>
      <c r="AG20" s="25"/>
      <c r="AH20" s="44" t="str">
        <f t="shared" si="64"/>
        <v/>
      </c>
      <c r="AI20" s="20">
        <v>0.0</v>
      </c>
      <c r="AJ20" s="5"/>
      <c r="AK20" s="22" t="str">
        <f t="shared" si="65"/>
        <v/>
      </c>
      <c r="AL20" s="22"/>
      <c r="AM20" s="23"/>
      <c r="AN20" s="44" t="str">
        <f t="shared" si="66"/>
        <v/>
      </c>
      <c r="AO20" s="25"/>
      <c r="AP20" s="44" t="str">
        <f t="shared" si="67"/>
        <v/>
      </c>
      <c r="AQ20" s="29" t="str">
        <f t="shared" si="68"/>
        <v/>
      </c>
      <c r="AR20" s="29">
        <f t="shared" si="69"/>
        <v>0</v>
      </c>
      <c r="AS20" s="29">
        <f t="shared" si="70"/>
        <v>0</v>
      </c>
      <c r="AT20" s="22" t="str">
        <f t="shared" si="71"/>
        <v/>
      </c>
      <c r="AU20" s="23"/>
      <c r="AV20" s="44" t="str">
        <f t="shared" si="72"/>
        <v/>
      </c>
      <c r="AW20" s="25"/>
      <c r="AX20" s="44" t="str">
        <f t="shared" si="73"/>
        <v/>
      </c>
      <c r="AY20" s="47"/>
      <c r="AZ20" s="22" t="str">
        <f t="shared" si="74"/>
        <v/>
      </c>
      <c r="BA20" s="23"/>
      <c r="BB20" s="44" t="str">
        <f t="shared" si="75"/>
        <v/>
      </c>
      <c r="BC20" s="25"/>
      <c r="BD20" s="44" t="str">
        <f t="shared" si="76"/>
        <v/>
      </c>
      <c r="BE20" s="47"/>
      <c r="BF20" s="22" t="str">
        <f t="shared" si="77"/>
        <v/>
      </c>
      <c r="BG20" s="23"/>
      <c r="BH20" s="44" t="str">
        <f t="shared" si="78"/>
        <v/>
      </c>
      <c r="BI20" s="25"/>
      <c r="BJ20" s="44" t="str">
        <f t="shared" si="79"/>
        <v/>
      </c>
      <c r="BK20" s="20">
        <v>0.0</v>
      </c>
      <c r="BL20" s="5"/>
      <c r="BM20" s="22" t="str">
        <f t="shared" si="80"/>
        <v/>
      </c>
      <c r="BN20" s="23"/>
      <c r="BO20" s="44" t="str">
        <f t="shared" si="81"/>
        <v/>
      </c>
      <c r="BP20" s="25"/>
      <c r="BQ20" s="44" t="str">
        <f t="shared" si="82"/>
        <v/>
      </c>
      <c r="BR20" s="29" t="str">
        <f t="shared" si="83"/>
        <v/>
      </c>
      <c r="BS20" s="29">
        <f t="shared" si="84"/>
        <v>0</v>
      </c>
      <c r="BT20" s="29">
        <f t="shared" si="85"/>
        <v>0</v>
      </c>
      <c r="BU20" s="22" t="str">
        <f t="shared" si="86"/>
        <v/>
      </c>
      <c r="BV20" s="23"/>
      <c r="BW20" s="44" t="str">
        <f t="shared" si="87"/>
        <v/>
      </c>
      <c r="BX20" s="25"/>
      <c r="BY20" s="44" t="str">
        <f t="shared" si="88"/>
        <v/>
      </c>
      <c r="BZ20" s="47"/>
      <c r="CA20" s="22" t="str">
        <f t="shared" si="89"/>
        <v/>
      </c>
      <c r="CB20" s="23"/>
      <c r="CC20" s="44" t="str">
        <f t="shared" si="90"/>
        <v/>
      </c>
      <c r="CD20" s="25"/>
      <c r="CE20" s="44" t="str">
        <f t="shared" si="91"/>
        <v/>
      </c>
      <c r="CF20" s="47"/>
      <c r="CG20" s="22" t="str">
        <f t="shared" si="92"/>
        <v/>
      </c>
      <c r="CH20" s="23"/>
      <c r="CI20" s="44" t="str">
        <f t="shared" si="93"/>
        <v/>
      </c>
      <c r="CJ20" s="25"/>
      <c r="CK20" s="44" t="str">
        <f t="shared" si="94"/>
        <v/>
      </c>
      <c r="CL20" s="20">
        <v>0.0</v>
      </c>
      <c r="CM20" s="5"/>
      <c r="CN20" s="5"/>
      <c r="CO20" s="5"/>
    </row>
    <row r="21">
      <c r="A21" s="20" t="str">
        <f t="shared" si="49"/>
        <v/>
      </c>
      <c r="B21" s="21"/>
      <c r="C21" s="22" t="str">
        <f>IFERROR(__xludf.DUMMYFUNCTION("IFERROR(
IF(A21&lt;&gt;"""",
""EVJEN00""&amp;A21,
IF(B21&lt;&gt;"""",
INDEX(FILTER($F$4:F21,$A$4:A21&lt;&gt;""""),COUNTA(FILTER($F$4:F21,$A$4:A21&lt;&gt;"""")))&amp;B21,
IF(C21&lt;&gt;"""",
INDEX(FILTER($F$4:F21,$B$4:B21&lt;&gt;""""),COUNTA(FILTER($F$4:F21,$B$4:B21&lt;&gt;"""")))&amp;C21,
""""))),
"""")"),"")</f>
        <v/>
      </c>
      <c r="D21" s="22"/>
      <c r="E21" s="20"/>
      <c r="F21" s="20"/>
      <c r="G21" s="20"/>
      <c r="H21" s="55"/>
      <c r="I21" s="5"/>
      <c r="J21" s="22" t="str">
        <f t="shared" si="50"/>
        <v/>
      </c>
      <c r="K21" s="23"/>
      <c r="L21" s="44" t="str">
        <f t="shared" si="51"/>
        <v/>
      </c>
      <c r="M21" s="25"/>
      <c r="N21" s="44" t="str">
        <f t="shared" si="52"/>
        <v/>
      </c>
      <c r="O21" s="29" t="str">
        <f t="shared" si="53"/>
        <v/>
      </c>
      <c r="P21" s="29">
        <f t="shared" si="54"/>
        <v>0</v>
      </c>
      <c r="Q21" s="29">
        <f t="shared" si="55"/>
        <v>0</v>
      </c>
      <c r="R21" s="22" t="str">
        <f t="shared" si="56"/>
        <v/>
      </c>
      <c r="S21" s="23"/>
      <c r="T21" s="44" t="str">
        <f t="shared" si="57"/>
        <v/>
      </c>
      <c r="U21" s="25"/>
      <c r="V21" s="44" t="str">
        <f t="shared" si="58"/>
        <v/>
      </c>
      <c r="W21" s="47"/>
      <c r="X21" s="22" t="str">
        <f t="shared" si="59"/>
        <v/>
      </c>
      <c r="Y21" s="23"/>
      <c r="Z21" s="44" t="str">
        <f t="shared" si="60"/>
        <v/>
      </c>
      <c r="AA21" s="25"/>
      <c r="AB21" s="44" t="str">
        <f t="shared" si="61"/>
        <v/>
      </c>
      <c r="AC21" s="47"/>
      <c r="AD21" s="22" t="str">
        <f t="shared" si="62"/>
        <v/>
      </c>
      <c r="AE21" s="23"/>
      <c r="AF21" s="44" t="str">
        <f t="shared" si="63"/>
        <v/>
      </c>
      <c r="AG21" s="25"/>
      <c r="AH21" s="44" t="str">
        <f t="shared" si="64"/>
        <v/>
      </c>
      <c r="AI21" s="20">
        <v>0.0</v>
      </c>
      <c r="AJ21" s="5"/>
      <c r="AK21" s="22" t="str">
        <f t="shared" si="65"/>
        <v/>
      </c>
      <c r="AL21" s="22"/>
      <c r="AM21" s="23"/>
      <c r="AN21" s="44" t="str">
        <f t="shared" si="66"/>
        <v/>
      </c>
      <c r="AO21" s="25"/>
      <c r="AP21" s="44" t="str">
        <f t="shared" si="67"/>
        <v/>
      </c>
      <c r="AQ21" s="29" t="str">
        <f t="shared" si="68"/>
        <v/>
      </c>
      <c r="AR21" s="29">
        <f t="shared" si="69"/>
        <v>0</v>
      </c>
      <c r="AS21" s="29">
        <f t="shared" si="70"/>
        <v>0</v>
      </c>
      <c r="AT21" s="22" t="str">
        <f t="shared" si="71"/>
        <v/>
      </c>
      <c r="AU21" s="23"/>
      <c r="AV21" s="44" t="str">
        <f t="shared" si="72"/>
        <v/>
      </c>
      <c r="AW21" s="25"/>
      <c r="AX21" s="44" t="str">
        <f t="shared" si="73"/>
        <v/>
      </c>
      <c r="AY21" s="47"/>
      <c r="AZ21" s="22" t="str">
        <f t="shared" si="74"/>
        <v/>
      </c>
      <c r="BA21" s="23"/>
      <c r="BB21" s="44" t="str">
        <f t="shared" si="75"/>
        <v/>
      </c>
      <c r="BC21" s="25"/>
      <c r="BD21" s="44" t="str">
        <f t="shared" si="76"/>
        <v/>
      </c>
      <c r="BE21" s="47"/>
      <c r="BF21" s="22" t="str">
        <f t="shared" si="77"/>
        <v/>
      </c>
      <c r="BG21" s="23"/>
      <c r="BH21" s="44" t="str">
        <f t="shared" si="78"/>
        <v/>
      </c>
      <c r="BI21" s="25"/>
      <c r="BJ21" s="44" t="str">
        <f t="shared" si="79"/>
        <v/>
      </c>
      <c r="BK21" s="20">
        <v>0.0</v>
      </c>
      <c r="BL21" s="5"/>
      <c r="BM21" s="22" t="str">
        <f t="shared" si="80"/>
        <v/>
      </c>
      <c r="BN21" s="23"/>
      <c r="BO21" s="44" t="str">
        <f t="shared" si="81"/>
        <v/>
      </c>
      <c r="BP21" s="25"/>
      <c r="BQ21" s="44" t="str">
        <f t="shared" si="82"/>
        <v/>
      </c>
      <c r="BR21" s="29" t="str">
        <f t="shared" si="83"/>
        <v/>
      </c>
      <c r="BS21" s="29">
        <f t="shared" si="84"/>
        <v>0</v>
      </c>
      <c r="BT21" s="29">
        <f t="shared" si="85"/>
        <v>0</v>
      </c>
      <c r="BU21" s="22" t="str">
        <f t="shared" si="86"/>
        <v/>
      </c>
      <c r="BV21" s="23"/>
      <c r="BW21" s="44" t="str">
        <f t="shared" si="87"/>
        <v/>
      </c>
      <c r="BX21" s="25"/>
      <c r="BY21" s="44" t="str">
        <f t="shared" si="88"/>
        <v/>
      </c>
      <c r="BZ21" s="47"/>
      <c r="CA21" s="22" t="str">
        <f t="shared" si="89"/>
        <v/>
      </c>
      <c r="CB21" s="23"/>
      <c r="CC21" s="44" t="str">
        <f t="shared" si="90"/>
        <v/>
      </c>
      <c r="CD21" s="25"/>
      <c r="CE21" s="44" t="str">
        <f t="shared" si="91"/>
        <v/>
      </c>
      <c r="CF21" s="47"/>
      <c r="CG21" s="22" t="str">
        <f t="shared" si="92"/>
        <v/>
      </c>
      <c r="CH21" s="23"/>
      <c r="CI21" s="44" t="str">
        <f t="shared" si="93"/>
        <v/>
      </c>
      <c r="CJ21" s="25"/>
      <c r="CK21" s="44" t="str">
        <f t="shared" si="94"/>
        <v/>
      </c>
      <c r="CL21" s="20">
        <v>0.0</v>
      </c>
      <c r="CM21" s="5"/>
      <c r="CN21" s="5"/>
      <c r="CO21" s="5"/>
    </row>
    <row r="22">
      <c r="A22" s="20" t="str">
        <f t="shared" si="49"/>
        <v/>
      </c>
      <c r="B22" s="21"/>
      <c r="C22" s="22" t="str">
        <f>IFERROR(__xludf.DUMMYFUNCTION("IFERROR(
IF(A22&lt;&gt;"""",
""EVJEN00""&amp;A22,
IF(B22&lt;&gt;"""",
INDEX(FILTER($F$4:F22,$A$4:A22&lt;&gt;""""),COUNTA(FILTER($F$4:F22,$A$4:A22&lt;&gt;"""")))&amp;B22,
IF(C22&lt;&gt;"""",
INDEX(FILTER($F$4:F22,$B$4:B22&lt;&gt;""""),COUNTA(FILTER($F$4:F22,$B$4:B22&lt;&gt;"""")))&amp;C22,
""""))),
"""")"),"")</f>
        <v/>
      </c>
      <c r="D22" s="22"/>
      <c r="E22" s="20"/>
      <c r="F22" s="20"/>
      <c r="G22" s="20"/>
      <c r="H22" s="55"/>
      <c r="I22" s="5"/>
      <c r="J22" s="22" t="str">
        <f t="shared" si="50"/>
        <v/>
      </c>
      <c r="K22" s="23"/>
      <c r="L22" s="44" t="str">
        <f t="shared" si="51"/>
        <v/>
      </c>
      <c r="M22" s="25"/>
      <c r="N22" s="44" t="str">
        <f t="shared" si="52"/>
        <v/>
      </c>
      <c r="O22" s="29" t="str">
        <f t="shared" si="53"/>
        <v/>
      </c>
      <c r="P22" s="29">
        <f t="shared" si="54"/>
        <v>0</v>
      </c>
      <c r="Q22" s="29">
        <f t="shared" si="55"/>
        <v>0</v>
      </c>
      <c r="R22" s="22" t="str">
        <f t="shared" si="56"/>
        <v/>
      </c>
      <c r="S22" s="23"/>
      <c r="T22" s="44" t="str">
        <f t="shared" si="57"/>
        <v/>
      </c>
      <c r="U22" s="25"/>
      <c r="V22" s="44" t="str">
        <f t="shared" si="58"/>
        <v/>
      </c>
      <c r="W22" s="47"/>
      <c r="X22" s="22" t="str">
        <f t="shared" si="59"/>
        <v/>
      </c>
      <c r="Y22" s="23"/>
      <c r="Z22" s="44" t="str">
        <f t="shared" si="60"/>
        <v/>
      </c>
      <c r="AA22" s="25"/>
      <c r="AB22" s="44" t="str">
        <f t="shared" si="61"/>
        <v/>
      </c>
      <c r="AC22" s="47"/>
      <c r="AD22" s="22" t="str">
        <f t="shared" si="62"/>
        <v/>
      </c>
      <c r="AE22" s="23"/>
      <c r="AF22" s="44" t="str">
        <f t="shared" si="63"/>
        <v/>
      </c>
      <c r="AG22" s="25"/>
      <c r="AH22" s="44" t="str">
        <f t="shared" si="64"/>
        <v/>
      </c>
      <c r="AI22" s="20">
        <v>0.0</v>
      </c>
      <c r="AJ22" s="5"/>
      <c r="AK22" s="22" t="str">
        <f t="shared" si="65"/>
        <v/>
      </c>
      <c r="AL22" s="22"/>
      <c r="AM22" s="23"/>
      <c r="AN22" s="44" t="str">
        <f t="shared" si="66"/>
        <v/>
      </c>
      <c r="AO22" s="25"/>
      <c r="AP22" s="44" t="str">
        <f t="shared" si="67"/>
        <v/>
      </c>
      <c r="AQ22" s="29" t="str">
        <f t="shared" si="68"/>
        <v/>
      </c>
      <c r="AR22" s="29">
        <f t="shared" si="69"/>
        <v>0</v>
      </c>
      <c r="AS22" s="29">
        <f t="shared" si="70"/>
        <v>0</v>
      </c>
      <c r="AT22" s="22" t="str">
        <f t="shared" si="71"/>
        <v/>
      </c>
      <c r="AU22" s="23"/>
      <c r="AV22" s="44" t="str">
        <f t="shared" si="72"/>
        <v/>
      </c>
      <c r="AW22" s="25"/>
      <c r="AX22" s="44" t="str">
        <f t="shared" si="73"/>
        <v/>
      </c>
      <c r="AY22" s="47"/>
      <c r="AZ22" s="22" t="str">
        <f t="shared" si="74"/>
        <v/>
      </c>
      <c r="BA22" s="23"/>
      <c r="BB22" s="44" t="str">
        <f t="shared" si="75"/>
        <v/>
      </c>
      <c r="BC22" s="25"/>
      <c r="BD22" s="44" t="str">
        <f t="shared" si="76"/>
        <v/>
      </c>
      <c r="BE22" s="47"/>
      <c r="BF22" s="22" t="str">
        <f t="shared" si="77"/>
        <v/>
      </c>
      <c r="BG22" s="23"/>
      <c r="BH22" s="44" t="str">
        <f t="shared" si="78"/>
        <v/>
      </c>
      <c r="BI22" s="25"/>
      <c r="BJ22" s="44" t="str">
        <f t="shared" si="79"/>
        <v/>
      </c>
      <c r="BK22" s="20">
        <v>0.0</v>
      </c>
      <c r="BL22" s="5"/>
      <c r="BM22" s="22" t="str">
        <f t="shared" si="80"/>
        <v/>
      </c>
      <c r="BN22" s="23"/>
      <c r="BO22" s="44" t="str">
        <f t="shared" si="81"/>
        <v/>
      </c>
      <c r="BP22" s="25"/>
      <c r="BQ22" s="44" t="str">
        <f t="shared" si="82"/>
        <v/>
      </c>
      <c r="BR22" s="29" t="str">
        <f t="shared" si="83"/>
        <v/>
      </c>
      <c r="BS22" s="29">
        <f t="shared" si="84"/>
        <v>0</v>
      </c>
      <c r="BT22" s="29">
        <f t="shared" si="85"/>
        <v>0</v>
      </c>
      <c r="BU22" s="22" t="str">
        <f t="shared" si="86"/>
        <v/>
      </c>
      <c r="BV22" s="23"/>
      <c r="BW22" s="44" t="str">
        <f t="shared" si="87"/>
        <v/>
      </c>
      <c r="BX22" s="25"/>
      <c r="BY22" s="44" t="str">
        <f t="shared" si="88"/>
        <v/>
      </c>
      <c r="BZ22" s="47"/>
      <c r="CA22" s="22" t="str">
        <f t="shared" si="89"/>
        <v/>
      </c>
      <c r="CB22" s="23"/>
      <c r="CC22" s="44" t="str">
        <f t="shared" si="90"/>
        <v/>
      </c>
      <c r="CD22" s="25"/>
      <c r="CE22" s="44" t="str">
        <f t="shared" si="91"/>
        <v/>
      </c>
      <c r="CF22" s="47"/>
      <c r="CG22" s="22" t="str">
        <f t="shared" si="92"/>
        <v/>
      </c>
      <c r="CH22" s="23"/>
      <c r="CI22" s="44" t="str">
        <f t="shared" si="93"/>
        <v/>
      </c>
      <c r="CJ22" s="25"/>
      <c r="CK22" s="44" t="str">
        <f t="shared" si="94"/>
        <v/>
      </c>
      <c r="CL22" s="20">
        <v>0.0</v>
      </c>
      <c r="CM22" s="5"/>
      <c r="CN22" s="5"/>
      <c r="CO22" s="5"/>
    </row>
    <row r="23">
      <c r="A23" s="20" t="str">
        <f t="shared" si="49"/>
        <v/>
      </c>
      <c r="B23" s="21"/>
      <c r="C23" s="22" t="str">
        <f>IFERROR(__xludf.DUMMYFUNCTION("IFERROR(
IF(A23&lt;&gt;"""",
""EVJEN00""&amp;A23,
IF(B23&lt;&gt;"""",
INDEX(FILTER($F$4:F23,$A$4:A23&lt;&gt;""""),COUNTA(FILTER($F$4:F23,$A$4:A23&lt;&gt;"""")))&amp;B23,
IF(C23&lt;&gt;"""",
INDEX(FILTER($F$4:F23,$B$4:B23&lt;&gt;""""),COUNTA(FILTER($F$4:F23,$B$4:B23&lt;&gt;"""")))&amp;C23,
""""))),
"""")"),"")</f>
        <v/>
      </c>
      <c r="D23" s="22"/>
      <c r="E23" s="20"/>
      <c r="F23" s="20"/>
      <c r="G23" s="20"/>
      <c r="H23" s="55"/>
      <c r="I23" s="5"/>
      <c r="J23" s="22" t="str">
        <f t="shared" si="50"/>
        <v/>
      </c>
      <c r="K23" s="23"/>
      <c r="L23" s="44" t="str">
        <f t="shared" si="51"/>
        <v/>
      </c>
      <c r="M23" s="25"/>
      <c r="N23" s="44" t="str">
        <f t="shared" si="52"/>
        <v/>
      </c>
      <c r="O23" s="29" t="str">
        <f t="shared" si="53"/>
        <v/>
      </c>
      <c r="P23" s="29">
        <f t="shared" si="54"/>
        <v>0</v>
      </c>
      <c r="Q23" s="29">
        <f t="shared" si="55"/>
        <v>0</v>
      </c>
      <c r="R23" s="22" t="str">
        <f t="shared" si="56"/>
        <v/>
      </c>
      <c r="S23" s="23"/>
      <c r="T23" s="44" t="str">
        <f t="shared" si="57"/>
        <v/>
      </c>
      <c r="U23" s="25"/>
      <c r="V23" s="44" t="str">
        <f t="shared" si="58"/>
        <v/>
      </c>
      <c r="W23" s="47"/>
      <c r="X23" s="22" t="str">
        <f t="shared" si="59"/>
        <v/>
      </c>
      <c r="Y23" s="23"/>
      <c r="Z23" s="44" t="str">
        <f t="shared" si="60"/>
        <v/>
      </c>
      <c r="AA23" s="25"/>
      <c r="AB23" s="44" t="str">
        <f t="shared" si="61"/>
        <v/>
      </c>
      <c r="AC23" s="47"/>
      <c r="AD23" s="22" t="str">
        <f t="shared" si="62"/>
        <v/>
      </c>
      <c r="AE23" s="23"/>
      <c r="AF23" s="44" t="str">
        <f t="shared" si="63"/>
        <v/>
      </c>
      <c r="AG23" s="25"/>
      <c r="AH23" s="44" t="str">
        <f t="shared" si="64"/>
        <v/>
      </c>
      <c r="AI23" s="20">
        <v>0.0</v>
      </c>
      <c r="AJ23" s="5"/>
      <c r="AK23" s="22" t="str">
        <f t="shared" si="65"/>
        <v/>
      </c>
      <c r="AL23" s="22"/>
      <c r="AM23" s="23"/>
      <c r="AN23" s="44" t="str">
        <f t="shared" si="66"/>
        <v/>
      </c>
      <c r="AO23" s="25"/>
      <c r="AP23" s="44" t="str">
        <f t="shared" si="67"/>
        <v/>
      </c>
      <c r="AQ23" s="29" t="str">
        <f t="shared" si="68"/>
        <v/>
      </c>
      <c r="AR23" s="29">
        <f t="shared" si="69"/>
        <v>0</v>
      </c>
      <c r="AS23" s="29">
        <f t="shared" si="70"/>
        <v>0</v>
      </c>
      <c r="AT23" s="22" t="str">
        <f t="shared" si="71"/>
        <v/>
      </c>
      <c r="AU23" s="23"/>
      <c r="AV23" s="44" t="str">
        <f t="shared" si="72"/>
        <v/>
      </c>
      <c r="AW23" s="25"/>
      <c r="AX23" s="44" t="str">
        <f t="shared" si="73"/>
        <v/>
      </c>
      <c r="AY23" s="47"/>
      <c r="AZ23" s="22" t="str">
        <f t="shared" si="74"/>
        <v/>
      </c>
      <c r="BA23" s="23"/>
      <c r="BB23" s="44" t="str">
        <f t="shared" si="75"/>
        <v/>
      </c>
      <c r="BC23" s="25"/>
      <c r="BD23" s="44" t="str">
        <f t="shared" si="76"/>
        <v/>
      </c>
      <c r="BE23" s="47"/>
      <c r="BF23" s="22" t="str">
        <f t="shared" si="77"/>
        <v/>
      </c>
      <c r="BG23" s="23"/>
      <c r="BH23" s="44" t="str">
        <f t="shared" si="78"/>
        <v/>
      </c>
      <c r="BI23" s="25"/>
      <c r="BJ23" s="44" t="str">
        <f t="shared" si="79"/>
        <v/>
      </c>
      <c r="BK23" s="20">
        <v>0.0</v>
      </c>
      <c r="BL23" s="5"/>
      <c r="BM23" s="22" t="str">
        <f t="shared" si="80"/>
        <v/>
      </c>
      <c r="BN23" s="23"/>
      <c r="BO23" s="44" t="str">
        <f t="shared" si="81"/>
        <v/>
      </c>
      <c r="BP23" s="25"/>
      <c r="BQ23" s="44" t="str">
        <f t="shared" si="82"/>
        <v/>
      </c>
      <c r="BR23" s="29" t="str">
        <f t="shared" si="83"/>
        <v/>
      </c>
      <c r="BS23" s="29">
        <f t="shared" si="84"/>
        <v>0</v>
      </c>
      <c r="BT23" s="29">
        <f t="shared" si="85"/>
        <v>0</v>
      </c>
      <c r="BU23" s="22" t="str">
        <f t="shared" si="86"/>
        <v/>
      </c>
      <c r="BV23" s="23"/>
      <c r="BW23" s="44" t="str">
        <f t="shared" si="87"/>
        <v/>
      </c>
      <c r="BX23" s="25"/>
      <c r="BY23" s="44" t="str">
        <f t="shared" si="88"/>
        <v/>
      </c>
      <c r="BZ23" s="47"/>
      <c r="CA23" s="22" t="str">
        <f t="shared" si="89"/>
        <v/>
      </c>
      <c r="CB23" s="23"/>
      <c r="CC23" s="44" t="str">
        <f t="shared" si="90"/>
        <v/>
      </c>
      <c r="CD23" s="25"/>
      <c r="CE23" s="44" t="str">
        <f t="shared" si="91"/>
        <v/>
      </c>
      <c r="CF23" s="47"/>
      <c r="CG23" s="22" t="str">
        <f t="shared" si="92"/>
        <v/>
      </c>
      <c r="CH23" s="23"/>
      <c r="CI23" s="44" t="str">
        <f t="shared" si="93"/>
        <v/>
      </c>
      <c r="CJ23" s="25"/>
      <c r="CK23" s="44" t="str">
        <f t="shared" si="94"/>
        <v/>
      </c>
      <c r="CL23" s="20">
        <v>0.0</v>
      </c>
      <c r="CM23" s="5"/>
      <c r="CN23" s="5"/>
      <c r="CO23" s="5"/>
    </row>
    <row r="24">
      <c r="A24" s="20" t="str">
        <f t="shared" si="49"/>
        <v/>
      </c>
      <c r="B24" s="21"/>
      <c r="C24" s="22" t="str">
        <f>IFERROR(__xludf.DUMMYFUNCTION("IFERROR(
IF(A24&lt;&gt;"""",
""EVJEN00""&amp;A24,
IF(B24&lt;&gt;"""",
INDEX(FILTER($F$4:F24,$A$4:A24&lt;&gt;""""),COUNTA(FILTER($F$4:F24,$A$4:A24&lt;&gt;"""")))&amp;B24,
IF(C24&lt;&gt;"""",
INDEX(FILTER($F$4:F24,$B$4:B24&lt;&gt;""""),COUNTA(FILTER($F$4:F24,$B$4:B24&lt;&gt;"""")))&amp;C24,
""""))),
"""")"),"")</f>
        <v/>
      </c>
      <c r="D24" s="22"/>
      <c r="E24" s="20"/>
      <c r="F24" s="20"/>
      <c r="G24" s="20"/>
      <c r="H24" s="55"/>
      <c r="I24" s="5"/>
      <c r="J24" s="22" t="str">
        <f t="shared" si="50"/>
        <v/>
      </c>
      <c r="K24" s="23"/>
      <c r="L24" s="44" t="str">
        <f t="shared" si="51"/>
        <v/>
      </c>
      <c r="M24" s="25"/>
      <c r="N24" s="44" t="str">
        <f t="shared" si="52"/>
        <v/>
      </c>
      <c r="O24" s="29" t="str">
        <f t="shared" si="53"/>
        <v/>
      </c>
      <c r="P24" s="29">
        <f t="shared" si="54"/>
        <v>0</v>
      </c>
      <c r="Q24" s="29">
        <f t="shared" si="55"/>
        <v>0</v>
      </c>
      <c r="R24" s="22" t="str">
        <f t="shared" si="56"/>
        <v/>
      </c>
      <c r="S24" s="23"/>
      <c r="T24" s="44" t="str">
        <f t="shared" si="57"/>
        <v/>
      </c>
      <c r="U24" s="25"/>
      <c r="V24" s="44" t="str">
        <f t="shared" si="58"/>
        <v/>
      </c>
      <c r="W24" s="47"/>
      <c r="X24" s="22" t="str">
        <f t="shared" si="59"/>
        <v/>
      </c>
      <c r="Y24" s="23"/>
      <c r="Z24" s="44" t="str">
        <f t="shared" si="60"/>
        <v/>
      </c>
      <c r="AA24" s="25"/>
      <c r="AB24" s="44" t="str">
        <f t="shared" si="61"/>
        <v/>
      </c>
      <c r="AC24" s="47"/>
      <c r="AD24" s="22" t="str">
        <f t="shared" si="62"/>
        <v/>
      </c>
      <c r="AE24" s="23"/>
      <c r="AF24" s="44" t="str">
        <f t="shared" si="63"/>
        <v/>
      </c>
      <c r="AG24" s="25"/>
      <c r="AH24" s="44" t="str">
        <f t="shared" si="64"/>
        <v/>
      </c>
      <c r="AI24" s="20">
        <v>0.0</v>
      </c>
      <c r="AJ24" s="5"/>
      <c r="AK24" s="22" t="str">
        <f t="shared" si="65"/>
        <v/>
      </c>
      <c r="AL24" s="20"/>
      <c r="AM24" s="23"/>
      <c r="AN24" s="44" t="str">
        <f t="shared" si="66"/>
        <v/>
      </c>
      <c r="AO24" s="25"/>
      <c r="AP24" s="44" t="str">
        <f t="shared" si="67"/>
        <v/>
      </c>
      <c r="AQ24" s="29" t="str">
        <f t="shared" si="68"/>
        <v/>
      </c>
      <c r="AR24" s="29">
        <f t="shared" si="69"/>
        <v>0</v>
      </c>
      <c r="AS24" s="29">
        <f t="shared" si="70"/>
        <v>0</v>
      </c>
      <c r="AT24" s="22" t="str">
        <f t="shared" si="71"/>
        <v/>
      </c>
      <c r="AU24" s="23"/>
      <c r="AV24" s="44" t="str">
        <f t="shared" si="72"/>
        <v/>
      </c>
      <c r="AW24" s="25"/>
      <c r="AX24" s="44" t="str">
        <f t="shared" si="73"/>
        <v/>
      </c>
      <c r="AY24" s="47"/>
      <c r="AZ24" s="22" t="str">
        <f t="shared" si="74"/>
        <v/>
      </c>
      <c r="BA24" s="23"/>
      <c r="BB24" s="44" t="str">
        <f t="shared" si="75"/>
        <v/>
      </c>
      <c r="BC24" s="25"/>
      <c r="BD24" s="44" t="str">
        <f t="shared" si="76"/>
        <v/>
      </c>
      <c r="BE24" s="47"/>
      <c r="BF24" s="22" t="str">
        <f t="shared" si="77"/>
        <v/>
      </c>
      <c r="BG24" s="23"/>
      <c r="BH24" s="44" t="str">
        <f t="shared" si="78"/>
        <v/>
      </c>
      <c r="BI24" s="25"/>
      <c r="BJ24" s="44" t="str">
        <f t="shared" si="79"/>
        <v/>
      </c>
      <c r="BK24" s="20">
        <v>0.0</v>
      </c>
      <c r="BL24" s="5"/>
      <c r="BM24" s="22" t="str">
        <f t="shared" si="80"/>
        <v/>
      </c>
      <c r="BN24" s="23"/>
      <c r="BO24" s="44" t="str">
        <f t="shared" si="81"/>
        <v/>
      </c>
      <c r="BP24" s="25"/>
      <c r="BQ24" s="44" t="str">
        <f t="shared" si="82"/>
        <v/>
      </c>
      <c r="BR24" s="29" t="str">
        <f t="shared" si="83"/>
        <v/>
      </c>
      <c r="BS24" s="29">
        <f t="shared" si="84"/>
        <v>0</v>
      </c>
      <c r="BT24" s="29">
        <f t="shared" si="85"/>
        <v>0</v>
      </c>
      <c r="BU24" s="22" t="str">
        <f t="shared" si="86"/>
        <v/>
      </c>
      <c r="BV24" s="23"/>
      <c r="BW24" s="44" t="str">
        <f t="shared" si="87"/>
        <v/>
      </c>
      <c r="BX24" s="25"/>
      <c r="BY24" s="44" t="str">
        <f t="shared" si="88"/>
        <v/>
      </c>
      <c r="BZ24" s="47"/>
      <c r="CA24" s="22" t="str">
        <f t="shared" si="89"/>
        <v/>
      </c>
      <c r="CB24" s="23"/>
      <c r="CC24" s="44" t="str">
        <f t="shared" si="90"/>
        <v/>
      </c>
      <c r="CD24" s="25"/>
      <c r="CE24" s="44" t="str">
        <f t="shared" si="91"/>
        <v/>
      </c>
      <c r="CF24" s="47"/>
      <c r="CG24" s="22" t="str">
        <f t="shared" si="92"/>
        <v/>
      </c>
      <c r="CH24" s="23"/>
      <c r="CI24" s="44" t="str">
        <f t="shared" si="93"/>
        <v/>
      </c>
      <c r="CJ24" s="25"/>
      <c r="CK24" s="44" t="str">
        <f t="shared" si="94"/>
        <v/>
      </c>
      <c r="CL24" s="20">
        <v>0.0</v>
      </c>
      <c r="CM24" s="5"/>
      <c r="CN24" s="5"/>
      <c r="CO24" s="5"/>
    </row>
    <row r="25">
      <c r="A25" s="20" t="str">
        <f t="shared" si="49"/>
        <v/>
      </c>
      <c r="B25" s="21"/>
      <c r="C25" s="22" t="str">
        <f>IFERROR(__xludf.DUMMYFUNCTION("IFERROR(
IF(A25&lt;&gt;"""",
""EVJEN00""&amp;A25,
IF(B25&lt;&gt;"""",
INDEX(FILTER($F$4:F25,$A$4:A25&lt;&gt;""""),COUNTA(FILTER($F$4:F25,$A$4:A25&lt;&gt;"""")))&amp;B25,
IF(C25&lt;&gt;"""",
INDEX(FILTER($F$4:F25,$B$4:B25&lt;&gt;""""),COUNTA(FILTER($F$4:F25,$B$4:B25&lt;&gt;"""")))&amp;C25,
""""))),
"""")"),"")</f>
        <v/>
      </c>
      <c r="D25" s="22"/>
      <c r="E25" s="20"/>
      <c r="F25" s="20"/>
      <c r="G25" s="20"/>
      <c r="H25" s="55"/>
      <c r="I25" s="5"/>
      <c r="J25" s="22" t="str">
        <f t="shared" si="50"/>
        <v/>
      </c>
      <c r="K25" s="23"/>
      <c r="L25" s="44" t="str">
        <f t="shared" si="51"/>
        <v/>
      </c>
      <c r="M25" s="25"/>
      <c r="N25" s="44" t="str">
        <f t="shared" si="52"/>
        <v/>
      </c>
      <c r="O25" s="29" t="str">
        <f t="shared" si="53"/>
        <v/>
      </c>
      <c r="P25" s="29">
        <f t="shared" si="54"/>
        <v>0</v>
      </c>
      <c r="Q25" s="29">
        <f t="shared" si="55"/>
        <v>0</v>
      </c>
      <c r="R25" s="22" t="str">
        <f t="shared" si="56"/>
        <v/>
      </c>
      <c r="S25" s="23"/>
      <c r="T25" s="44" t="str">
        <f t="shared" si="57"/>
        <v/>
      </c>
      <c r="U25" s="25"/>
      <c r="V25" s="44" t="str">
        <f t="shared" si="58"/>
        <v/>
      </c>
      <c r="W25" s="47"/>
      <c r="X25" s="22" t="str">
        <f t="shared" si="59"/>
        <v/>
      </c>
      <c r="Y25" s="23"/>
      <c r="Z25" s="44" t="str">
        <f t="shared" si="60"/>
        <v/>
      </c>
      <c r="AA25" s="25"/>
      <c r="AB25" s="44" t="str">
        <f t="shared" si="61"/>
        <v/>
      </c>
      <c r="AC25" s="47"/>
      <c r="AD25" s="22" t="str">
        <f t="shared" si="62"/>
        <v/>
      </c>
      <c r="AE25" s="23"/>
      <c r="AF25" s="44" t="str">
        <f t="shared" si="63"/>
        <v/>
      </c>
      <c r="AG25" s="25"/>
      <c r="AH25" s="44" t="str">
        <f t="shared" si="64"/>
        <v/>
      </c>
      <c r="AI25" s="20">
        <v>0.0</v>
      </c>
      <c r="AJ25" s="5"/>
      <c r="AK25" s="22" t="str">
        <f t="shared" si="65"/>
        <v/>
      </c>
      <c r="AL25" s="22"/>
      <c r="AM25" s="23"/>
      <c r="AN25" s="44" t="str">
        <f t="shared" si="66"/>
        <v/>
      </c>
      <c r="AO25" s="25"/>
      <c r="AP25" s="44" t="str">
        <f t="shared" si="67"/>
        <v/>
      </c>
      <c r="AQ25" s="29" t="str">
        <f t="shared" si="68"/>
        <v/>
      </c>
      <c r="AR25" s="29">
        <f t="shared" si="69"/>
        <v>0</v>
      </c>
      <c r="AS25" s="29">
        <f t="shared" si="70"/>
        <v>0</v>
      </c>
      <c r="AT25" s="22" t="str">
        <f t="shared" si="71"/>
        <v/>
      </c>
      <c r="AU25" s="23"/>
      <c r="AV25" s="44" t="str">
        <f t="shared" si="72"/>
        <v/>
      </c>
      <c r="AW25" s="25"/>
      <c r="AX25" s="44" t="str">
        <f t="shared" si="73"/>
        <v/>
      </c>
      <c r="AY25" s="47"/>
      <c r="AZ25" s="22" t="str">
        <f t="shared" si="74"/>
        <v/>
      </c>
      <c r="BA25" s="23"/>
      <c r="BB25" s="44" t="str">
        <f t="shared" si="75"/>
        <v/>
      </c>
      <c r="BC25" s="25"/>
      <c r="BD25" s="44" t="str">
        <f t="shared" si="76"/>
        <v/>
      </c>
      <c r="BE25" s="47"/>
      <c r="BF25" s="22" t="str">
        <f t="shared" si="77"/>
        <v/>
      </c>
      <c r="BG25" s="23"/>
      <c r="BH25" s="44" t="str">
        <f t="shared" si="78"/>
        <v/>
      </c>
      <c r="BI25" s="25"/>
      <c r="BJ25" s="44" t="str">
        <f t="shared" si="79"/>
        <v/>
      </c>
      <c r="BK25" s="20">
        <v>0.0</v>
      </c>
      <c r="BL25" s="5"/>
      <c r="BM25" s="22" t="str">
        <f t="shared" si="80"/>
        <v/>
      </c>
      <c r="BN25" s="23"/>
      <c r="BO25" s="44" t="str">
        <f t="shared" si="81"/>
        <v/>
      </c>
      <c r="BP25" s="25"/>
      <c r="BQ25" s="44" t="str">
        <f t="shared" si="82"/>
        <v/>
      </c>
      <c r="BR25" s="29" t="str">
        <f t="shared" si="83"/>
        <v/>
      </c>
      <c r="BS25" s="29">
        <f t="shared" si="84"/>
        <v>0</v>
      </c>
      <c r="BT25" s="29">
        <f t="shared" si="85"/>
        <v>0</v>
      </c>
      <c r="BU25" s="22" t="str">
        <f t="shared" si="86"/>
        <v/>
      </c>
      <c r="BV25" s="23"/>
      <c r="BW25" s="44" t="str">
        <f t="shared" si="87"/>
        <v/>
      </c>
      <c r="BX25" s="25"/>
      <c r="BY25" s="44" t="str">
        <f t="shared" si="88"/>
        <v/>
      </c>
      <c r="BZ25" s="47"/>
      <c r="CA25" s="22" t="str">
        <f t="shared" si="89"/>
        <v/>
      </c>
      <c r="CB25" s="23"/>
      <c r="CC25" s="44" t="str">
        <f t="shared" si="90"/>
        <v/>
      </c>
      <c r="CD25" s="25"/>
      <c r="CE25" s="44" t="str">
        <f t="shared" si="91"/>
        <v/>
      </c>
      <c r="CF25" s="47"/>
      <c r="CG25" s="22" t="str">
        <f t="shared" si="92"/>
        <v/>
      </c>
      <c r="CH25" s="23"/>
      <c r="CI25" s="44" t="str">
        <f t="shared" si="93"/>
        <v/>
      </c>
      <c r="CJ25" s="25"/>
      <c r="CK25" s="44" t="str">
        <f t="shared" si="94"/>
        <v/>
      </c>
      <c r="CL25" s="20">
        <v>0.0</v>
      </c>
      <c r="CM25" s="5"/>
      <c r="CN25" s="5"/>
      <c r="CO25" s="5"/>
    </row>
    <row r="26">
      <c r="A26" s="20" t="str">
        <f t="shared" si="49"/>
        <v/>
      </c>
      <c r="B26" s="21"/>
      <c r="C26" s="22" t="str">
        <f>IFERROR(__xludf.DUMMYFUNCTION("IFERROR(
IF(A26&lt;&gt;"""",
""EVJEN00""&amp;A26,
IF(B26&lt;&gt;"""",
INDEX(FILTER($F$4:F26,$A$4:A26&lt;&gt;""""),COUNTA(FILTER($F$4:F26,$A$4:A26&lt;&gt;"""")))&amp;B26,
IF(C26&lt;&gt;"""",
INDEX(FILTER($F$4:F26,$B$4:B26&lt;&gt;""""),COUNTA(FILTER($F$4:F26,$B$4:B26&lt;&gt;"""")))&amp;C26,
""""))),
"""")"),"")</f>
        <v/>
      </c>
      <c r="D26" s="22"/>
      <c r="E26" s="20"/>
      <c r="F26" s="20"/>
      <c r="G26" s="20"/>
      <c r="H26" s="55"/>
      <c r="I26" s="5"/>
      <c r="J26" s="22" t="str">
        <f t="shared" si="50"/>
        <v/>
      </c>
      <c r="K26" s="23"/>
      <c r="L26" s="44" t="str">
        <f t="shared" si="51"/>
        <v/>
      </c>
      <c r="M26" s="25"/>
      <c r="N26" s="44" t="str">
        <f t="shared" si="52"/>
        <v/>
      </c>
      <c r="O26" s="29" t="str">
        <f t="shared" si="53"/>
        <v/>
      </c>
      <c r="P26" s="29">
        <f t="shared" si="54"/>
        <v>0</v>
      </c>
      <c r="Q26" s="29">
        <f t="shared" si="55"/>
        <v>0</v>
      </c>
      <c r="R26" s="22" t="str">
        <f t="shared" si="56"/>
        <v/>
      </c>
      <c r="S26" s="23"/>
      <c r="T26" s="44" t="str">
        <f t="shared" si="57"/>
        <v/>
      </c>
      <c r="U26" s="25"/>
      <c r="V26" s="44" t="str">
        <f t="shared" si="58"/>
        <v/>
      </c>
      <c r="W26" s="47"/>
      <c r="X26" s="22" t="str">
        <f t="shared" si="59"/>
        <v/>
      </c>
      <c r="Y26" s="23"/>
      <c r="Z26" s="44" t="str">
        <f t="shared" si="60"/>
        <v/>
      </c>
      <c r="AA26" s="25"/>
      <c r="AB26" s="44" t="str">
        <f t="shared" si="61"/>
        <v/>
      </c>
      <c r="AC26" s="47"/>
      <c r="AD26" s="22" t="str">
        <f t="shared" si="62"/>
        <v/>
      </c>
      <c r="AE26" s="23"/>
      <c r="AF26" s="44" t="str">
        <f t="shared" si="63"/>
        <v/>
      </c>
      <c r="AG26" s="25"/>
      <c r="AH26" s="44" t="str">
        <f t="shared" si="64"/>
        <v/>
      </c>
      <c r="AI26" s="20">
        <v>0.0</v>
      </c>
      <c r="AJ26" s="5"/>
      <c r="AK26" s="22" t="str">
        <f t="shared" si="65"/>
        <v/>
      </c>
      <c r="AL26" s="22"/>
      <c r="AM26" s="23"/>
      <c r="AN26" s="44" t="str">
        <f t="shared" si="66"/>
        <v/>
      </c>
      <c r="AO26" s="25"/>
      <c r="AP26" s="44" t="str">
        <f t="shared" si="67"/>
        <v/>
      </c>
      <c r="AQ26" s="29" t="str">
        <f t="shared" si="68"/>
        <v/>
      </c>
      <c r="AR26" s="29">
        <f t="shared" si="69"/>
        <v>0</v>
      </c>
      <c r="AS26" s="29">
        <f t="shared" si="70"/>
        <v>0</v>
      </c>
      <c r="AT26" s="22" t="str">
        <f t="shared" si="71"/>
        <v/>
      </c>
      <c r="AU26" s="23"/>
      <c r="AV26" s="44" t="str">
        <f t="shared" si="72"/>
        <v/>
      </c>
      <c r="AW26" s="25"/>
      <c r="AX26" s="44" t="str">
        <f t="shared" si="73"/>
        <v/>
      </c>
      <c r="AY26" s="47"/>
      <c r="AZ26" s="22" t="str">
        <f t="shared" si="74"/>
        <v/>
      </c>
      <c r="BA26" s="23"/>
      <c r="BB26" s="44" t="str">
        <f t="shared" si="75"/>
        <v/>
      </c>
      <c r="BC26" s="25"/>
      <c r="BD26" s="44" t="str">
        <f t="shared" si="76"/>
        <v/>
      </c>
      <c r="BE26" s="47"/>
      <c r="BF26" s="22" t="str">
        <f t="shared" si="77"/>
        <v/>
      </c>
      <c r="BG26" s="23"/>
      <c r="BH26" s="44" t="str">
        <f t="shared" si="78"/>
        <v/>
      </c>
      <c r="BI26" s="25"/>
      <c r="BJ26" s="44" t="str">
        <f t="shared" si="79"/>
        <v/>
      </c>
      <c r="BK26" s="20">
        <v>0.0</v>
      </c>
      <c r="BL26" s="5"/>
      <c r="BM26" s="22" t="str">
        <f t="shared" si="80"/>
        <v/>
      </c>
      <c r="BN26" s="23"/>
      <c r="BO26" s="44" t="str">
        <f t="shared" si="81"/>
        <v/>
      </c>
      <c r="BP26" s="25"/>
      <c r="BQ26" s="44" t="str">
        <f t="shared" si="82"/>
        <v/>
      </c>
      <c r="BR26" s="29" t="str">
        <f t="shared" si="83"/>
        <v/>
      </c>
      <c r="BS26" s="29">
        <f t="shared" si="84"/>
        <v>0</v>
      </c>
      <c r="BT26" s="29">
        <f t="shared" si="85"/>
        <v>0</v>
      </c>
      <c r="BU26" s="22" t="str">
        <f t="shared" si="86"/>
        <v/>
      </c>
      <c r="BV26" s="23"/>
      <c r="BW26" s="44" t="str">
        <f t="shared" si="87"/>
        <v/>
      </c>
      <c r="BX26" s="25"/>
      <c r="BY26" s="44" t="str">
        <f t="shared" si="88"/>
        <v/>
      </c>
      <c r="BZ26" s="47"/>
      <c r="CA26" s="22" t="str">
        <f t="shared" si="89"/>
        <v/>
      </c>
      <c r="CB26" s="23"/>
      <c r="CC26" s="44" t="str">
        <f t="shared" si="90"/>
        <v/>
      </c>
      <c r="CD26" s="25"/>
      <c r="CE26" s="44" t="str">
        <f t="shared" si="91"/>
        <v/>
      </c>
      <c r="CF26" s="47"/>
      <c r="CG26" s="22" t="str">
        <f t="shared" si="92"/>
        <v/>
      </c>
      <c r="CH26" s="23"/>
      <c r="CI26" s="44" t="str">
        <f t="shared" si="93"/>
        <v/>
      </c>
      <c r="CJ26" s="25"/>
      <c r="CK26" s="44" t="str">
        <f t="shared" si="94"/>
        <v/>
      </c>
      <c r="CL26" s="20">
        <v>0.0</v>
      </c>
      <c r="CM26" s="5"/>
      <c r="CN26" s="5"/>
      <c r="CO26" s="5"/>
    </row>
    <row r="27">
      <c r="A27" s="20" t="str">
        <f t="shared" si="49"/>
        <v/>
      </c>
      <c r="B27" s="21"/>
      <c r="C27" s="22" t="str">
        <f>IFERROR(__xludf.DUMMYFUNCTION("IFERROR(
IF(A27&lt;&gt;"""",
""EVJEN00""&amp;A27,
IF(B27&lt;&gt;"""",
INDEX(FILTER($F$4:F27,$A$4:A27&lt;&gt;""""),COUNTA(FILTER($F$4:F27,$A$4:A27&lt;&gt;"""")))&amp;B27,
IF(C27&lt;&gt;"""",
INDEX(FILTER($F$4:F27,$B$4:B27&lt;&gt;""""),COUNTA(FILTER($F$4:F27,$B$4:B27&lt;&gt;"""")))&amp;C27,
""""))),
"""")"),"")</f>
        <v/>
      </c>
      <c r="D27" s="22"/>
      <c r="E27" s="20"/>
      <c r="F27" s="20"/>
      <c r="G27" s="20"/>
      <c r="H27" s="55"/>
      <c r="I27" s="5"/>
      <c r="J27" s="22" t="str">
        <f t="shared" si="50"/>
        <v/>
      </c>
      <c r="K27" s="23"/>
      <c r="L27" s="44" t="str">
        <f t="shared" si="51"/>
        <v/>
      </c>
      <c r="M27" s="25"/>
      <c r="N27" s="44" t="str">
        <f t="shared" si="52"/>
        <v/>
      </c>
      <c r="O27" s="29" t="str">
        <f t="shared" si="53"/>
        <v/>
      </c>
      <c r="P27" s="29">
        <f t="shared" si="54"/>
        <v>0</v>
      </c>
      <c r="Q27" s="29">
        <f t="shared" si="55"/>
        <v>0</v>
      </c>
      <c r="R27" s="22" t="str">
        <f t="shared" si="56"/>
        <v/>
      </c>
      <c r="S27" s="23"/>
      <c r="T27" s="44" t="str">
        <f t="shared" si="57"/>
        <v/>
      </c>
      <c r="U27" s="25"/>
      <c r="V27" s="44" t="str">
        <f t="shared" si="58"/>
        <v/>
      </c>
      <c r="W27" s="47"/>
      <c r="X27" s="22" t="str">
        <f t="shared" si="59"/>
        <v/>
      </c>
      <c r="Y27" s="23"/>
      <c r="Z27" s="44" t="str">
        <f t="shared" si="60"/>
        <v/>
      </c>
      <c r="AA27" s="25"/>
      <c r="AB27" s="44" t="str">
        <f t="shared" si="61"/>
        <v/>
      </c>
      <c r="AC27" s="47"/>
      <c r="AD27" s="22" t="str">
        <f t="shared" si="62"/>
        <v/>
      </c>
      <c r="AE27" s="23"/>
      <c r="AF27" s="44" t="str">
        <f t="shared" si="63"/>
        <v/>
      </c>
      <c r="AG27" s="25"/>
      <c r="AH27" s="44" t="str">
        <f t="shared" si="64"/>
        <v/>
      </c>
      <c r="AI27" s="20">
        <v>0.0</v>
      </c>
      <c r="AJ27" s="5"/>
      <c r="AK27" s="22" t="str">
        <f t="shared" si="65"/>
        <v/>
      </c>
      <c r="AL27" s="22"/>
      <c r="AM27" s="23"/>
      <c r="AN27" s="44" t="str">
        <f t="shared" si="66"/>
        <v/>
      </c>
      <c r="AO27" s="25"/>
      <c r="AP27" s="44" t="str">
        <f t="shared" si="67"/>
        <v/>
      </c>
      <c r="AQ27" s="29" t="str">
        <f t="shared" si="68"/>
        <v/>
      </c>
      <c r="AR27" s="29">
        <f t="shared" si="69"/>
        <v>0</v>
      </c>
      <c r="AS27" s="29">
        <f t="shared" si="70"/>
        <v>0</v>
      </c>
      <c r="AT27" s="22" t="str">
        <f t="shared" si="71"/>
        <v/>
      </c>
      <c r="AU27" s="23"/>
      <c r="AV27" s="44" t="str">
        <f t="shared" si="72"/>
        <v/>
      </c>
      <c r="AW27" s="25"/>
      <c r="AX27" s="44" t="str">
        <f t="shared" si="73"/>
        <v/>
      </c>
      <c r="AY27" s="47"/>
      <c r="AZ27" s="22" t="str">
        <f t="shared" si="74"/>
        <v/>
      </c>
      <c r="BA27" s="23"/>
      <c r="BB27" s="44" t="str">
        <f t="shared" si="75"/>
        <v/>
      </c>
      <c r="BC27" s="25"/>
      <c r="BD27" s="44" t="str">
        <f t="shared" si="76"/>
        <v/>
      </c>
      <c r="BE27" s="47"/>
      <c r="BF27" s="22" t="str">
        <f t="shared" si="77"/>
        <v/>
      </c>
      <c r="BG27" s="23"/>
      <c r="BH27" s="44" t="str">
        <f t="shared" si="78"/>
        <v/>
      </c>
      <c r="BI27" s="25"/>
      <c r="BJ27" s="44" t="str">
        <f t="shared" si="79"/>
        <v/>
      </c>
      <c r="BK27" s="20">
        <v>0.0</v>
      </c>
      <c r="BL27" s="5"/>
      <c r="BM27" s="22" t="str">
        <f t="shared" si="80"/>
        <v/>
      </c>
      <c r="BN27" s="23"/>
      <c r="BO27" s="44" t="str">
        <f t="shared" si="81"/>
        <v/>
      </c>
      <c r="BP27" s="25"/>
      <c r="BQ27" s="44" t="str">
        <f t="shared" si="82"/>
        <v/>
      </c>
      <c r="BR27" s="29" t="str">
        <f t="shared" si="83"/>
        <v/>
      </c>
      <c r="BS27" s="29">
        <f t="shared" si="84"/>
        <v>0</v>
      </c>
      <c r="BT27" s="29">
        <f t="shared" si="85"/>
        <v>0</v>
      </c>
      <c r="BU27" s="22" t="str">
        <f t="shared" si="86"/>
        <v/>
      </c>
      <c r="BV27" s="23"/>
      <c r="BW27" s="44" t="str">
        <f t="shared" si="87"/>
        <v/>
      </c>
      <c r="BX27" s="25"/>
      <c r="BY27" s="44" t="str">
        <f t="shared" si="88"/>
        <v/>
      </c>
      <c r="BZ27" s="47"/>
      <c r="CA27" s="22" t="str">
        <f t="shared" si="89"/>
        <v/>
      </c>
      <c r="CB27" s="23"/>
      <c r="CC27" s="44" t="str">
        <f t="shared" si="90"/>
        <v/>
      </c>
      <c r="CD27" s="25"/>
      <c r="CE27" s="44" t="str">
        <f t="shared" si="91"/>
        <v/>
      </c>
      <c r="CF27" s="47"/>
      <c r="CG27" s="22" t="str">
        <f t="shared" si="92"/>
        <v/>
      </c>
      <c r="CH27" s="23"/>
      <c r="CI27" s="44" t="str">
        <f t="shared" si="93"/>
        <v/>
      </c>
      <c r="CJ27" s="25"/>
      <c r="CK27" s="44" t="str">
        <f t="shared" si="94"/>
        <v/>
      </c>
      <c r="CL27" s="20">
        <v>0.0</v>
      </c>
      <c r="CM27" s="5"/>
      <c r="CN27" s="5"/>
      <c r="CO27" s="5"/>
    </row>
    <row r="28">
      <c r="A28" s="20" t="str">
        <f t="shared" si="49"/>
        <v/>
      </c>
      <c r="B28" s="21"/>
      <c r="C28" s="22" t="str">
        <f>IFERROR(__xludf.DUMMYFUNCTION("IFERROR(
IF(A28&lt;&gt;"""",
""EVJEN00""&amp;A28,
IF(B28&lt;&gt;"""",
INDEX(FILTER($F$4:F28,$A$4:A28&lt;&gt;""""),COUNTA(FILTER($F$4:F28,$A$4:A28&lt;&gt;"""")))&amp;B28,
IF(C28&lt;&gt;"""",
INDEX(FILTER($F$4:F28,$B$4:B28&lt;&gt;""""),COUNTA(FILTER($F$4:F28,$B$4:B28&lt;&gt;"""")))&amp;C28,
""""))),
"""")"),"")</f>
        <v/>
      </c>
      <c r="D28" s="22"/>
      <c r="E28" s="20"/>
      <c r="F28" s="20"/>
      <c r="G28" s="20"/>
      <c r="H28" s="55"/>
      <c r="I28" s="5"/>
      <c r="J28" s="22" t="str">
        <f t="shared" si="50"/>
        <v/>
      </c>
      <c r="K28" s="23"/>
      <c r="L28" s="44" t="str">
        <f t="shared" si="51"/>
        <v/>
      </c>
      <c r="M28" s="25"/>
      <c r="N28" s="44" t="str">
        <f t="shared" si="52"/>
        <v/>
      </c>
      <c r="O28" s="29" t="str">
        <f t="shared" si="53"/>
        <v/>
      </c>
      <c r="P28" s="29">
        <f t="shared" si="54"/>
        <v>0</v>
      </c>
      <c r="Q28" s="29">
        <f t="shared" si="55"/>
        <v>0</v>
      </c>
      <c r="R28" s="22" t="str">
        <f t="shared" si="56"/>
        <v/>
      </c>
      <c r="S28" s="23"/>
      <c r="T28" s="44" t="str">
        <f t="shared" si="57"/>
        <v/>
      </c>
      <c r="U28" s="25"/>
      <c r="V28" s="44" t="str">
        <f t="shared" si="58"/>
        <v/>
      </c>
      <c r="W28" s="47"/>
      <c r="X28" s="22" t="str">
        <f t="shared" si="59"/>
        <v/>
      </c>
      <c r="Y28" s="23"/>
      <c r="Z28" s="44" t="str">
        <f t="shared" si="60"/>
        <v/>
      </c>
      <c r="AA28" s="25"/>
      <c r="AB28" s="44" t="str">
        <f t="shared" si="61"/>
        <v/>
      </c>
      <c r="AC28" s="47"/>
      <c r="AD28" s="22" t="str">
        <f t="shared" si="62"/>
        <v/>
      </c>
      <c r="AE28" s="23"/>
      <c r="AF28" s="44" t="str">
        <f t="shared" si="63"/>
        <v/>
      </c>
      <c r="AG28" s="25"/>
      <c r="AH28" s="44" t="str">
        <f t="shared" si="64"/>
        <v/>
      </c>
      <c r="AI28" s="20">
        <v>0.0</v>
      </c>
      <c r="AJ28" s="5"/>
      <c r="AK28" s="22" t="str">
        <f t="shared" si="65"/>
        <v/>
      </c>
      <c r="AL28" s="22"/>
      <c r="AM28" s="23"/>
      <c r="AN28" s="44" t="str">
        <f t="shared" si="66"/>
        <v/>
      </c>
      <c r="AO28" s="25"/>
      <c r="AP28" s="44" t="str">
        <f t="shared" si="67"/>
        <v/>
      </c>
      <c r="AQ28" s="29" t="str">
        <f t="shared" si="68"/>
        <v/>
      </c>
      <c r="AR28" s="29">
        <f t="shared" si="69"/>
        <v>0</v>
      </c>
      <c r="AS28" s="29">
        <f t="shared" si="70"/>
        <v>0</v>
      </c>
      <c r="AT28" s="22" t="str">
        <f t="shared" si="71"/>
        <v/>
      </c>
      <c r="AU28" s="23"/>
      <c r="AV28" s="44" t="str">
        <f t="shared" si="72"/>
        <v/>
      </c>
      <c r="AW28" s="25"/>
      <c r="AX28" s="44" t="str">
        <f t="shared" si="73"/>
        <v/>
      </c>
      <c r="AY28" s="47"/>
      <c r="AZ28" s="22" t="str">
        <f t="shared" si="74"/>
        <v/>
      </c>
      <c r="BA28" s="23"/>
      <c r="BB28" s="44" t="str">
        <f t="shared" si="75"/>
        <v/>
      </c>
      <c r="BC28" s="25"/>
      <c r="BD28" s="44" t="str">
        <f t="shared" si="76"/>
        <v/>
      </c>
      <c r="BE28" s="47"/>
      <c r="BF28" s="22" t="str">
        <f t="shared" si="77"/>
        <v/>
      </c>
      <c r="BG28" s="23"/>
      <c r="BH28" s="44" t="str">
        <f t="shared" si="78"/>
        <v/>
      </c>
      <c r="BI28" s="25"/>
      <c r="BJ28" s="44" t="str">
        <f t="shared" si="79"/>
        <v/>
      </c>
      <c r="BK28" s="20">
        <v>0.0</v>
      </c>
      <c r="BL28" s="5"/>
      <c r="BM28" s="22" t="str">
        <f t="shared" si="80"/>
        <v/>
      </c>
      <c r="BN28" s="23"/>
      <c r="BO28" s="44" t="str">
        <f t="shared" si="81"/>
        <v/>
      </c>
      <c r="BP28" s="25"/>
      <c r="BQ28" s="44" t="str">
        <f t="shared" si="82"/>
        <v/>
      </c>
      <c r="BR28" s="29" t="str">
        <f t="shared" si="83"/>
        <v/>
      </c>
      <c r="BS28" s="29">
        <f t="shared" si="84"/>
        <v>0</v>
      </c>
      <c r="BT28" s="29">
        <f t="shared" si="85"/>
        <v>0</v>
      </c>
      <c r="BU28" s="22" t="str">
        <f t="shared" si="86"/>
        <v/>
      </c>
      <c r="BV28" s="23"/>
      <c r="BW28" s="44" t="str">
        <f t="shared" si="87"/>
        <v/>
      </c>
      <c r="BX28" s="25"/>
      <c r="BY28" s="44" t="str">
        <f t="shared" si="88"/>
        <v/>
      </c>
      <c r="BZ28" s="47"/>
      <c r="CA28" s="22" t="str">
        <f t="shared" si="89"/>
        <v/>
      </c>
      <c r="CB28" s="23"/>
      <c r="CC28" s="44" t="str">
        <f t="shared" si="90"/>
        <v/>
      </c>
      <c r="CD28" s="25"/>
      <c r="CE28" s="44" t="str">
        <f t="shared" si="91"/>
        <v/>
      </c>
      <c r="CF28" s="47"/>
      <c r="CG28" s="22" t="str">
        <f t="shared" si="92"/>
        <v/>
      </c>
      <c r="CH28" s="23"/>
      <c r="CI28" s="44" t="str">
        <f t="shared" si="93"/>
        <v/>
      </c>
      <c r="CJ28" s="25"/>
      <c r="CK28" s="44" t="str">
        <f t="shared" si="94"/>
        <v/>
      </c>
      <c r="CL28" s="20">
        <v>0.0</v>
      </c>
      <c r="CM28" s="5"/>
      <c r="CN28" s="5"/>
      <c r="CO28" s="5"/>
    </row>
    <row r="29">
      <c r="A29" s="20" t="str">
        <f t="shared" si="49"/>
        <v/>
      </c>
      <c r="B29" s="21"/>
      <c r="C29" s="22" t="str">
        <f>IFERROR(__xludf.DUMMYFUNCTION("IFERROR(
IF(A29&lt;&gt;"""",
""EVJEN00""&amp;A29,
IF(B29&lt;&gt;"""",
INDEX(FILTER($F$4:F29,$A$4:A29&lt;&gt;""""),COUNTA(FILTER($F$4:F29,$A$4:A29&lt;&gt;"""")))&amp;B29,
IF(C29&lt;&gt;"""",
INDEX(FILTER($F$4:F29,$B$4:B29&lt;&gt;""""),COUNTA(FILTER($F$4:F29,$B$4:B29&lt;&gt;"""")))&amp;C29,
""""))),
"""")"),"")</f>
        <v/>
      </c>
      <c r="D29" s="22"/>
      <c r="E29" s="20"/>
      <c r="F29" s="20"/>
      <c r="G29" s="20"/>
      <c r="H29" s="55"/>
      <c r="I29" s="5"/>
      <c r="J29" s="22" t="str">
        <f t="shared" si="50"/>
        <v/>
      </c>
      <c r="K29" s="23"/>
      <c r="L29" s="44" t="str">
        <f t="shared" si="51"/>
        <v/>
      </c>
      <c r="M29" s="25"/>
      <c r="N29" s="44" t="str">
        <f t="shared" si="52"/>
        <v/>
      </c>
      <c r="O29" s="29" t="str">
        <f t="shared" si="53"/>
        <v/>
      </c>
      <c r="P29" s="29">
        <f t="shared" si="54"/>
        <v>0</v>
      </c>
      <c r="Q29" s="29">
        <f t="shared" si="55"/>
        <v>0</v>
      </c>
      <c r="R29" s="22" t="str">
        <f t="shared" si="56"/>
        <v/>
      </c>
      <c r="S29" s="23"/>
      <c r="T29" s="44" t="str">
        <f t="shared" si="57"/>
        <v/>
      </c>
      <c r="U29" s="25"/>
      <c r="V29" s="44" t="str">
        <f t="shared" si="58"/>
        <v/>
      </c>
      <c r="W29" s="47"/>
      <c r="X29" s="22" t="str">
        <f t="shared" si="59"/>
        <v/>
      </c>
      <c r="Y29" s="23"/>
      <c r="Z29" s="44" t="str">
        <f t="shared" si="60"/>
        <v/>
      </c>
      <c r="AA29" s="25"/>
      <c r="AB29" s="44" t="str">
        <f t="shared" si="61"/>
        <v/>
      </c>
      <c r="AC29" s="47"/>
      <c r="AD29" s="22" t="str">
        <f t="shared" si="62"/>
        <v/>
      </c>
      <c r="AE29" s="23"/>
      <c r="AF29" s="44" t="str">
        <f t="shared" si="63"/>
        <v/>
      </c>
      <c r="AG29" s="25"/>
      <c r="AH29" s="44" t="str">
        <f t="shared" si="64"/>
        <v/>
      </c>
      <c r="AI29" s="20">
        <v>0.0</v>
      </c>
      <c r="AJ29" s="5"/>
      <c r="AK29" s="22" t="str">
        <f t="shared" si="65"/>
        <v/>
      </c>
      <c r="AL29" s="22"/>
      <c r="AM29" s="23"/>
      <c r="AN29" s="44" t="str">
        <f t="shared" si="66"/>
        <v/>
      </c>
      <c r="AO29" s="25"/>
      <c r="AP29" s="44" t="str">
        <f t="shared" si="67"/>
        <v/>
      </c>
      <c r="AQ29" s="29" t="str">
        <f t="shared" si="68"/>
        <v/>
      </c>
      <c r="AR29" s="29">
        <f t="shared" si="69"/>
        <v>0</v>
      </c>
      <c r="AS29" s="29">
        <f t="shared" si="70"/>
        <v>0</v>
      </c>
      <c r="AT29" s="22" t="str">
        <f t="shared" si="71"/>
        <v/>
      </c>
      <c r="AU29" s="23"/>
      <c r="AV29" s="44" t="str">
        <f t="shared" si="72"/>
        <v/>
      </c>
      <c r="AW29" s="25"/>
      <c r="AX29" s="44" t="str">
        <f t="shared" si="73"/>
        <v/>
      </c>
      <c r="AY29" s="47"/>
      <c r="AZ29" s="22" t="str">
        <f t="shared" si="74"/>
        <v/>
      </c>
      <c r="BA29" s="23"/>
      <c r="BB29" s="44" t="str">
        <f t="shared" si="75"/>
        <v/>
      </c>
      <c r="BC29" s="25"/>
      <c r="BD29" s="44" t="str">
        <f t="shared" si="76"/>
        <v/>
      </c>
      <c r="BE29" s="47"/>
      <c r="BF29" s="22" t="str">
        <f t="shared" si="77"/>
        <v/>
      </c>
      <c r="BG29" s="23"/>
      <c r="BH29" s="44" t="str">
        <f t="shared" si="78"/>
        <v/>
      </c>
      <c r="BI29" s="25"/>
      <c r="BJ29" s="44" t="str">
        <f t="shared" si="79"/>
        <v/>
      </c>
      <c r="BK29" s="20">
        <v>0.0</v>
      </c>
      <c r="BL29" s="5"/>
      <c r="BM29" s="22" t="str">
        <f t="shared" si="80"/>
        <v/>
      </c>
      <c r="BN29" s="23"/>
      <c r="BO29" s="44" t="str">
        <f t="shared" si="81"/>
        <v/>
      </c>
      <c r="BP29" s="25"/>
      <c r="BQ29" s="44" t="str">
        <f t="shared" si="82"/>
        <v/>
      </c>
      <c r="BR29" s="29" t="str">
        <f t="shared" si="83"/>
        <v/>
      </c>
      <c r="BS29" s="29">
        <f t="shared" si="84"/>
        <v>0</v>
      </c>
      <c r="BT29" s="29">
        <f t="shared" si="85"/>
        <v>0</v>
      </c>
      <c r="BU29" s="22" t="str">
        <f t="shared" si="86"/>
        <v/>
      </c>
      <c r="BV29" s="23"/>
      <c r="BW29" s="44" t="str">
        <f t="shared" si="87"/>
        <v/>
      </c>
      <c r="BX29" s="25"/>
      <c r="BY29" s="44" t="str">
        <f t="shared" si="88"/>
        <v/>
      </c>
      <c r="BZ29" s="47"/>
      <c r="CA29" s="22" t="str">
        <f t="shared" si="89"/>
        <v/>
      </c>
      <c r="CB29" s="23"/>
      <c r="CC29" s="44" t="str">
        <f t="shared" si="90"/>
        <v/>
      </c>
      <c r="CD29" s="25"/>
      <c r="CE29" s="44" t="str">
        <f t="shared" si="91"/>
        <v/>
      </c>
      <c r="CF29" s="47"/>
      <c r="CG29" s="22" t="str">
        <f t="shared" si="92"/>
        <v/>
      </c>
      <c r="CH29" s="23"/>
      <c r="CI29" s="44" t="str">
        <f t="shared" si="93"/>
        <v/>
      </c>
      <c r="CJ29" s="25"/>
      <c r="CK29" s="44" t="str">
        <f t="shared" si="94"/>
        <v/>
      </c>
      <c r="CL29" s="20">
        <v>0.0</v>
      </c>
      <c r="CM29" s="5"/>
      <c r="CN29" s="5"/>
      <c r="CO29" s="5"/>
    </row>
    <row r="30">
      <c r="A30" s="20" t="str">
        <f t="shared" si="49"/>
        <v/>
      </c>
      <c r="B30" s="21"/>
      <c r="C30" s="22" t="str">
        <f>IFERROR(__xludf.DUMMYFUNCTION("IFERROR(
IF(A30&lt;&gt;"""",
""EVJEN00""&amp;A30,
IF(B30&lt;&gt;"""",
INDEX(FILTER($F$4:F30,$A$4:A30&lt;&gt;""""),COUNTA(FILTER($F$4:F30,$A$4:A30&lt;&gt;"""")))&amp;B30,
IF(C30&lt;&gt;"""",
INDEX(FILTER($F$4:F30,$B$4:B30&lt;&gt;""""),COUNTA(FILTER($F$4:F30,$B$4:B30&lt;&gt;"""")))&amp;C30,
""""))),
"""")"),"")</f>
        <v/>
      </c>
      <c r="D30" s="22"/>
      <c r="E30" s="20"/>
      <c r="F30" s="20"/>
      <c r="G30" s="20"/>
      <c r="H30" s="55"/>
      <c r="I30" s="5"/>
      <c r="J30" s="22" t="str">
        <f t="shared" si="50"/>
        <v/>
      </c>
      <c r="K30" s="23"/>
      <c r="L30" s="44" t="str">
        <f t="shared" si="51"/>
        <v/>
      </c>
      <c r="M30" s="25"/>
      <c r="N30" s="44" t="str">
        <f t="shared" si="52"/>
        <v/>
      </c>
      <c r="O30" s="29" t="str">
        <f t="shared" si="53"/>
        <v/>
      </c>
      <c r="P30" s="29">
        <f t="shared" si="54"/>
        <v>0</v>
      </c>
      <c r="Q30" s="29">
        <f t="shared" si="55"/>
        <v>0</v>
      </c>
      <c r="R30" s="22" t="str">
        <f t="shared" si="56"/>
        <v/>
      </c>
      <c r="S30" s="23"/>
      <c r="T30" s="44" t="str">
        <f t="shared" si="57"/>
        <v/>
      </c>
      <c r="U30" s="25"/>
      <c r="V30" s="44" t="str">
        <f t="shared" si="58"/>
        <v/>
      </c>
      <c r="W30" s="47"/>
      <c r="X30" s="22" t="str">
        <f t="shared" si="59"/>
        <v/>
      </c>
      <c r="Y30" s="23"/>
      <c r="Z30" s="44" t="str">
        <f t="shared" si="60"/>
        <v/>
      </c>
      <c r="AA30" s="25"/>
      <c r="AB30" s="44" t="str">
        <f t="shared" si="61"/>
        <v/>
      </c>
      <c r="AC30" s="47"/>
      <c r="AD30" s="22" t="str">
        <f t="shared" si="62"/>
        <v/>
      </c>
      <c r="AE30" s="23"/>
      <c r="AF30" s="44" t="str">
        <f t="shared" si="63"/>
        <v/>
      </c>
      <c r="AG30" s="25"/>
      <c r="AH30" s="44" t="str">
        <f t="shared" si="64"/>
        <v/>
      </c>
      <c r="AI30" s="20">
        <v>0.0</v>
      </c>
      <c r="AJ30" s="5"/>
      <c r="AK30" s="22" t="str">
        <f t="shared" si="65"/>
        <v/>
      </c>
      <c r="AL30" s="22"/>
      <c r="AM30" s="23"/>
      <c r="AN30" s="44" t="str">
        <f t="shared" si="66"/>
        <v/>
      </c>
      <c r="AO30" s="25"/>
      <c r="AP30" s="44" t="str">
        <f t="shared" si="67"/>
        <v/>
      </c>
      <c r="AQ30" s="29" t="str">
        <f t="shared" si="68"/>
        <v/>
      </c>
      <c r="AR30" s="29">
        <f t="shared" si="69"/>
        <v>0</v>
      </c>
      <c r="AS30" s="29">
        <f t="shared" si="70"/>
        <v>0</v>
      </c>
      <c r="AT30" s="22" t="str">
        <f t="shared" si="71"/>
        <v/>
      </c>
      <c r="AU30" s="23"/>
      <c r="AV30" s="44" t="str">
        <f t="shared" si="72"/>
        <v/>
      </c>
      <c r="AW30" s="25"/>
      <c r="AX30" s="44" t="str">
        <f t="shared" si="73"/>
        <v/>
      </c>
      <c r="AY30" s="47"/>
      <c r="AZ30" s="22" t="str">
        <f t="shared" si="74"/>
        <v/>
      </c>
      <c r="BA30" s="23"/>
      <c r="BB30" s="44" t="str">
        <f t="shared" si="75"/>
        <v/>
      </c>
      <c r="BC30" s="25"/>
      <c r="BD30" s="44" t="str">
        <f t="shared" si="76"/>
        <v/>
      </c>
      <c r="BE30" s="47"/>
      <c r="BF30" s="22" t="str">
        <f t="shared" si="77"/>
        <v/>
      </c>
      <c r="BG30" s="23"/>
      <c r="BH30" s="44" t="str">
        <f t="shared" si="78"/>
        <v/>
      </c>
      <c r="BI30" s="25"/>
      <c r="BJ30" s="44" t="str">
        <f t="shared" si="79"/>
        <v/>
      </c>
      <c r="BK30" s="20">
        <v>0.0</v>
      </c>
      <c r="BL30" s="5"/>
      <c r="BM30" s="22" t="str">
        <f t="shared" si="80"/>
        <v/>
      </c>
      <c r="BN30" s="23"/>
      <c r="BO30" s="44" t="str">
        <f t="shared" si="81"/>
        <v/>
      </c>
      <c r="BP30" s="25"/>
      <c r="BQ30" s="44" t="str">
        <f t="shared" si="82"/>
        <v/>
      </c>
      <c r="BR30" s="29" t="str">
        <f t="shared" si="83"/>
        <v/>
      </c>
      <c r="BS30" s="29">
        <f t="shared" si="84"/>
        <v>0</v>
      </c>
      <c r="BT30" s="29">
        <f t="shared" si="85"/>
        <v>0</v>
      </c>
      <c r="BU30" s="22" t="str">
        <f t="shared" si="86"/>
        <v/>
      </c>
      <c r="BV30" s="23"/>
      <c r="BW30" s="44" t="str">
        <f t="shared" si="87"/>
        <v/>
      </c>
      <c r="BX30" s="25"/>
      <c r="BY30" s="44" t="str">
        <f t="shared" si="88"/>
        <v/>
      </c>
      <c r="BZ30" s="47"/>
      <c r="CA30" s="22" t="str">
        <f t="shared" si="89"/>
        <v/>
      </c>
      <c r="CB30" s="23"/>
      <c r="CC30" s="44" t="str">
        <f t="shared" si="90"/>
        <v/>
      </c>
      <c r="CD30" s="25"/>
      <c r="CE30" s="44" t="str">
        <f t="shared" si="91"/>
        <v/>
      </c>
      <c r="CF30" s="47"/>
      <c r="CG30" s="22" t="str">
        <f t="shared" si="92"/>
        <v/>
      </c>
      <c r="CH30" s="23"/>
      <c r="CI30" s="44" t="str">
        <f t="shared" si="93"/>
        <v/>
      </c>
      <c r="CJ30" s="25"/>
      <c r="CK30" s="44" t="str">
        <f t="shared" si="94"/>
        <v/>
      </c>
      <c r="CL30" s="20">
        <v>0.0</v>
      </c>
      <c r="CM30" s="5"/>
      <c r="CN30" s="5"/>
      <c r="CO30" s="5"/>
    </row>
  </sheetData>
  <mergeCells count="33">
    <mergeCell ref="A1:D1"/>
    <mergeCell ref="E1:H1"/>
    <mergeCell ref="I1:I2"/>
    <mergeCell ref="J1:Q1"/>
    <mergeCell ref="R1:R2"/>
    <mergeCell ref="S1:W1"/>
    <mergeCell ref="X1:X2"/>
    <mergeCell ref="Y1:AC1"/>
    <mergeCell ref="AD1:AD2"/>
    <mergeCell ref="AE1:AI1"/>
    <mergeCell ref="AJ1:AJ2"/>
    <mergeCell ref="AK1:AR1"/>
    <mergeCell ref="AT1:AT2"/>
    <mergeCell ref="AZ1:AZ2"/>
    <mergeCell ref="BF1:BF2"/>
    <mergeCell ref="AU1:AY1"/>
    <mergeCell ref="BA1:BE1"/>
    <mergeCell ref="BG1:BK1"/>
    <mergeCell ref="BM1:BT1"/>
    <mergeCell ref="BU1:BU2"/>
    <mergeCell ref="BV1:BV2"/>
    <mergeCell ref="BW1:BW2"/>
    <mergeCell ref="CE1:CE2"/>
    <mergeCell ref="CF1:CF2"/>
    <mergeCell ref="CG1:CG2"/>
    <mergeCell ref="CH1:CL1"/>
    <mergeCell ref="BX1:BX2"/>
    <mergeCell ref="BY1:BY2"/>
    <mergeCell ref="BZ1:BZ2"/>
    <mergeCell ref="CA1:CA2"/>
    <mergeCell ref="CB1:CB2"/>
    <mergeCell ref="CC1:CC2"/>
    <mergeCell ref="CD1:CD2"/>
  </mergeCells>
  <dataValidations>
    <dataValidation type="list" allowBlank="1" showErrorMessage="1" sqref="AL7:AL13 AL15:AL30">
      <formula1>"Interior,Eksterior"</formula1>
    </dataValidation>
    <dataValidation type="list" allowBlank="1" showErrorMessage="1" sqref="E3:G13 E15:G30">
      <formula1>"1,2,3,4,5"</formula1>
    </dataValidation>
    <dataValidation type="list" allowBlank="1" showErrorMessage="1" sqref="AL3:AL6 D3:D13 D15:D30">
      <formula1>"Interior,Exterior"</formula1>
    </dataValidation>
    <dataValidation type="list" allowBlank="1" showErrorMessage="1" sqref="H3:H13 K3:K13 S3:S13 Y3:Y13 AE3:AE13 AM3:AM13 AU3:AU13 BA3:BA13 BG3:BG13 BN3:BN13 BV3:BV13 CB3:CB13 CH3:CH13 H15:H30 K15:K30 S15:S30 Y15:Y30 AE15:AE30 AM15:AM30 AU15:AU30 BA15:BA30 BG15:BG30 BN15:BN30 BV15:BV30 CB15:CB30 CH15:CH30">
      <formula1>'List Personnel'!$A$2:$A$56</formula1>
    </dataValidation>
    <dataValidation type="list" allowBlank="1" showErrorMessage="1" sqref="W3:W13 AC3:AC13 AY3:AY13 BE3:BE13 BZ3:BZ13 CF3:CF13 W15:W30 AC15:AC30 AY15:AY30 BE15:BE30 BZ15:BZ30 CF15:CF30">
      <formula1>"5%,10%,20%,30%,40%,50%,60%,70%,80%,90%,100%"</formula1>
    </dataValidation>
    <dataValidation type="list" allowBlank="1" showErrorMessage="1" sqref="M3:M13 U3:U13 AA3:AA13 AG3:AG13 AO3:AO13 AW3:AW13 BC3:BC13 BI3:BI13 BP3:BP13 BX3:BX13 CD3:CD13 CJ3:CJ13 M15:M30 U15:U30 AA15:AA30 AG15:AG30 AO15:AO30 AW15:AW30 BC15:BC30 BI15:BI30 BP15:BP30 BX15:BX30 CD15:CD30 CJ15:CJ30">
      <formula1>"Ongoing,Done,Pending,Revision"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 outlineLevelCol="1"/>
  <cols>
    <col customWidth="1" min="1" max="1" width="5.88"/>
    <col customWidth="1" min="2" max="2" width="22.75"/>
    <col customWidth="1" min="3" max="5" width="15.38"/>
    <col customWidth="1" min="6" max="8" width="18.5"/>
    <col customWidth="1" min="9" max="9" width="19.75"/>
    <col customWidth="1" min="10" max="10" width="3.5"/>
    <col customWidth="1" min="11" max="11" width="9.75"/>
    <col customWidth="1" min="12" max="12" width="22.5"/>
    <col customWidth="1" min="13" max="13" width="20.88"/>
    <col collapsed="1" customWidth="1" min="15" max="15" width="19.13"/>
    <col hidden="1" min="16" max="18" width="12.63" outlineLevel="1"/>
    <col collapsed="1" min="19" max="19" width="12.63"/>
    <col hidden="1" min="20" max="24" width="12.63" outlineLevel="1"/>
    <col collapsed="1" min="25" max="25" width="12.63"/>
    <col hidden="1" min="26" max="30" width="12.63" outlineLevel="1"/>
    <col collapsed="1" customWidth="1" min="31" max="31" width="16.5"/>
    <col hidden="1" min="32" max="36" width="12.63" outlineLevel="1"/>
    <col customWidth="1" min="37" max="37" width="3.63"/>
    <col customWidth="1" min="39" max="39" width="13.88"/>
    <col customWidth="1" min="40" max="40" width="22.5"/>
    <col customWidth="1" min="41" max="41" width="20.88"/>
    <col collapsed="1" customWidth="1" min="43" max="43" width="19.13"/>
    <col hidden="1" min="44" max="46" width="12.63" outlineLevel="1"/>
    <col collapsed="1" min="47" max="47" width="12.63"/>
    <col hidden="1" min="48" max="52" width="12.63" outlineLevel="1"/>
    <col collapsed="1" min="53" max="53" width="12.63"/>
    <col hidden="1" min="54" max="58" width="12.63" outlineLevel="1"/>
    <col collapsed="1" min="59" max="59" width="12.63"/>
    <col hidden="1" min="60" max="64" width="12.63" outlineLevel="1"/>
    <col customWidth="1" min="65" max="65" width="3.63"/>
    <col customWidth="1" min="67" max="67" width="22.5"/>
    <col customWidth="1" min="68" max="68" width="20.88"/>
    <col collapsed="1" customWidth="1" min="70" max="70" width="19.13"/>
    <col hidden="1" min="71" max="73" width="12.63" outlineLevel="1"/>
    <col collapsed="1" min="74" max="74" width="12.63"/>
    <col hidden="1" min="75" max="79" width="12.63" outlineLevel="1"/>
    <col collapsed="1" min="80" max="80" width="12.63"/>
    <col hidden="1" min="81" max="85" width="12.63" outlineLevel="1"/>
    <col collapsed="1" min="86" max="86" width="12.63"/>
    <col hidden="1" min="87" max="91" width="12.63" outlineLevel="1"/>
    <col customWidth="1" min="92" max="92" width="3.63"/>
    <col customWidth="1" min="93" max="93" width="19.38"/>
    <col customWidth="1" min="94" max="94" width="20.88"/>
    <col collapsed="1" customWidth="1" min="96" max="96" width="19.13"/>
    <col hidden="1" min="97" max="99" width="12.63" outlineLevel="1"/>
    <col collapsed="1" min="100" max="100" width="12.63"/>
    <col hidden="1" min="101" max="105" width="12.63" outlineLevel="1"/>
    <col collapsed="1" min="106" max="106" width="12.63"/>
    <col hidden="1" min="107" max="111" width="12.63" outlineLevel="1"/>
    <col collapsed="1" min="112" max="112" width="12.63"/>
    <col hidden="1" min="113" max="117" width="12.63" outlineLevel="1"/>
    <col customWidth="1" min="118" max="118" width="3.63"/>
    <col customWidth="1" min="119" max="119" width="19.38"/>
    <col customWidth="1" min="120" max="120" width="20.88"/>
    <col collapsed="1" customWidth="1" min="122" max="122" width="19.13"/>
    <col hidden="1" min="123" max="125" width="12.63" outlineLevel="1"/>
    <col collapsed="1" min="126" max="126" width="12.63"/>
    <col hidden="1" min="127" max="131" width="12.63" outlineLevel="1"/>
    <col collapsed="1" min="132" max="132" width="12.63"/>
    <col hidden="1" min="133" max="137" width="12.63" outlineLevel="1"/>
    <col collapsed="1" min="138" max="138" width="12.63"/>
    <col hidden="1" min="139" max="143" width="12.63" outlineLevel="1"/>
    <col customWidth="1" min="144" max="144" width="3.63"/>
  </cols>
  <sheetData>
    <row r="1">
      <c r="A1" s="58" t="s">
        <v>154</v>
      </c>
      <c r="F1" s="58" t="s">
        <v>4</v>
      </c>
      <c r="J1" s="63"/>
      <c r="K1" s="58" t="s">
        <v>155</v>
      </c>
      <c r="S1" s="60" t="s">
        <v>8</v>
      </c>
      <c r="T1" s="60" t="s">
        <v>8</v>
      </c>
      <c r="Y1" s="60" t="s">
        <v>10</v>
      </c>
      <c r="Z1" s="60" t="s">
        <v>10</v>
      </c>
      <c r="AE1" s="8" t="s">
        <v>133</v>
      </c>
      <c r="AF1" s="60" t="s">
        <v>14</v>
      </c>
      <c r="AK1" s="63"/>
      <c r="AL1" s="58" t="s">
        <v>156</v>
      </c>
      <c r="AT1" s="64"/>
      <c r="AU1" s="60" t="s">
        <v>8</v>
      </c>
      <c r="AV1" s="60" t="s">
        <v>8</v>
      </c>
      <c r="BA1" s="60" t="s">
        <v>10</v>
      </c>
      <c r="BB1" s="60" t="s">
        <v>10</v>
      </c>
      <c r="BG1" s="8" t="s">
        <v>135</v>
      </c>
      <c r="BH1" s="64" t="s">
        <v>14</v>
      </c>
      <c r="BM1" s="63"/>
      <c r="BN1" s="58" t="s">
        <v>157</v>
      </c>
      <c r="BV1" s="8" t="s">
        <v>8</v>
      </c>
      <c r="BW1" s="8" t="s">
        <v>8</v>
      </c>
      <c r="BX1" s="61" t="s">
        <v>38</v>
      </c>
      <c r="BY1" s="61" t="s">
        <v>39</v>
      </c>
      <c r="BZ1" s="61" t="s">
        <v>40</v>
      </c>
      <c r="CA1" s="61" t="s">
        <v>47</v>
      </c>
      <c r="CB1" s="8" t="s">
        <v>10</v>
      </c>
      <c r="CC1" s="8" t="s">
        <v>10</v>
      </c>
      <c r="CD1" s="61" t="s">
        <v>38</v>
      </c>
      <c r="CE1" s="61" t="s">
        <v>39</v>
      </c>
      <c r="CF1" s="61" t="s">
        <v>40</v>
      </c>
      <c r="CG1" s="61" t="s">
        <v>47</v>
      </c>
      <c r="CH1" s="8" t="s">
        <v>138</v>
      </c>
      <c r="CI1" s="64" t="s">
        <v>139</v>
      </c>
      <c r="CN1" s="63"/>
      <c r="CO1" s="58" t="s">
        <v>159</v>
      </c>
      <c r="CV1" s="8" t="s">
        <v>8</v>
      </c>
      <c r="CW1" s="8" t="s">
        <v>8</v>
      </c>
      <c r="CX1" s="61" t="s">
        <v>38</v>
      </c>
      <c r="CY1" s="61" t="s">
        <v>39</v>
      </c>
      <c r="CZ1" s="61" t="s">
        <v>40</v>
      </c>
      <c r="DA1" s="61" t="s">
        <v>47</v>
      </c>
      <c r="DB1" s="8" t="s">
        <v>10</v>
      </c>
      <c r="DC1" s="8" t="s">
        <v>10</v>
      </c>
      <c r="DD1" s="61" t="s">
        <v>38</v>
      </c>
      <c r="DE1" s="61" t="s">
        <v>39</v>
      </c>
      <c r="DF1" s="61" t="s">
        <v>40</v>
      </c>
      <c r="DG1" s="61" t="s">
        <v>47</v>
      </c>
      <c r="DH1" s="8" t="s">
        <v>160</v>
      </c>
      <c r="DI1" s="64" t="s">
        <v>139</v>
      </c>
      <c r="DN1" s="63"/>
      <c r="DO1" s="58" t="s">
        <v>161</v>
      </c>
      <c r="DV1" s="8" t="s">
        <v>8</v>
      </c>
      <c r="DW1" s="8" t="s">
        <v>8</v>
      </c>
      <c r="DX1" s="61" t="s">
        <v>38</v>
      </c>
      <c r="DY1" s="61" t="s">
        <v>39</v>
      </c>
      <c r="DZ1" s="61" t="s">
        <v>40</v>
      </c>
      <c r="EA1" s="61" t="s">
        <v>47</v>
      </c>
      <c r="EB1" s="8" t="s">
        <v>10</v>
      </c>
      <c r="EC1" s="8" t="s">
        <v>10</v>
      </c>
      <c r="ED1" s="61" t="s">
        <v>38</v>
      </c>
      <c r="EE1" s="61" t="s">
        <v>39</v>
      </c>
      <c r="EF1" s="61" t="s">
        <v>40</v>
      </c>
      <c r="EG1" s="61" t="s">
        <v>47</v>
      </c>
      <c r="EH1" s="8" t="s">
        <v>160</v>
      </c>
      <c r="EI1" s="64" t="s">
        <v>139</v>
      </c>
      <c r="EN1" s="63"/>
    </row>
    <row r="2">
      <c r="A2" s="60" t="s">
        <v>24</v>
      </c>
      <c r="B2" s="8" t="s">
        <v>162</v>
      </c>
      <c r="C2" s="8" t="s">
        <v>65</v>
      </c>
      <c r="D2" s="8" t="s">
        <v>163</v>
      </c>
      <c r="E2" s="8" t="s">
        <v>164</v>
      </c>
      <c r="F2" s="8" t="s">
        <v>165</v>
      </c>
      <c r="G2" s="8" t="s">
        <v>166</v>
      </c>
      <c r="H2" s="8" t="s">
        <v>167</v>
      </c>
      <c r="I2" s="3" t="s">
        <v>31</v>
      </c>
      <c r="K2" s="60" t="s">
        <v>35</v>
      </c>
      <c r="L2" s="60" t="s">
        <v>36</v>
      </c>
      <c r="M2" s="3" t="s">
        <v>38</v>
      </c>
      <c r="N2" s="3" t="s">
        <v>39</v>
      </c>
      <c r="O2" s="3" t="s">
        <v>40</v>
      </c>
      <c r="P2" s="3" t="s">
        <v>42</v>
      </c>
      <c r="Q2" s="3" t="s">
        <v>44</v>
      </c>
      <c r="R2" s="3" t="s">
        <v>45</v>
      </c>
      <c r="T2" s="60" t="s">
        <v>46</v>
      </c>
      <c r="U2" s="60" t="s">
        <v>38</v>
      </c>
      <c r="V2" s="60" t="s">
        <v>39</v>
      </c>
      <c r="W2" s="60" t="s">
        <v>40</v>
      </c>
      <c r="X2" s="3" t="s">
        <v>47</v>
      </c>
      <c r="Z2" s="60" t="s">
        <v>48</v>
      </c>
      <c r="AA2" s="60" t="s">
        <v>38</v>
      </c>
      <c r="AB2" s="60" t="s">
        <v>39</v>
      </c>
      <c r="AC2" s="60" t="s">
        <v>40</v>
      </c>
      <c r="AD2" s="3" t="s">
        <v>47</v>
      </c>
      <c r="AF2" s="60" t="s">
        <v>49</v>
      </c>
      <c r="AG2" s="60" t="s">
        <v>38</v>
      </c>
      <c r="AH2" s="60" t="s">
        <v>39</v>
      </c>
      <c r="AI2" s="60" t="s">
        <v>40</v>
      </c>
      <c r="AJ2" s="58" t="s">
        <v>51</v>
      </c>
      <c r="AL2" s="60" t="s">
        <v>35</v>
      </c>
      <c r="AM2" s="58" t="s">
        <v>65</v>
      </c>
      <c r="AN2" s="60" t="s">
        <v>36</v>
      </c>
      <c r="AO2" s="3" t="s">
        <v>38</v>
      </c>
      <c r="AP2" s="3" t="s">
        <v>39</v>
      </c>
      <c r="AQ2" s="3" t="s">
        <v>40</v>
      </c>
      <c r="AR2" s="3" t="s">
        <v>42</v>
      </c>
      <c r="AS2" s="3" t="s">
        <v>44</v>
      </c>
      <c r="AT2" s="3" t="s">
        <v>45</v>
      </c>
      <c r="AV2" s="60" t="s">
        <v>46</v>
      </c>
      <c r="AW2" s="60" t="s">
        <v>38</v>
      </c>
      <c r="AX2" s="60" t="s">
        <v>39</v>
      </c>
      <c r="AY2" s="60" t="s">
        <v>40</v>
      </c>
      <c r="AZ2" s="3" t="s">
        <v>47</v>
      </c>
      <c r="BB2" s="60" t="s">
        <v>48</v>
      </c>
      <c r="BC2" s="60" t="s">
        <v>38</v>
      </c>
      <c r="BD2" s="60" t="s">
        <v>39</v>
      </c>
      <c r="BE2" s="60" t="s">
        <v>40</v>
      </c>
      <c r="BF2" s="3" t="s">
        <v>47</v>
      </c>
      <c r="BH2" s="60" t="s">
        <v>49</v>
      </c>
      <c r="BI2" s="60" t="s">
        <v>38</v>
      </c>
      <c r="BJ2" s="60" t="s">
        <v>39</v>
      </c>
      <c r="BK2" s="60" t="s">
        <v>40</v>
      </c>
      <c r="BL2" s="58" t="s">
        <v>51</v>
      </c>
      <c r="BM2" s="63"/>
      <c r="BN2" s="60" t="s">
        <v>35</v>
      </c>
      <c r="BO2" s="60" t="s">
        <v>36</v>
      </c>
      <c r="BP2" s="3" t="s">
        <v>38</v>
      </c>
      <c r="BQ2" s="3" t="s">
        <v>39</v>
      </c>
      <c r="BR2" s="3" t="s">
        <v>40</v>
      </c>
      <c r="BS2" s="3" t="s">
        <v>42</v>
      </c>
      <c r="BT2" s="3" t="s">
        <v>44</v>
      </c>
      <c r="BU2" s="3" t="s">
        <v>45</v>
      </c>
      <c r="CI2" s="60" t="s">
        <v>49</v>
      </c>
      <c r="CJ2" s="60" t="s">
        <v>38</v>
      </c>
      <c r="CK2" s="60" t="s">
        <v>39</v>
      </c>
      <c r="CL2" s="60" t="s">
        <v>40</v>
      </c>
      <c r="CM2" s="58" t="s">
        <v>51</v>
      </c>
      <c r="CN2" s="63"/>
      <c r="CO2" s="60" t="s">
        <v>36</v>
      </c>
      <c r="CP2" s="3" t="s">
        <v>38</v>
      </c>
      <c r="CQ2" s="3" t="s">
        <v>39</v>
      </c>
      <c r="CR2" s="3" t="s">
        <v>40</v>
      </c>
      <c r="CS2" s="3" t="s">
        <v>42</v>
      </c>
      <c r="CT2" s="3" t="s">
        <v>44</v>
      </c>
      <c r="CU2" s="3" t="s">
        <v>45</v>
      </c>
      <c r="DI2" s="60" t="s">
        <v>49</v>
      </c>
      <c r="DJ2" s="60" t="s">
        <v>38</v>
      </c>
      <c r="DK2" s="60" t="s">
        <v>39</v>
      </c>
      <c r="DL2" s="60" t="s">
        <v>40</v>
      </c>
      <c r="DM2" s="58" t="s">
        <v>51</v>
      </c>
      <c r="DN2" s="63"/>
      <c r="DO2" s="60" t="s">
        <v>36</v>
      </c>
      <c r="DP2" s="3" t="s">
        <v>38</v>
      </c>
      <c r="DQ2" s="3" t="s">
        <v>39</v>
      </c>
      <c r="DR2" s="3" t="s">
        <v>40</v>
      </c>
      <c r="DS2" s="3" t="s">
        <v>42</v>
      </c>
      <c r="DT2" s="3" t="s">
        <v>44</v>
      </c>
      <c r="DU2" s="3" t="s">
        <v>45</v>
      </c>
      <c r="EI2" s="60" t="s">
        <v>49</v>
      </c>
      <c r="EJ2" s="60" t="s">
        <v>38</v>
      </c>
      <c r="EK2" s="60" t="s">
        <v>39</v>
      </c>
      <c r="EL2" s="60" t="s">
        <v>40</v>
      </c>
      <c r="EM2" s="58" t="s">
        <v>51</v>
      </c>
      <c r="EN2" s="63"/>
    </row>
    <row r="3">
      <c r="A3" s="20">
        <f t="shared" ref="A3:A30" si="1">IF(B3="","",COUNTA($B$3:B3))</f>
        <v>1</v>
      </c>
      <c r="B3" s="21" t="s">
        <v>171</v>
      </c>
      <c r="C3" s="57"/>
      <c r="D3" s="57"/>
      <c r="E3" s="27" t="str">
        <f t="shared" ref="E3:E30" si="2">if(or(B3&lt;&gt;"",B3&lt;&gt;""),CONCATENATE("CC",text(COUNTA(B$3:B3),"000"),"JEN"),"")</f>
        <v>CC001JEN</v>
      </c>
      <c r="F3" s="20">
        <v>1.0</v>
      </c>
      <c r="G3" s="20"/>
      <c r="H3" s="20">
        <v>1.0</v>
      </c>
      <c r="I3" s="23" t="s">
        <v>72</v>
      </c>
      <c r="J3" s="5"/>
      <c r="K3" s="22">
        <f t="shared" ref="K3:K30" si="3">F3</f>
        <v>1</v>
      </c>
      <c r="L3" s="23" t="s">
        <v>173</v>
      </c>
      <c r="M3" s="44">
        <f t="shared" ref="M3:M30" si="4">if(L3&lt;&gt;"", if(M3="",NOW(),M3),"")</f>
        <v>46310.5807</v>
      </c>
      <c r="N3" s="25" t="s">
        <v>69</v>
      </c>
      <c r="O3" s="44">
        <f t="shared" ref="O3:O5" si="5">if(N3="Done", if(O3="",NOW(),O3),"")</f>
        <v>46310.61988</v>
      </c>
      <c r="P3" s="29">
        <f t="shared" ref="P3:P30" si="6">IF(AND(M3&lt;&gt;"",O3&lt;&gt;""),(O3-M3)*1440,"")</f>
        <v>56.42816666</v>
      </c>
      <c r="Q3" s="29">
        <f t="shared" ref="Q3:Q30" si="7">IF(
  INT(M3)=INT(O3),
  IF(
    AND(MOD(M3,1)&lt;TIME(12,0,0), MOD(O3,1)&gt;TIME(12,0,0)),
    60,
    0
  ),
  IF(
    MOD(O3,1)&lt;=TIME(12,0,0),
    (INT(O3)-INT(M3))*960,
    (INT(O3)-INT(M3))*1020
  )
)</f>
        <v>0</v>
      </c>
      <c r="R3" s="29">
        <f t="shared" ref="R3:R30" si="8">(P3-Q3)/60</f>
        <v>0.9404694443</v>
      </c>
      <c r="S3" s="22" t="str">
        <f t="shared" ref="S3:S30" si="9">V3</f>
        <v/>
      </c>
      <c r="T3" s="23"/>
      <c r="U3" s="44" t="str">
        <f t="shared" ref="U3:U30" si="10">if(T3&lt;&gt;"", if(U3="",NOW(),U3),"")</f>
        <v/>
      </c>
      <c r="V3" s="25"/>
      <c r="W3" s="44" t="str">
        <f t="shared" ref="W3:W30" si="11">if(V3="Done", if(W3="",NOW(),W3),"")</f>
        <v/>
      </c>
      <c r="X3" s="47"/>
      <c r="Y3" s="22" t="str">
        <f t="shared" ref="Y3:Y30" si="12">AB3</f>
        <v/>
      </c>
      <c r="Z3" s="23"/>
      <c r="AA3" s="44" t="str">
        <f t="shared" ref="AA3:AA30" si="13">if(Z3&lt;&gt;"", if(AA3="",NOW(),AA3),"")</f>
        <v/>
      </c>
      <c r="AB3" s="25"/>
      <c r="AC3" s="44" t="str">
        <f t="shared" ref="AC3:AC30" si="14">if(AB3="Done", if(AC3="",NOW(),AC3),"")</f>
        <v/>
      </c>
      <c r="AD3" s="47"/>
      <c r="AE3" s="22" t="str">
        <f t="shared" ref="AE3:AE30" si="15">AH3</f>
        <v/>
      </c>
      <c r="AF3" s="23"/>
      <c r="AG3" s="45" t="str">
        <f t="shared" ref="AG3:AG30" si="16">if(AF3&lt;&gt;"", if(AG3="",NOW(),AG3),"")</f>
        <v/>
      </c>
      <c r="AH3" s="25"/>
      <c r="AI3" s="45" t="str">
        <f t="shared" ref="AI3:AI30" si="17">if(AH3="Done", if(AI3="",NOW(),AI3),"")</f>
        <v/>
      </c>
      <c r="AJ3" s="20">
        <v>0.0</v>
      </c>
      <c r="AK3" s="5"/>
      <c r="AL3" s="22" t="str">
        <f t="shared" ref="AL3:AL30" si="18">G3</f>
        <v/>
      </c>
      <c r="AM3" s="22"/>
      <c r="AN3" s="23"/>
      <c r="AO3" s="44" t="str">
        <f t="shared" ref="AO3:AO30" si="19">if(AN3&lt;&gt;"", if(AO3="",NOW(),AO3),"")</f>
        <v/>
      </c>
      <c r="AP3" s="25"/>
      <c r="AQ3" s="44" t="str">
        <f t="shared" ref="AQ3:AQ7" si="20">if(AP3="Done", if(AQ3="",NOW(),AQ3),"")</f>
        <v/>
      </c>
      <c r="AR3" s="29" t="str">
        <f t="shared" ref="AR3:AR30" si="21">IF(AND(AO3&lt;&gt;"",AQ3&lt;&gt;""),(AQ3-AO3)*1440,"")</f>
        <v/>
      </c>
      <c r="AS3" s="29">
        <f t="shared" ref="AS3:AS30" si="22">IF(
  INT(AO3)=INT(AQ3),
  IF(
    AND(MOD(AO3,1)&lt;TIME(12,0,0), MOD(AQ3,1)&gt;TIME(12,0,0)),
    60,
    0
  ),
  IF(
    MOD(AQ3,1)&lt;=TIME(12,0,0),
    (INT(AQ3)-INT(AO3))*960,
    (INT(AQ3)-INT(AO3))*1020
  )
)</f>
        <v>0</v>
      </c>
      <c r="AT3" s="29">
        <f t="shared" ref="AT3:AT30" si="23">(AR3-AS3)/60</f>
        <v>0</v>
      </c>
      <c r="AU3" s="22" t="str">
        <f t="shared" ref="AU3:AU30" si="24">AX3</f>
        <v/>
      </c>
      <c r="AV3" s="23"/>
      <c r="AW3" s="44" t="str">
        <f t="shared" ref="AW3:AW30" si="25">if(AV3&lt;&gt;"", if(AW3="",NOW(),AW3),"")</f>
        <v/>
      </c>
      <c r="AX3" s="25"/>
      <c r="AY3" s="44" t="str">
        <f t="shared" ref="AY3:AY30" si="26">if(AX3="Done", if(AY3="",NOW(),AY3),"")</f>
        <v/>
      </c>
      <c r="AZ3" s="47"/>
      <c r="BA3" s="22" t="str">
        <f t="shared" ref="BA3:BA30" si="27">BD3</f>
        <v/>
      </c>
      <c r="BB3" s="23"/>
      <c r="BC3" s="44" t="str">
        <f t="shared" ref="BC3:BC30" si="28">if(BB3&lt;&gt;"", if(BC3="",NOW(),BC3),"")</f>
        <v/>
      </c>
      <c r="BD3" s="25"/>
      <c r="BE3" s="44" t="str">
        <f t="shared" ref="BE3:BE30" si="29">if(BD3="Done", if(BE3="",NOW(),BE3),"")</f>
        <v/>
      </c>
      <c r="BF3" s="47"/>
      <c r="BG3" s="22" t="str">
        <f t="shared" ref="BG3:BG30" si="30">BJ3</f>
        <v/>
      </c>
      <c r="BH3" s="23"/>
      <c r="BI3" s="45" t="str">
        <f t="shared" ref="BI3:BI30" si="31">if(BH3&lt;&gt;"", if(BI3="",NOW(),BI3),"")</f>
        <v/>
      </c>
      <c r="BJ3" s="25"/>
      <c r="BK3" s="45" t="str">
        <f t="shared" ref="BK3:BK30" si="32">if(BJ3="Done", if(BK3="",NOW(),BK3),"")</f>
        <v/>
      </c>
      <c r="BL3" s="20">
        <v>0.0</v>
      </c>
      <c r="BM3" s="5"/>
      <c r="BN3" s="22">
        <f t="shared" ref="BN3:BN30" si="33">H3</f>
        <v>1</v>
      </c>
      <c r="BO3" s="23" t="s">
        <v>73</v>
      </c>
      <c r="BP3" s="44">
        <f t="shared" ref="BP3:BP30" si="34">if(BO3&lt;&gt;"", if(BP3="",NOW(),BP3),"")</f>
        <v>46314.66969</v>
      </c>
      <c r="BQ3" s="25" t="s">
        <v>69</v>
      </c>
      <c r="BR3" s="34">
        <v>46314.680190520834</v>
      </c>
      <c r="BS3" s="29">
        <f t="shared" ref="BS3:BS30" si="35">IF(AND(BP3&lt;&gt;"",BR3&lt;&gt;""),(BR3-BP3)*1440,"")</f>
        <v>15.11706666</v>
      </c>
      <c r="BT3" s="29">
        <f t="shared" ref="BT3:BT30" si="36">IF(
  INT(BP3)=INT(BR3),
  IF(
    AND(MOD(BP3,1)&lt;TIME(12,0,0), MOD(BR3,1)&gt;TIME(12,0,0)),
    60,
    0
  ),
  IF(
    MOD(BR3,1)&lt;=TIME(12,0,0),
    (INT(BR3)-INT(BP3))*960,
    (INT(BR3)-INT(BP3))*1020
  )
)</f>
        <v>0</v>
      </c>
      <c r="BU3" s="29">
        <f t="shared" ref="BU3:BU30" si="37">(BS3-BT3)/60</f>
        <v>0.2519511111</v>
      </c>
      <c r="BV3" s="22" t="str">
        <f t="shared" ref="BV3:BV30" si="38">BY3</f>
        <v/>
      </c>
      <c r="BW3" s="23"/>
      <c r="BX3" s="44" t="str">
        <f t="shared" ref="BX3:BX30" si="39">if(BW3&lt;&gt;"", if(BX3="",NOW(),BX3),"")</f>
        <v/>
      </c>
      <c r="BY3" s="25"/>
      <c r="BZ3" s="44" t="str">
        <f t="shared" ref="BZ3:BZ30" si="40">if(BY3="Done", if(BZ3="",NOW(),BZ3),"")</f>
        <v/>
      </c>
      <c r="CA3" s="47"/>
      <c r="CB3" s="22" t="str">
        <f t="shared" ref="CB3:CB30" si="41">CE3</f>
        <v/>
      </c>
      <c r="CC3" s="23"/>
      <c r="CD3" s="44" t="str">
        <f t="shared" ref="CD3:CD30" si="42">if(CC3&lt;&gt;"", if(CD3="",NOW(),CD3),"")</f>
        <v/>
      </c>
      <c r="CE3" s="25"/>
      <c r="CF3" s="44" t="str">
        <f t="shared" ref="CF3:CF30" si="43">if(CE3="Done", if(CF3="",NOW(),CF3),"")</f>
        <v/>
      </c>
      <c r="CG3" s="47"/>
      <c r="CH3" s="22" t="str">
        <f t="shared" ref="CH3:CH30" si="44">CK3</f>
        <v/>
      </c>
      <c r="CI3" s="23"/>
      <c r="CJ3" s="45" t="str">
        <f t="shared" ref="CJ3:CJ30" si="45">if(CI3&lt;&gt;"", if(CJ3="",NOW(),CJ3),"")</f>
        <v/>
      </c>
      <c r="CK3" s="25"/>
      <c r="CL3" s="45" t="str">
        <f t="shared" ref="CL3:CL30" si="46">if(CK3="Done", if(CL3="",NOW(),CL3),"")</f>
        <v/>
      </c>
      <c r="CM3" s="20">
        <v>0.0</v>
      </c>
      <c r="CN3" s="5"/>
      <c r="CO3" s="23" t="s">
        <v>73</v>
      </c>
      <c r="CP3" s="44">
        <f t="shared" ref="CP3:CP30" si="47">if(CO3&lt;&gt;"", if(CP3="",NOW(),CP3),"")</f>
        <v>46315.44599</v>
      </c>
      <c r="CQ3" s="25" t="s">
        <v>69</v>
      </c>
      <c r="CR3" s="34">
        <v>46315.444381759255</v>
      </c>
      <c r="CS3" s="29">
        <f t="shared" ref="CS3:CS30" si="48">IF(AND(CP3&lt;&gt;"",CR3&lt;&gt;""),(CR3-CP3)*1440,"")</f>
        <v>-2.31596668</v>
      </c>
      <c r="CT3" s="29">
        <f t="shared" ref="CT3:CT30" si="49">IF(
  INT(CP3)=INT(CR3),
  IF(
    AND(MOD(CP3,1)&lt;TIME(12,0,0), MOD(CR3,1)&gt;TIME(12,0,0)),
    60,
    0
  ),
  IF(
    MOD(CR3,1)&lt;=TIME(12,0,0),
    (INT(CR3)-INT(CP3))*960,
    (INT(CR3)-INT(CP3))*1020
  )
)</f>
        <v>0</v>
      </c>
      <c r="CU3" s="29">
        <f t="shared" ref="CU3:CU30" si="50">(CS3-CT3)/60</f>
        <v>-0.03859944467</v>
      </c>
      <c r="CV3" s="22" t="str">
        <f t="shared" ref="CV3:CV30" si="51">CY3</f>
        <v/>
      </c>
      <c r="CW3" s="23"/>
      <c r="CX3" s="44" t="str">
        <f t="shared" ref="CX3:CX30" si="52">if(CW3&lt;&gt;"", if(CX3="",NOW(),CX3),"")</f>
        <v/>
      </c>
      <c r="CY3" s="25"/>
      <c r="CZ3" s="44" t="str">
        <f t="shared" ref="CZ3:CZ30" si="53">if(CY3="Done", if(CZ3="",NOW(),CZ3),"")</f>
        <v/>
      </c>
      <c r="DA3" s="47"/>
      <c r="DB3" s="22" t="str">
        <f t="shared" ref="DB3:DB30" si="54">DE3</f>
        <v/>
      </c>
      <c r="DC3" s="23"/>
      <c r="DD3" s="44" t="str">
        <f t="shared" ref="DD3:DD30" si="55">if(DC3&lt;&gt;"", if(DD3="",NOW(),DD3),"")</f>
        <v/>
      </c>
      <c r="DE3" s="25"/>
      <c r="DF3" s="44" t="str">
        <f t="shared" ref="DF3:DF30" si="56">if(DE3="Done", if(DF3="",NOW(),DF3),"")</f>
        <v/>
      </c>
      <c r="DG3" s="47"/>
      <c r="DH3" s="22" t="str">
        <f t="shared" ref="DH3:DH30" si="57">DK3</f>
        <v/>
      </c>
      <c r="DI3" s="23"/>
      <c r="DJ3" s="45" t="str">
        <f t="shared" ref="DJ3:DJ30" si="58">if(DI3&lt;&gt;"", if(DJ3="",NOW(),DJ3),"")</f>
        <v/>
      </c>
      <c r="DK3" s="25"/>
      <c r="DL3" s="45" t="str">
        <f t="shared" ref="DL3:DL30" si="59">if(DK3="Done", if(DL3="",NOW(),DL3),"")</f>
        <v/>
      </c>
      <c r="DM3" s="20">
        <v>0.0</v>
      </c>
      <c r="DN3" s="5"/>
      <c r="DO3" s="23" t="s">
        <v>173</v>
      </c>
      <c r="DP3" s="40">
        <f t="shared" ref="DP3:DP30" si="60">if(DO3&lt;&gt;"", if(DP3="",NOW(),DP3),"")</f>
        <v>46316.40154</v>
      </c>
      <c r="DQ3" s="25" t="s">
        <v>187</v>
      </c>
      <c r="DR3" s="45" t="str">
        <f t="shared" ref="DR3:DR30" si="61">if(DQ3="Done", if(DR3="",NOW(),DR3),"")</f>
        <v/>
      </c>
      <c r="DS3" s="29" t="str">
        <f t="shared" ref="DS3:DS30" si="62">IF(AND(DP3&lt;&gt;"",DR3&lt;&gt;""),(DR3-DP3)*1440,"")</f>
        <v/>
      </c>
      <c r="DT3" s="29">
        <f t="shared" ref="DT3:DT30" si="63">IF(
  INT(DP3)=INT(DR3),
  IF(
    AND(MOD(DP3,1)&lt;TIME(12,0,0), MOD(DR3,1)&gt;TIME(12,0,0)),
    60,
    0
  ),
  IF(
    MOD(DR3,1)&lt;=TIME(12,0,0),
    (INT(DR3)-INT(DP3))*960,
    (INT(DR3)-INT(DP3))*1020
  )
)</f>
        <v>-44463360</v>
      </c>
      <c r="DU3" s="29">
        <f t="shared" ref="DU3:DU30" si="64">(DS3-DT3)/60</f>
        <v>741056</v>
      </c>
      <c r="DV3" s="22" t="str">
        <f t="shared" ref="DV3:DV30" si="65">DY3</f>
        <v/>
      </c>
      <c r="DW3" s="23"/>
      <c r="DX3" s="45" t="str">
        <f t="shared" ref="DX3:DX30" si="66">if(DW3&lt;&gt;"", if(DX3="",NOW(),DX3),"")</f>
        <v/>
      </c>
      <c r="DY3" s="25"/>
      <c r="DZ3" s="45" t="str">
        <f t="shared" ref="DZ3:DZ30" si="67">if(DY3="Done", if(DZ3="",NOW(),DZ3),"")</f>
        <v/>
      </c>
      <c r="EA3" s="47"/>
      <c r="EB3" s="22" t="str">
        <f t="shared" ref="EB3:EB30" si="68">EE3</f>
        <v/>
      </c>
      <c r="EC3" s="23"/>
      <c r="ED3" s="45" t="str">
        <f t="shared" ref="ED3:ED30" si="69">if(EC3&lt;&gt;"", if(ED3="",NOW(),ED3),"")</f>
        <v/>
      </c>
      <c r="EE3" s="25"/>
      <c r="EF3" s="45" t="str">
        <f t="shared" ref="EF3:EF30" si="70">if(EE3="Done", if(EF3="",NOW(),EF3),"")</f>
        <v/>
      </c>
      <c r="EG3" s="47"/>
      <c r="EH3" s="22" t="str">
        <f t="shared" ref="EH3:EH30" si="71">EK3</f>
        <v/>
      </c>
      <c r="EI3" s="23"/>
      <c r="EJ3" s="45" t="str">
        <f t="shared" ref="EJ3:EJ30" si="72">if(EI3&lt;&gt;"", if(EJ3="",NOW(),EJ3),"")</f>
        <v/>
      </c>
      <c r="EK3" s="25"/>
      <c r="EL3" s="45" t="str">
        <f t="shared" ref="EL3:EL30" si="73">if(EK3="Done", if(EL3="",NOW(),EL3),"")</f>
        <v/>
      </c>
      <c r="EM3" s="20">
        <v>0.0</v>
      </c>
      <c r="EN3" s="5"/>
    </row>
    <row r="4">
      <c r="A4" s="20">
        <f t="shared" si="1"/>
        <v>2</v>
      </c>
      <c r="B4" s="21" t="s">
        <v>197</v>
      </c>
      <c r="C4" s="57"/>
      <c r="D4" s="57"/>
      <c r="E4" s="27" t="str">
        <f t="shared" si="2"/>
        <v>CC002JEN</v>
      </c>
      <c r="F4" s="20">
        <v>1.0</v>
      </c>
      <c r="G4" s="20"/>
      <c r="H4" s="20">
        <v>1.0</v>
      </c>
      <c r="I4" s="23" t="s">
        <v>72</v>
      </c>
      <c r="J4" s="5"/>
      <c r="K4" s="22">
        <f t="shared" si="3"/>
        <v>1</v>
      </c>
      <c r="L4" s="23" t="s">
        <v>173</v>
      </c>
      <c r="M4" s="44">
        <f t="shared" si="4"/>
        <v>46310.63796</v>
      </c>
      <c r="N4" s="25" t="s">
        <v>69</v>
      </c>
      <c r="O4" s="44">
        <f t="shared" si="5"/>
        <v>46310.65913</v>
      </c>
      <c r="P4" s="29">
        <f t="shared" si="6"/>
        <v>30.48096666</v>
      </c>
      <c r="Q4" s="29">
        <f t="shared" si="7"/>
        <v>0</v>
      </c>
      <c r="R4" s="29">
        <f t="shared" si="8"/>
        <v>0.508016111</v>
      </c>
      <c r="S4" s="22" t="str">
        <f t="shared" si="9"/>
        <v/>
      </c>
      <c r="T4" s="23"/>
      <c r="U4" s="44" t="str">
        <f t="shared" si="10"/>
        <v/>
      </c>
      <c r="V4" s="25"/>
      <c r="W4" s="44" t="str">
        <f t="shared" si="11"/>
        <v/>
      </c>
      <c r="X4" s="47"/>
      <c r="Y4" s="22" t="str">
        <f t="shared" si="12"/>
        <v/>
      </c>
      <c r="Z4" s="23"/>
      <c r="AA4" s="44" t="str">
        <f t="shared" si="13"/>
        <v/>
      </c>
      <c r="AB4" s="25"/>
      <c r="AC4" s="44" t="str">
        <f t="shared" si="14"/>
        <v/>
      </c>
      <c r="AD4" s="47"/>
      <c r="AE4" s="22" t="str">
        <f t="shared" si="15"/>
        <v/>
      </c>
      <c r="AF4" s="23"/>
      <c r="AG4" s="45" t="str">
        <f t="shared" si="16"/>
        <v/>
      </c>
      <c r="AH4" s="25"/>
      <c r="AI4" s="45" t="str">
        <f t="shared" si="17"/>
        <v/>
      </c>
      <c r="AJ4" s="20">
        <v>0.0</v>
      </c>
      <c r="AK4" s="5"/>
      <c r="AL4" s="22" t="str">
        <f t="shared" si="18"/>
        <v/>
      </c>
      <c r="AM4" s="22"/>
      <c r="AN4" s="23"/>
      <c r="AO4" s="44" t="str">
        <f t="shared" si="19"/>
        <v/>
      </c>
      <c r="AP4" s="25"/>
      <c r="AQ4" s="44" t="str">
        <f t="shared" si="20"/>
        <v/>
      </c>
      <c r="AR4" s="29" t="str">
        <f t="shared" si="21"/>
        <v/>
      </c>
      <c r="AS4" s="29">
        <f t="shared" si="22"/>
        <v>0</v>
      </c>
      <c r="AT4" s="29">
        <f t="shared" si="23"/>
        <v>0</v>
      </c>
      <c r="AU4" s="22" t="str">
        <f t="shared" si="24"/>
        <v/>
      </c>
      <c r="AV4" s="23"/>
      <c r="AW4" s="44" t="str">
        <f t="shared" si="25"/>
        <v/>
      </c>
      <c r="AX4" s="25"/>
      <c r="AY4" s="44" t="str">
        <f t="shared" si="26"/>
        <v/>
      </c>
      <c r="AZ4" s="47"/>
      <c r="BA4" s="22" t="str">
        <f t="shared" si="27"/>
        <v/>
      </c>
      <c r="BB4" s="23"/>
      <c r="BC4" s="44" t="str">
        <f t="shared" si="28"/>
        <v/>
      </c>
      <c r="BD4" s="25"/>
      <c r="BE4" s="44" t="str">
        <f t="shared" si="29"/>
        <v/>
      </c>
      <c r="BF4" s="47"/>
      <c r="BG4" s="22" t="str">
        <f t="shared" si="30"/>
        <v/>
      </c>
      <c r="BH4" s="23"/>
      <c r="BI4" s="45" t="str">
        <f t="shared" si="31"/>
        <v/>
      </c>
      <c r="BJ4" s="25"/>
      <c r="BK4" s="45" t="str">
        <f t="shared" si="32"/>
        <v/>
      </c>
      <c r="BL4" s="20">
        <v>0.0</v>
      </c>
      <c r="BM4" s="5"/>
      <c r="BN4" s="22">
        <f t="shared" si="33"/>
        <v>1</v>
      </c>
      <c r="BO4" s="23" t="s">
        <v>73</v>
      </c>
      <c r="BP4" s="44">
        <f t="shared" si="34"/>
        <v>46314.68748</v>
      </c>
      <c r="BQ4" s="25" t="s">
        <v>69</v>
      </c>
      <c r="BR4" s="34">
        <v>46314.69055753472</v>
      </c>
      <c r="BS4" s="29">
        <f t="shared" si="35"/>
        <v>4.425116668</v>
      </c>
      <c r="BT4" s="29">
        <f t="shared" si="36"/>
        <v>0</v>
      </c>
      <c r="BU4" s="29">
        <f t="shared" si="37"/>
        <v>0.07375194447</v>
      </c>
      <c r="BV4" s="22" t="str">
        <f t="shared" si="38"/>
        <v/>
      </c>
      <c r="BW4" s="23"/>
      <c r="BX4" s="44" t="str">
        <f t="shared" si="39"/>
        <v/>
      </c>
      <c r="BY4" s="25"/>
      <c r="BZ4" s="44" t="str">
        <f t="shared" si="40"/>
        <v/>
      </c>
      <c r="CA4" s="47"/>
      <c r="CB4" s="22" t="str">
        <f t="shared" si="41"/>
        <v/>
      </c>
      <c r="CC4" s="23"/>
      <c r="CD4" s="44" t="str">
        <f t="shared" si="42"/>
        <v/>
      </c>
      <c r="CE4" s="25"/>
      <c r="CF4" s="44" t="str">
        <f t="shared" si="43"/>
        <v/>
      </c>
      <c r="CG4" s="47"/>
      <c r="CH4" s="22" t="str">
        <f t="shared" si="44"/>
        <v/>
      </c>
      <c r="CI4" s="23"/>
      <c r="CJ4" s="45" t="str">
        <f t="shared" si="45"/>
        <v/>
      </c>
      <c r="CK4" s="25"/>
      <c r="CL4" s="45" t="str">
        <f t="shared" si="46"/>
        <v/>
      </c>
      <c r="CM4" s="20">
        <v>0.0</v>
      </c>
      <c r="CN4" s="5"/>
      <c r="CO4" s="23" t="s">
        <v>73</v>
      </c>
      <c r="CP4" s="44">
        <f t="shared" si="47"/>
        <v>46315.45853</v>
      </c>
      <c r="CQ4" s="25" t="s">
        <v>69</v>
      </c>
      <c r="CR4" s="44">
        <f>if(CQ4="Done", if(CR4="",NOW(),CR4),"")</f>
        <v>46315.60035</v>
      </c>
      <c r="CS4" s="29">
        <f t="shared" si="48"/>
        <v>204.2092167</v>
      </c>
      <c r="CT4" s="29">
        <f t="shared" si="49"/>
        <v>60</v>
      </c>
      <c r="CU4" s="29">
        <f t="shared" si="50"/>
        <v>2.403486945</v>
      </c>
      <c r="CV4" s="22" t="str">
        <f t="shared" si="51"/>
        <v/>
      </c>
      <c r="CW4" s="23"/>
      <c r="CX4" s="44" t="str">
        <f t="shared" si="52"/>
        <v/>
      </c>
      <c r="CY4" s="25"/>
      <c r="CZ4" s="44" t="str">
        <f t="shared" si="53"/>
        <v/>
      </c>
      <c r="DA4" s="47"/>
      <c r="DB4" s="22" t="str">
        <f t="shared" si="54"/>
        <v/>
      </c>
      <c r="DC4" s="23"/>
      <c r="DD4" s="44" t="str">
        <f t="shared" si="55"/>
        <v/>
      </c>
      <c r="DE4" s="25"/>
      <c r="DF4" s="44" t="str">
        <f t="shared" si="56"/>
        <v/>
      </c>
      <c r="DG4" s="47"/>
      <c r="DH4" s="22" t="str">
        <f t="shared" si="57"/>
        <v/>
      </c>
      <c r="DI4" s="23"/>
      <c r="DJ4" s="45" t="str">
        <f t="shared" si="58"/>
        <v/>
      </c>
      <c r="DK4" s="25"/>
      <c r="DL4" s="45" t="str">
        <f t="shared" si="59"/>
        <v/>
      </c>
      <c r="DM4" s="20">
        <v>0.0</v>
      </c>
      <c r="DN4" s="5"/>
      <c r="DO4" s="23"/>
      <c r="DP4" s="45" t="str">
        <f t="shared" si="60"/>
        <v/>
      </c>
      <c r="DQ4" s="25"/>
      <c r="DR4" s="45" t="str">
        <f t="shared" si="61"/>
        <v/>
      </c>
      <c r="DS4" s="29" t="str">
        <f t="shared" si="62"/>
        <v/>
      </c>
      <c r="DT4" s="29">
        <f t="shared" si="63"/>
        <v>0</v>
      </c>
      <c r="DU4" s="29">
        <f t="shared" si="64"/>
        <v>0</v>
      </c>
      <c r="DV4" s="22" t="str">
        <f t="shared" si="65"/>
        <v/>
      </c>
      <c r="DW4" s="23"/>
      <c r="DX4" s="45" t="str">
        <f t="shared" si="66"/>
        <v/>
      </c>
      <c r="DY4" s="25"/>
      <c r="DZ4" s="45" t="str">
        <f t="shared" si="67"/>
        <v/>
      </c>
      <c r="EA4" s="47"/>
      <c r="EB4" s="22" t="str">
        <f t="shared" si="68"/>
        <v/>
      </c>
      <c r="EC4" s="23"/>
      <c r="ED4" s="45" t="str">
        <f t="shared" si="69"/>
        <v/>
      </c>
      <c r="EE4" s="25"/>
      <c r="EF4" s="45" t="str">
        <f t="shared" si="70"/>
        <v/>
      </c>
      <c r="EG4" s="47"/>
      <c r="EH4" s="22" t="str">
        <f t="shared" si="71"/>
        <v/>
      </c>
      <c r="EI4" s="23"/>
      <c r="EJ4" s="45" t="str">
        <f t="shared" si="72"/>
        <v/>
      </c>
      <c r="EK4" s="25"/>
      <c r="EL4" s="45" t="str">
        <f t="shared" si="73"/>
        <v/>
      </c>
      <c r="EM4" s="20">
        <v>0.0</v>
      </c>
      <c r="EN4" s="5"/>
    </row>
    <row r="5">
      <c r="A5" s="20">
        <f t="shared" si="1"/>
        <v>3</v>
      </c>
      <c r="B5" s="21" t="s">
        <v>202</v>
      </c>
      <c r="C5" s="57"/>
      <c r="D5" s="57"/>
      <c r="E5" s="27" t="str">
        <f t="shared" si="2"/>
        <v>CC003JEN</v>
      </c>
      <c r="F5" s="20">
        <v>1.0</v>
      </c>
      <c r="G5" s="20"/>
      <c r="H5" s="20">
        <v>1.0</v>
      </c>
      <c r="I5" s="23" t="s">
        <v>72</v>
      </c>
      <c r="J5" s="5"/>
      <c r="K5" s="22">
        <f t="shared" si="3"/>
        <v>1</v>
      </c>
      <c r="L5" s="23" t="s">
        <v>173</v>
      </c>
      <c r="M5" s="44">
        <f t="shared" si="4"/>
        <v>46310.66524</v>
      </c>
      <c r="N5" s="25" t="s">
        <v>69</v>
      </c>
      <c r="O5" s="44">
        <f t="shared" si="5"/>
        <v>46310.89199</v>
      </c>
      <c r="P5" s="29">
        <f t="shared" si="6"/>
        <v>326.5207667</v>
      </c>
      <c r="Q5" s="29">
        <f t="shared" si="7"/>
        <v>0</v>
      </c>
      <c r="R5" s="29">
        <f t="shared" si="8"/>
        <v>5.442012778</v>
      </c>
      <c r="S5" s="22" t="str">
        <f t="shared" si="9"/>
        <v/>
      </c>
      <c r="T5" s="23"/>
      <c r="U5" s="44" t="str">
        <f t="shared" si="10"/>
        <v/>
      </c>
      <c r="V5" s="25"/>
      <c r="W5" s="44" t="str">
        <f t="shared" si="11"/>
        <v/>
      </c>
      <c r="X5" s="47"/>
      <c r="Y5" s="22" t="str">
        <f t="shared" si="12"/>
        <v/>
      </c>
      <c r="Z5" s="23"/>
      <c r="AA5" s="44" t="str">
        <f t="shared" si="13"/>
        <v/>
      </c>
      <c r="AB5" s="25"/>
      <c r="AC5" s="44" t="str">
        <f t="shared" si="14"/>
        <v/>
      </c>
      <c r="AD5" s="47"/>
      <c r="AE5" s="22" t="str">
        <f t="shared" si="15"/>
        <v/>
      </c>
      <c r="AF5" s="23"/>
      <c r="AG5" s="45" t="str">
        <f t="shared" si="16"/>
        <v/>
      </c>
      <c r="AH5" s="25"/>
      <c r="AI5" s="45" t="str">
        <f t="shared" si="17"/>
        <v/>
      </c>
      <c r="AJ5" s="20">
        <v>0.0</v>
      </c>
      <c r="AK5" s="5"/>
      <c r="AL5" s="22" t="str">
        <f t="shared" si="18"/>
        <v/>
      </c>
      <c r="AM5" s="22"/>
      <c r="AN5" s="23"/>
      <c r="AO5" s="44" t="str">
        <f t="shared" si="19"/>
        <v/>
      </c>
      <c r="AP5" s="25"/>
      <c r="AQ5" s="44" t="str">
        <f t="shared" si="20"/>
        <v/>
      </c>
      <c r="AR5" s="29" t="str">
        <f t="shared" si="21"/>
        <v/>
      </c>
      <c r="AS5" s="29">
        <f t="shared" si="22"/>
        <v>0</v>
      </c>
      <c r="AT5" s="29">
        <f t="shared" si="23"/>
        <v>0</v>
      </c>
      <c r="AU5" s="22" t="str">
        <f t="shared" si="24"/>
        <v/>
      </c>
      <c r="AV5" s="23"/>
      <c r="AW5" s="44" t="str">
        <f t="shared" si="25"/>
        <v/>
      </c>
      <c r="AX5" s="25"/>
      <c r="AY5" s="44" t="str">
        <f t="shared" si="26"/>
        <v/>
      </c>
      <c r="AZ5" s="47"/>
      <c r="BA5" s="22" t="str">
        <f t="shared" si="27"/>
        <v/>
      </c>
      <c r="BB5" s="23"/>
      <c r="BC5" s="44" t="str">
        <f t="shared" si="28"/>
        <v/>
      </c>
      <c r="BD5" s="25"/>
      <c r="BE5" s="44" t="str">
        <f t="shared" si="29"/>
        <v/>
      </c>
      <c r="BF5" s="47"/>
      <c r="BG5" s="22" t="str">
        <f t="shared" si="30"/>
        <v/>
      </c>
      <c r="BH5" s="23"/>
      <c r="BI5" s="45" t="str">
        <f t="shared" si="31"/>
        <v/>
      </c>
      <c r="BJ5" s="25"/>
      <c r="BK5" s="45" t="str">
        <f t="shared" si="32"/>
        <v/>
      </c>
      <c r="BL5" s="20">
        <v>0.0</v>
      </c>
      <c r="BM5" s="5"/>
      <c r="BN5" s="22">
        <f t="shared" si="33"/>
        <v>1</v>
      </c>
      <c r="BO5" s="23" t="s">
        <v>73</v>
      </c>
      <c r="BP5" s="44">
        <f t="shared" si="34"/>
        <v>46314.695</v>
      </c>
      <c r="BQ5" s="25" t="s">
        <v>69</v>
      </c>
      <c r="BR5" s="44">
        <f t="shared" ref="BR5:BR10" si="74">if(BQ5="Done", if(BR5="",NOW(),BR5),"")</f>
        <v>46314.69902</v>
      </c>
      <c r="BS5" s="29">
        <f t="shared" si="35"/>
        <v>5.782916669</v>
      </c>
      <c r="BT5" s="29">
        <f t="shared" si="36"/>
        <v>0</v>
      </c>
      <c r="BU5" s="29">
        <f t="shared" si="37"/>
        <v>0.09638194449</v>
      </c>
      <c r="BV5" s="22" t="str">
        <f t="shared" si="38"/>
        <v/>
      </c>
      <c r="BW5" s="23"/>
      <c r="BX5" s="44" t="str">
        <f t="shared" si="39"/>
        <v/>
      </c>
      <c r="BY5" s="25"/>
      <c r="BZ5" s="44" t="str">
        <f t="shared" si="40"/>
        <v/>
      </c>
      <c r="CA5" s="47"/>
      <c r="CB5" s="22" t="str">
        <f t="shared" si="41"/>
        <v/>
      </c>
      <c r="CC5" s="23"/>
      <c r="CD5" s="44" t="str">
        <f t="shared" si="42"/>
        <v/>
      </c>
      <c r="CE5" s="25"/>
      <c r="CF5" s="44" t="str">
        <f t="shared" si="43"/>
        <v/>
      </c>
      <c r="CG5" s="47"/>
      <c r="CH5" s="22" t="str">
        <f t="shared" si="44"/>
        <v/>
      </c>
      <c r="CI5" s="23"/>
      <c r="CJ5" s="45" t="str">
        <f t="shared" si="45"/>
        <v/>
      </c>
      <c r="CK5" s="25"/>
      <c r="CL5" s="45" t="str">
        <f t="shared" si="46"/>
        <v/>
      </c>
      <c r="CM5" s="20">
        <v>0.0</v>
      </c>
      <c r="CN5" s="5"/>
      <c r="CO5" s="23" t="s">
        <v>73</v>
      </c>
      <c r="CP5" s="44">
        <f t="shared" si="47"/>
        <v>46315.65511</v>
      </c>
      <c r="CQ5" s="25" t="s">
        <v>69</v>
      </c>
      <c r="CR5" s="34">
        <v>46315.68590506945</v>
      </c>
      <c r="CS5" s="29">
        <f t="shared" si="48"/>
        <v>44.3455</v>
      </c>
      <c r="CT5" s="29">
        <f t="shared" si="49"/>
        <v>0</v>
      </c>
      <c r="CU5" s="29">
        <f t="shared" si="50"/>
        <v>0.7390916667</v>
      </c>
      <c r="CV5" s="22" t="str">
        <f t="shared" si="51"/>
        <v/>
      </c>
      <c r="CW5" s="23"/>
      <c r="CX5" s="44" t="str">
        <f t="shared" si="52"/>
        <v/>
      </c>
      <c r="CY5" s="25"/>
      <c r="CZ5" s="44" t="str">
        <f t="shared" si="53"/>
        <v/>
      </c>
      <c r="DA5" s="47"/>
      <c r="DB5" s="22" t="str">
        <f t="shared" si="54"/>
        <v/>
      </c>
      <c r="DC5" s="23"/>
      <c r="DD5" s="44" t="str">
        <f t="shared" si="55"/>
        <v/>
      </c>
      <c r="DE5" s="25"/>
      <c r="DF5" s="44" t="str">
        <f t="shared" si="56"/>
        <v/>
      </c>
      <c r="DG5" s="47"/>
      <c r="DH5" s="22" t="str">
        <f t="shared" si="57"/>
        <v/>
      </c>
      <c r="DI5" s="23"/>
      <c r="DJ5" s="45" t="str">
        <f t="shared" si="58"/>
        <v/>
      </c>
      <c r="DK5" s="25"/>
      <c r="DL5" s="45" t="str">
        <f t="shared" si="59"/>
        <v/>
      </c>
      <c r="DM5" s="20">
        <v>0.0</v>
      </c>
      <c r="DN5" s="5"/>
      <c r="DO5" s="23"/>
      <c r="DP5" s="45" t="str">
        <f t="shared" si="60"/>
        <v/>
      </c>
      <c r="DQ5" s="25"/>
      <c r="DR5" s="45" t="str">
        <f t="shared" si="61"/>
        <v/>
      </c>
      <c r="DS5" s="29" t="str">
        <f t="shared" si="62"/>
        <v/>
      </c>
      <c r="DT5" s="29">
        <f t="shared" si="63"/>
        <v>0</v>
      </c>
      <c r="DU5" s="29">
        <f t="shared" si="64"/>
        <v>0</v>
      </c>
      <c r="DV5" s="22" t="str">
        <f t="shared" si="65"/>
        <v/>
      </c>
      <c r="DW5" s="23"/>
      <c r="DX5" s="45" t="str">
        <f t="shared" si="66"/>
        <v/>
      </c>
      <c r="DY5" s="25"/>
      <c r="DZ5" s="45" t="str">
        <f t="shared" si="67"/>
        <v/>
      </c>
      <c r="EA5" s="47"/>
      <c r="EB5" s="22" t="str">
        <f t="shared" si="68"/>
        <v/>
      </c>
      <c r="EC5" s="23"/>
      <c r="ED5" s="45" t="str">
        <f t="shared" si="69"/>
        <v/>
      </c>
      <c r="EE5" s="25"/>
      <c r="EF5" s="45" t="str">
        <f t="shared" si="70"/>
        <v/>
      </c>
      <c r="EG5" s="47"/>
      <c r="EH5" s="22" t="str">
        <f t="shared" si="71"/>
        <v/>
      </c>
      <c r="EI5" s="23"/>
      <c r="EJ5" s="45" t="str">
        <f t="shared" si="72"/>
        <v/>
      </c>
      <c r="EK5" s="25"/>
      <c r="EL5" s="45" t="str">
        <f t="shared" si="73"/>
        <v/>
      </c>
      <c r="EM5" s="20">
        <v>0.0</v>
      </c>
      <c r="EN5" s="5"/>
    </row>
    <row r="6">
      <c r="A6" s="20">
        <f t="shared" si="1"/>
        <v>4</v>
      </c>
      <c r="B6" s="21" t="s">
        <v>213</v>
      </c>
      <c r="C6" s="57"/>
      <c r="D6" s="57"/>
      <c r="E6" s="27" t="str">
        <f t="shared" si="2"/>
        <v>CC004JEN</v>
      </c>
      <c r="F6" s="20">
        <v>1.0</v>
      </c>
      <c r="G6" s="20"/>
      <c r="H6" s="20">
        <v>1.0</v>
      </c>
      <c r="I6" s="23" t="s">
        <v>72</v>
      </c>
      <c r="J6" s="5"/>
      <c r="K6" s="22">
        <f t="shared" si="3"/>
        <v>1</v>
      </c>
      <c r="L6" s="23" t="s">
        <v>173</v>
      </c>
      <c r="M6" s="44">
        <f t="shared" si="4"/>
        <v>46311.39989</v>
      </c>
      <c r="N6" s="25" t="s">
        <v>69</v>
      </c>
      <c r="O6" s="34">
        <v>46311.54797353009</v>
      </c>
      <c r="P6" s="29">
        <f t="shared" si="6"/>
        <v>213.2415333</v>
      </c>
      <c r="Q6" s="29">
        <f t="shared" si="7"/>
        <v>60</v>
      </c>
      <c r="R6" s="29">
        <f t="shared" si="8"/>
        <v>2.554025555</v>
      </c>
      <c r="S6" s="22" t="str">
        <f t="shared" si="9"/>
        <v/>
      </c>
      <c r="T6" s="23"/>
      <c r="U6" s="44" t="str">
        <f t="shared" si="10"/>
        <v/>
      </c>
      <c r="V6" s="25"/>
      <c r="W6" s="44" t="str">
        <f t="shared" si="11"/>
        <v/>
      </c>
      <c r="X6" s="47"/>
      <c r="Y6" s="22" t="str">
        <f t="shared" si="12"/>
        <v/>
      </c>
      <c r="Z6" s="23"/>
      <c r="AA6" s="44" t="str">
        <f t="shared" si="13"/>
        <v/>
      </c>
      <c r="AB6" s="25"/>
      <c r="AC6" s="44" t="str">
        <f t="shared" si="14"/>
        <v/>
      </c>
      <c r="AD6" s="47"/>
      <c r="AE6" s="22" t="str">
        <f t="shared" si="15"/>
        <v/>
      </c>
      <c r="AF6" s="23"/>
      <c r="AG6" s="45" t="str">
        <f t="shared" si="16"/>
        <v/>
      </c>
      <c r="AH6" s="25"/>
      <c r="AI6" s="45" t="str">
        <f t="shared" si="17"/>
        <v/>
      </c>
      <c r="AJ6" s="20">
        <v>0.0</v>
      </c>
      <c r="AK6" s="5"/>
      <c r="AL6" s="22" t="str">
        <f t="shared" si="18"/>
        <v/>
      </c>
      <c r="AM6" s="22"/>
      <c r="AN6" s="23"/>
      <c r="AO6" s="44" t="str">
        <f t="shared" si="19"/>
        <v/>
      </c>
      <c r="AP6" s="25"/>
      <c r="AQ6" s="44" t="str">
        <f t="shared" si="20"/>
        <v/>
      </c>
      <c r="AR6" s="29" t="str">
        <f t="shared" si="21"/>
        <v/>
      </c>
      <c r="AS6" s="29">
        <f t="shared" si="22"/>
        <v>0</v>
      </c>
      <c r="AT6" s="29">
        <f t="shared" si="23"/>
        <v>0</v>
      </c>
      <c r="AU6" s="22" t="str">
        <f t="shared" si="24"/>
        <v/>
      </c>
      <c r="AV6" s="23"/>
      <c r="AW6" s="44" t="str">
        <f t="shared" si="25"/>
        <v/>
      </c>
      <c r="AX6" s="25"/>
      <c r="AY6" s="44" t="str">
        <f t="shared" si="26"/>
        <v/>
      </c>
      <c r="AZ6" s="47"/>
      <c r="BA6" s="22" t="str">
        <f t="shared" si="27"/>
        <v/>
      </c>
      <c r="BB6" s="23"/>
      <c r="BC6" s="44" t="str">
        <f t="shared" si="28"/>
        <v/>
      </c>
      <c r="BD6" s="25"/>
      <c r="BE6" s="44" t="str">
        <f t="shared" si="29"/>
        <v/>
      </c>
      <c r="BF6" s="47"/>
      <c r="BG6" s="22" t="str">
        <f t="shared" si="30"/>
        <v/>
      </c>
      <c r="BH6" s="23"/>
      <c r="BI6" s="45" t="str">
        <f t="shared" si="31"/>
        <v/>
      </c>
      <c r="BJ6" s="25"/>
      <c r="BK6" s="45" t="str">
        <f t="shared" si="32"/>
        <v/>
      </c>
      <c r="BL6" s="20">
        <v>0.0</v>
      </c>
      <c r="BM6" s="5"/>
      <c r="BN6" s="22">
        <f t="shared" si="33"/>
        <v>1</v>
      </c>
      <c r="BO6" s="23" t="s">
        <v>73</v>
      </c>
      <c r="BP6" s="44">
        <f t="shared" si="34"/>
        <v>46314.70015</v>
      </c>
      <c r="BQ6" s="25" t="s">
        <v>69</v>
      </c>
      <c r="BR6" s="44">
        <f t="shared" si="74"/>
        <v>46314.7035</v>
      </c>
      <c r="BS6" s="29">
        <f t="shared" si="35"/>
        <v>4.817049997</v>
      </c>
      <c r="BT6" s="29">
        <f t="shared" si="36"/>
        <v>0</v>
      </c>
      <c r="BU6" s="29">
        <f t="shared" si="37"/>
        <v>0.08028416662</v>
      </c>
      <c r="BV6" s="22" t="str">
        <f t="shared" si="38"/>
        <v/>
      </c>
      <c r="BW6" s="23"/>
      <c r="BX6" s="44" t="str">
        <f t="shared" si="39"/>
        <v/>
      </c>
      <c r="BY6" s="25"/>
      <c r="BZ6" s="44" t="str">
        <f t="shared" si="40"/>
        <v/>
      </c>
      <c r="CA6" s="47"/>
      <c r="CB6" s="22" t="str">
        <f t="shared" si="41"/>
        <v/>
      </c>
      <c r="CC6" s="23"/>
      <c r="CD6" s="44" t="str">
        <f t="shared" si="42"/>
        <v/>
      </c>
      <c r="CE6" s="25"/>
      <c r="CF6" s="44" t="str">
        <f t="shared" si="43"/>
        <v/>
      </c>
      <c r="CG6" s="47"/>
      <c r="CH6" s="22" t="str">
        <f t="shared" si="44"/>
        <v/>
      </c>
      <c r="CI6" s="23"/>
      <c r="CJ6" s="45" t="str">
        <f t="shared" si="45"/>
        <v/>
      </c>
      <c r="CK6" s="25"/>
      <c r="CL6" s="45" t="str">
        <f t="shared" si="46"/>
        <v/>
      </c>
      <c r="CM6" s="20">
        <v>0.0</v>
      </c>
      <c r="CN6" s="5"/>
      <c r="CO6" s="23" t="s">
        <v>73</v>
      </c>
      <c r="CP6" s="44">
        <f t="shared" si="47"/>
        <v>46316.07831</v>
      </c>
      <c r="CQ6" s="25" t="s">
        <v>69</v>
      </c>
      <c r="CR6" s="44">
        <f t="shared" ref="CR6:CR10" si="75">if(CQ6="Done", if(CR6="",NOW(),CR6),"")</f>
        <v>46316.07831</v>
      </c>
      <c r="CS6" s="29">
        <f t="shared" si="48"/>
        <v>0</v>
      </c>
      <c r="CT6" s="29">
        <f t="shared" si="49"/>
        <v>0</v>
      </c>
      <c r="CU6" s="29">
        <f t="shared" si="50"/>
        <v>0</v>
      </c>
      <c r="CV6" s="22" t="str">
        <f t="shared" si="51"/>
        <v/>
      </c>
      <c r="CW6" s="23"/>
      <c r="CX6" s="44" t="str">
        <f t="shared" si="52"/>
        <v/>
      </c>
      <c r="CY6" s="25"/>
      <c r="CZ6" s="44" t="str">
        <f t="shared" si="53"/>
        <v/>
      </c>
      <c r="DA6" s="47"/>
      <c r="DB6" s="22" t="str">
        <f t="shared" si="54"/>
        <v/>
      </c>
      <c r="DC6" s="23"/>
      <c r="DD6" s="44" t="str">
        <f t="shared" si="55"/>
        <v/>
      </c>
      <c r="DE6" s="25"/>
      <c r="DF6" s="44" t="str">
        <f t="shared" si="56"/>
        <v/>
      </c>
      <c r="DG6" s="47"/>
      <c r="DH6" s="22" t="str">
        <f t="shared" si="57"/>
        <v/>
      </c>
      <c r="DI6" s="23"/>
      <c r="DJ6" s="45" t="str">
        <f t="shared" si="58"/>
        <v/>
      </c>
      <c r="DK6" s="25"/>
      <c r="DL6" s="45" t="str">
        <f t="shared" si="59"/>
        <v/>
      </c>
      <c r="DM6" s="20">
        <v>0.0</v>
      </c>
      <c r="DN6" s="5"/>
      <c r="DO6" s="23"/>
      <c r="DP6" s="45" t="str">
        <f t="shared" si="60"/>
        <v/>
      </c>
      <c r="DQ6" s="25"/>
      <c r="DR6" s="45" t="str">
        <f t="shared" si="61"/>
        <v/>
      </c>
      <c r="DS6" s="29" t="str">
        <f t="shared" si="62"/>
        <v/>
      </c>
      <c r="DT6" s="29">
        <f t="shared" si="63"/>
        <v>0</v>
      </c>
      <c r="DU6" s="29">
        <f t="shared" si="64"/>
        <v>0</v>
      </c>
      <c r="DV6" s="22" t="str">
        <f t="shared" si="65"/>
        <v/>
      </c>
      <c r="DW6" s="23"/>
      <c r="DX6" s="45" t="str">
        <f t="shared" si="66"/>
        <v/>
      </c>
      <c r="DY6" s="25"/>
      <c r="DZ6" s="45" t="str">
        <f t="shared" si="67"/>
        <v/>
      </c>
      <c r="EA6" s="47"/>
      <c r="EB6" s="22" t="str">
        <f t="shared" si="68"/>
        <v/>
      </c>
      <c r="EC6" s="23"/>
      <c r="ED6" s="45" t="str">
        <f t="shared" si="69"/>
        <v/>
      </c>
      <c r="EE6" s="25"/>
      <c r="EF6" s="45" t="str">
        <f t="shared" si="70"/>
        <v/>
      </c>
      <c r="EG6" s="47"/>
      <c r="EH6" s="22" t="str">
        <f t="shared" si="71"/>
        <v/>
      </c>
      <c r="EI6" s="23"/>
      <c r="EJ6" s="45" t="str">
        <f t="shared" si="72"/>
        <v/>
      </c>
      <c r="EK6" s="25"/>
      <c r="EL6" s="45" t="str">
        <f t="shared" si="73"/>
        <v/>
      </c>
      <c r="EM6" s="20">
        <v>0.0</v>
      </c>
      <c r="EN6" s="5"/>
    </row>
    <row r="7">
      <c r="A7" s="20">
        <f t="shared" si="1"/>
        <v>5</v>
      </c>
      <c r="B7" s="21" t="s">
        <v>220</v>
      </c>
      <c r="C7" s="57"/>
      <c r="D7" s="57"/>
      <c r="E7" s="27" t="str">
        <f t="shared" si="2"/>
        <v>CC005JEN</v>
      </c>
      <c r="F7" s="20">
        <v>1.0</v>
      </c>
      <c r="G7" s="20"/>
      <c r="H7" s="20">
        <v>1.0</v>
      </c>
      <c r="I7" s="23" t="s">
        <v>72</v>
      </c>
      <c r="J7" s="5"/>
      <c r="K7" s="22">
        <f t="shared" si="3"/>
        <v>1</v>
      </c>
      <c r="L7" s="23" t="s">
        <v>73</v>
      </c>
      <c r="M7" s="44">
        <f t="shared" si="4"/>
        <v>46311.42539</v>
      </c>
      <c r="N7" s="25" t="s">
        <v>69</v>
      </c>
      <c r="O7" s="34">
        <v>46311.43406777778</v>
      </c>
      <c r="P7" s="29">
        <f t="shared" si="6"/>
        <v>12.49725</v>
      </c>
      <c r="Q7" s="29">
        <f t="shared" si="7"/>
        <v>0</v>
      </c>
      <c r="R7" s="29">
        <f t="shared" si="8"/>
        <v>0.2082875</v>
      </c>
      <c r="S7" s="22" t="str">
        <f t="shared" si="9"/>
        <v/>
      </c>
      <c r="T7" s="23"/>
      <c r="U7" s="44" t="str">
        <f t="shared" si="10"/>
        <v/>
      </c>
      <c r="V7" s="25"/>
      <c r="W7" s="44" t="str">
        <f t="shared" si="11"/>
        <v/>
      </c>
      <c r="X7" s="47"/>
      <c r="Y7" s="22" t="str">
        <f t="shared" si="12"/>
        <v/>
      </c>
      <c r="Z7" s="23"/>
      <c r="AA7" s="44" t="str">
        <f t="shared" si="13"/>
        <v/>
      </c>
      <c r="AB7" s="25"/>
      <c r="AC7" s="44" t="str">
        <f t="shared" si="14"/>
        <v/>
      </c>
      <c r="AD7" s="47"/>
      <c r="AE7" s="22" t="str">
        <f t="shared" si="15"/>
        <v/>
      </c>
      <c r="AF7" s="23"/>
      <c r="AG7" s="45" t="str">
        <f t="shared" si="16"/>
        <v/>
      </c>
      <c r="AH7" s="25"/>
      <c r="AI7" s="45" t="str">
        <f t="shared" si="17"/>
        <v/>
      </c>
      <c r="AJ7" s="20">
        <v>0.0</v>
      </c>
      <c r="AK7" s="5"/>
      <c r="AL7" s="22" t="str">
        <f t="shared" si="18"/>
        <v/>
      </c>
      <c r="AM7" s="22"/>
      <c r="AN7" s="23"/>
      <c r="AO7" s="44" t="str">
        <f t="shared" si="19"/>
        <v/>
      </c>
      <c r="AP7" s="25"/>
      <c r="AQ7" s="44" t="str">
        <f t="shared" si="20"/>
        <v/>
      </c>
      <c r="AR7" s="29" t="str">
        <f t="shared" si="21"/>
        <v/>
      </c>
      <c r="AS7" s="29">
        <f t="shared" si="22"/>
        <v>0</v>
      </c>
      <c r="AT7" s="29">
        <f t="shared" si="23"/>
        <v>0</v>
      </c>
      <c r="AU7" s="22" t="str">
        <f t="shared" si="24"/>
        <v/>
      </c>
      <c r="AV7" s="23"/>
      <c r="AW7" s="44" t="str">
        <f t="shared" si="25"/>
        <v/>
      </c>
      <c r="AX7" s="25"/>
      <c r="AY7" s="44" t="str">
        <f t="shared" si="26"/>
        <v/>
      </c>
      <c r="AZ7" s="47"/>
      <c r="BA7" s="22" t="str">
        <f t="shared" si="27"/>
        <v/>
      </c>
      <c r="BB7" s="23"/>
      <c r="BC7" s="44" t="str">
        <f t="shared" si="28"/>
        <v/>
      </c>
      <c r="BD7" s="25"/>
      <c r="BE7" s="44" t="str">
        <f t="shared" si="29"/>
        <v/>
      </c>
      <c r="BF7" s="47"/>
      <c r="BG7" s="22" t="str">
        <f t="shared" si="30"/>
        <v/>
      </c>
      <c r="BH7" s="23"/>
      <c r="BI7" s="45" t="str">
        <f t="shared" si="31"/>
        <v/>
      </c>
      <c r="BJ7" s="25"/>
      <c r="BK7" s="45" t="str">
        <f t="shared" si="32"/>
        <v/>
      </c>
      <c r="BL7" s="20">
        <v>0.0</v>
      </c>
      <c r="BM7" s="5"/>
      <c r="BN7" s="22">
        <f t="shared" si="33"/>
        <v>1</v>
      </c>
      <c r="BO7" s="23" t="s">
        <v>225</v>
      </c>
      <c r="BP7" s="44">
        <f t="shared" si="34"/>
        <v>46314.67405</v>
      </c>
      <c r="BQ7" s="25" t="s">
        <v>69</v>
      </c>
      <c r="BR7" s="44">
        <f t="shared" si="74"/>
        <v>46314.69127</v>
      </c>
      <c r="BS7" s="29">
        <f t="shared" si="35"/>
        <v>24.79255</v>
      </c>
      <c r="BT7" s="29">
        <f t="shared" si="36"/>
        <v>0</v>
      </c>
      <c r="BU7" s="29">
        <f t="shared" si="37"/>
        <v>0.4132091667</v>
      </c>
      <c r="BV7" s="22" t="str">
        <f t="shared" si="38"/>
        <v/>
      </c>
      <c r="BW7" s="23"/>
      <c r="BX7" s="44" t="str">
        <f t="shared" si="39"/>
        <v/>
      </c>
      <c r="BY7" s="25"/>
      <c r="BZ7" s="44" t="str">
        <f t="shared" si="40"/>
        <v/>
      </c>
      <c r="CA7" s="47"/>
      <c r="CB7" s="22" t="str">
        <f t="shared" si="41"/>
        <v/>
      </c>
      <c r="CC7" s="23"/>
      <c r="CD7" s="44" t="str">
        <f t="shared" si="42"/>
        <v/>
      </c>
      <c r="CE7" s="25"/>
      <c r="CF7" s="44" t="str">
        <f t="shared" si="43"/>
        <v/>
      </c>
      <c r="CG7" s="47"/>
      <c r="CH7" s="22" t="str">
        <f t="shared" si="44"/>
        <v/>
      </c>
      <c r="CI7" s="23"/>
      <c r="CJ7" s="45" t="str">
        <f t="shared" si="45"/>
        <v/>
      </c>
      <c r="CK7" s="25"/>
      <c r="CL7" s="45" t="str">
        <f t="shared" si="46"/>
        <v/>
      </c>
      <c r="CM7" s="20">
        <v>0.0</v>
      </c>
      <c r="CN7" s="5"/>
      <c r="CO7" s="23" t="s">
        <v>73</v>
      </c>
      <c r="CP7" s="44">
        <f t="shared" si="47"/>
        <v>46315.61053</v>
      </c>
      <c r="CQ7" s="25" t="s">
        <v>69</v>
      </c>
      <c r="CR7" s="44">
        <f t="shared" si="75"/>
        <v>46315.65076</v>
      </c>
      <c r="CS7" s="29">
        <f t="shared" si="48"/>
        <v>57.93246667</v>
      </c>
      <c r="CT7" s="29">
        <f t="shared" si="49"/>
        <v>0</v>
      </c>
      <c r="CU7" s="29">
        <f t="shared" si="50"/>
        <v>0.9655411112</v>
      </c>
      <c r="CV7" s="22" t="str">
        <f t="shared" si="51"/>
        <v/>
      </c>
      <c r="CW7" s="23"/>
      <c r="CX7" s="44" t="str">
        <f t="shared" si="52"/>
        <v/>
      </c>
      <c r="CY7" s="25"/>
      <c r="CZ7" s="44" t="str">
        <f t="shared" si="53"/>
        <v/>
      </c>
      <c r="DA7" s="47"/>
      <c r="DB7" s="22" t="str">
        <f t="shared" si="54"/>
        <v/>
      </c>
      <c r="DC7" s="23"/>
      <c r="DD7" s="44" t="str">
        <f t="shared" si="55"/>
        <v/>
      </c>
      <c r="DE7" s="25"/>
      <c r="DF7" s="44" t="str">
        <f t="shared" si="56"/>
        <v/>
      </c>
      <c r="DG7" s="47"/>
      <c r="DH7" s="22" t="str">
        <f t="shared" si="57"/>
        <v/>
      </c>
      <c r="DI7" s="23"/>
      <c r="DJ7" s="45" t="str">
        <f t="shared" si="58"/>
        <v/>
      </c>
      <c r="DK7" s="25"/>
      <c r="DL7" s="45" t="str">
        <f t="shared" si="59"/>
        <v/>
      </c>
      <c r="DM7" s="20">
        <v>0.0</v>
      </c>
      <c r="DN7" s="5"/>
      <c r="DO7" s="23"/>
      <c r="DP7" s="45" t="str">
        <f t="shared" si="60"/>
        <v/>
      </c>
      <c r="DQ7" s="25"/>
      <c r="DR7" s="45" t="str">
        <f t="shared" si="61"/>
        <v/>
      </c>
      <c r="DS7" s="29" t="str">
        <f t="shared" si="62"/>
        <v/>
      </c>
      <c r="DT7" s="29">
        <f t="shared" si="63"/>
        <v>0</v>
      </c>
      <c r="DU7" s="29">
        <f t="shared" si="64"/>
        <v>0</v>
      </c>
      <c r="DV7" s="22" t="str">
        <f t="shared" si="65"/>
        <v/>
      </c>
      <c r="DW7" s="23"/>
      <c r="DX7" s="45" t="str">
        <f t="shared" si="66"/>
        <v/>
      </c>
      <c r="DY7" s="25"/>
      <c r="DZ7" s="45" t="str">
        <f t="shared" si="67"/>
        <v/>
      </c>
      <c r="EA7" s="47"/>
      <c r="EB7" s="22" t="str">
        <f t="shared" si="68"/>
        <v/>
      </c>
      <c r="EC7" s="23"/>
      <c r="ED7" s="45" t="str">
        <f t="shared" si="69"/>
        <v/>
      </c>
      <c r="EE7" s="25"/>
      <c r="EF7" s="45" t="str">
        <f t="shared" si="70"/>
        <v/>
      </c>
      <c r="EG7" s="47"/>
      <c r="EH7" s="22" t="str">
        <f t="shared" si="71"/>
        <v/>
      </c>
      <c r="EI7" s="23"/>
      <c r="EJ7" s="45" t="str">
        <f t="shared" si="72"/>
        <v/>
      </c>
      <c r="EK7" s="25"/>
      <c r="EL7" s="45" t="str">
        <f t="shared" si="73"/>
        <v/>
      </c>
      <c r="EM7" s="20">
        <v>0.0</v>
      </c>
      <c r="EN7" s="5"/>
    </row>
    <row r="8">
      <c r="A8" s="20">
        <f t="shared" si="1"/>
        <v>6</v>
      </c>
      <c r="B8" s="21" t="s">
        <v>227</v>
      </c>
      <c r="C8" s="57" t="s">
        <v>228</v>
      </c>
      <c r="D8" s="57"/>
      <c r="E8" s="27" t="str">
        <f t="shared" si="2"/>
        <v>CC006JEN</v>
      </c>
      <c r="F8" s="20"/>
      <c r="G8" s="20">
        <v>2.0</v>
      </c>
      <c r="H8" s="20"/>
      <c r="I8" s="23" t="s">
        <v>72</v>
      </c>
      <c r="J8" s="5"/>
      <c r="K8" s="22" t="str">
        <f t="shared" si="3"/>
        <v/>
      </c>
      <c r="L8" s="23"/>
      <c r="M8" s="44" t="str">
        <f t="shared" si="4"/>
        <v/>
      </c>
      <c r="N8" s="25"/>
      <c r="O8" s="44" t="str">
        <f t="shared" ref="O8:O11" si="76">if(N8="Done", if(O8="",NOW(),O8),"")</f>
        <v/>
      </c>
      <c r="P8" s="29" t="str">
        <f t="shared" si="6"/>
        <v/>
      </c>
      <c r="Q8" s="29">
        <f t="shared" si="7"/>
        <v>0</v>
      </c>
      <c r="R8" s="29">
        <f t="shared" si="8"/>
        <v>0</v>
      </c>
      <c r="S8" s="22" t="str">
        <f t="shared" si="9"/>
        <v/>
      </c>
      <c r="T8" s="23"/>
      <c r="U8" s="44" t="str">
        <f t="shared" si="10"/>
        <v/>
      </c>
      <c r="V8" s="25"/>
      <c r="W8" s="44" t="str">
        <f t="shared" si="11"/>
        <v/>
      </c>
      <c r="X8" s="47"/>
      <c r="Y8" s="22" t="str">
        <f t="shared" si="12"/>
        <v/>
      </c>
      <c r="Z8" s="23"/>
      <c r="AA8" s="44" t="str">
        <f t="shared" si="13"/>
        <v/>
      </c>
      <c r="AB8" s="25"/>
      <c r="AC8" s="44" t="str">
        <f t="shared" si="14"/>
        <v/>
      </c>
      <c r="AD8" s="47"/>
      <c r="AE8" s="22" t="str">
        <f t="shared" si="15"/>
        <v/>
      </c>
      <c r="AF8" s="23"/>
      <c r="AG8" s="45" t="str">
        <f t="shared" si="16"/>
        <v/>
      </c>
      <c r="AH8" s="25"/>
      <c r="AI8" s="45" t="str">
        <f t="shared" si="17"/>
        <v/>
      </c>
      <c r="AJ8" s="20">
        <v>0.0</v>
      </c>
      <c r="AK8" s="5"/>
      <c r="AL8" s="22">
        <f t="shared" si="18"/>
        <v>2</v>
      </c>
      <c r="AM8" s="22"/>
      <c r="AN8" s="23" t="s">
        <v>212</v>
      </c>
      <c r="AO8" s="44">
        <f t="shared" si="19"/>
        <v>46311.67333</v>
      </c>
      <c r="AP8" s="25" t="s">
        <v>69</v>
      </c>
      <c r="AQ8" s="34">
        <v>46314.46883212963</v>
      </c>
      <c r="AR8" s="29">
        <f t="shared" si="21"/>
        <v>4025.521483</v>
      </c>
      <c r="AS8" s="29">
        <f t="shared" si="22"/>
        <v>2880</v>
      </c>
      <c r="AT8" s="29">
        <f t="shared" si="23"/>
        <v>19.09202472</v>
      </c>
      <c r="AU8" s="22" t="str">
        <f t="shared" si="24"/>
        <v/>
      </c>
      <c r="AV8" s="23"/>
      <c r="AW8" s="44" t="str">
        <f t="shared" si="25"/>
        <v/>
      </c>
      <c r="AX8" s="25"/>
      <c r="AY8" s="44" t="str">
        <f t="shared" si="26"/>
        <v/>
      </c>
      <c r="AZ8" s="47"/>
      <c r="BA8" s="22" t="str">
        <f t="shared" si="27"/>
        <v/>
      </c>
      <c r="BB8" s="23"/>
      <c r="BC8" s="44" t="str">
        <f t="shared" si="28"/>
        <v/>
      </c>
      <c r="BD8" s="25"/>
      <c r="BE8" s="44" t="str">
        <f t="shared" si="29"/>
        <v/>
      </c>
      <c r="BF8" s="47"/>
      <c r="BG8" s="22" t="str">
        <f t="shared" si="30"/>
        <v/>
      </c>
      <c r="BH8" s="23"/>
      <c r="BI8" s="45" t="str">
        <f t="shared" si="31"/>
        <v/>
      </c>
      <c r="BJ8" s="25"/>
      <c r="BK8" s="45" t="str">
        <f t="shared" si="32"/>
        <v/>
      </c>
      <c r="BL8" s="20">
        <v>0.0</v>
      </c>
      <c r="BM8" s="5"/>
      <c r="BN8" s="22" t="str">
        <f t="shared" si="33"/>
        <v/>
      </c>
      <c r="BO8" s="23"/>
      <c r="BP8" s="44" t="str">
        <f t="shared" si="34"/>
        <v/>
      </c>
      <c r="BQ8" s="25"/>
      <c r="BR8" s="44" t="str">
        <f t="shared" si="74"/>
        <v/>
      </c>
      <c r="BS8" s="29" t="str">
        <f t="shared" si="35"/>
        <v/>
      </c>
      <c r="BT8" s="29">
        <f t="shared" si="36"/>
        <v>0</v>
      </c>
      <c r="BU8" s="29">
        <f t="shared" si="37"/>
        <v>0</v>
      </c>
      <c r="BV8" s="22" t="str">
        <f t="shared" si="38"/>
        <v/>
      </c>
      <c r="BW8" s="23"/>
      <c r="BX8" s="44" t="str">
        <f t="shared" si="39"/>
        <v/>
      </c>
      <c r="BY8" s="25"/>
      <c r="BZ8" s="44" t="str">
        <f t="shared" si="40"/>
        <v/>
      </c>
      <c r="CA8" s="47"/>
      <c r="CB8" s="22" t="str">
        <f t="shared" si="41"/>
        <v/>
      </c>
      <c r="CC8" s="23"/>
      <c r="CD8" s="44" t="str">
        <f t="shared" si="42"/>
        <v/>
      </c>
      <c r="CE8" s="25"/>
      <c r="CF8" s="44" t="str">
        <f t="shared" si="43"/>
        <v/>
      </c>
      <c r="CG8" s="47"/>
      <c r="CH8" s="22" t="str">
        <f t="shared" si="44"/>
        <v/>
      </c>
      <c r="CI8" s="23"/>
      <c r="CJ8" s="45" t="str">
        <f t="shared" si="45"/>
        <v/>
      </c>
      <c r="CK8" s="25"/>
      <c r="CL8" s="45" t="str">
        <f t="shared" si="46"/>
        <v/>
      </c>
      <c r="CM8" s="20">
        <v>0.0</v>
      </c>
      <c r="CN8" s="5"/>
      <c r="CO8" s="23"/>
      <c r="CP8" s="44" t="str">
        <f t="shared" si="47"/>
        <v/>
      </c>
      <c r="CQ8" s="25"/>
      <c r="CR8" s="44" t="str">
        <f t="shared" si="75"/>
        <v/>
      </c>
      <c r="CS8" s="29" t="str">
        <f t="shared" si="48"/>
        <v/>
      </c>
      <c r="CT8" s="29">
        <f t="shared" si="49"/>
        <v>0</v>
      </c>
      <c r="CU8" s="29">
        <f t="shared" si="50"/>
        <v>0</v>
      </c>
      <c r="CV8" s="22" t="str">
        <f t="shared" si="51"/>
        <v/>
      </c>
      <c r="CW8" s="23"/>
      <c r="CX8" s="44" t="str">
        <f t="shared" si="52"/>
        <v/>
      </c>
      <c r="CY8" s="25"/>
      <c r="CZ8" s="44" t="str">
        <f t="shared" si="53"/>
        <v/>
      </c>
      <c r="DA8" s="47"/>
      <c r="DB8" s="22" t="str">
        <f t="shared" si="54"/>
        <v/>
      </c>
      <c r="DC8" s="23"/>
      <c r="DD8" s="44" t="str">
        <f t="shared" si="55"/>
        <v/>
      </c>
      <c r="DE8" s="25"/>
      <c r="DF8" s="44" t="str">
        <f t="shared" si="56"/>
        <v/>
      </c>
      <c r="DG8" s="47"/>
      <c r="DH8" s="22" t="str">
        <f t="shared" si="57"/>
        <v/>
      </c>
      <c r="DI8" s="23"/>
      <c r="DJ8" s="45" t="str">
        <f t="shared" si="58"/>
        <v/>
      </c>
      <c r="DK8" s="25"/>
      <c r="DL8" s="45" t="str">
        <f t="shared" si="59"/>
        <v/>
      </c>
      <c r="DM8" s="20">
        <v>0.0</v>
      </c>
      <c r="DN8" s="5"/>
      <c r="DO8" s="23"/>
      <c r="DP8" s="45" t="str">
        <f t="shared" si="60"/>
        <v/>
      </c>
      <c r="DQ8" s="25"/>
      <c r="DR8" s="45" t="str">
        <f t="shared" si="61"/>
        <v/>
      </c>
      <c r="DS8" s="29" t="str">
        <f t="shared" si="62"/>
        <v/>
      </c>
      <c r="DT8" s="29">
        <f t="shared" si="63"/>
        <v>0</v>
      </c>
      <c r="DU8" s="29">
        <f t="shared" si="64"/>
        <v>0</v>
      </c>
      <c r="DV8" s="22" t="str">
        <f t="shared" si="65"/>
        <v/>
      </c>
      <c r="DW8" s="23"/>
      <c r="DX8" s="45" t="str">
        <f t="shared" si="66"/>
        <v/>
      </c>
      <c r="DY8" s="25"/>
      <c r="DZ8" s="45" t="str">
        <f t="shared" si="67"/>
        <v/>
      </c>
      <c r="EA8" s="47"/>
      <c r="EB8" s="22" t="str">
        <f t="shared" si="68"/>
        <v/>
      </c>
      <c r="EC8" s="23"/>
      <c r="ED8" s="45" t="str">
        <f t="shared" si="69"/>
        <v/>
      </c>
      <c r="EE8" s="25"/>
      <c r="EF8" s="45" t="str">
        <f t="shared" si="70"/>
        <v/>
      </c>
      <c r="EG8" s="47"/>
      <c r="EH8" s="22" t="str">
        <f t="shared" si="71"/>
        <v/>
      </c>
      <c r="EI8" s="23"/>
      <c r="EJ8" s="45" t="str">
        <f t="shared" si="72"/>
        <v/>
      </c>
      <c r="EK8" s="25"/>
      <c r="EL8" s="45" t="str">
        <f t="shared" si="73"/>
        <v/>
      </c>
      <c r="EM8" s="20">
        <v>0.0</v>
      </c>
      <c r="EN8" s="5"/>
    </row>
    <row r="9">
      <c r="A9" s="20">
        <f t="shared" si="1"/>
        <v>7</v>
      </c>
      <c r="B9" s="21" t="s">
        <v>234</v>
      </c>
      <c r="C9" s="57" t="s">
        <v>228</v>
      </c>
      <c r="D9" s="57"/>
      <c r="E9" s="27" t="str">
        <f t="shared" si="2"/>
        <v>CC007JEN</v>
      </c>
      <c r="F9" s="20"/>
      <c r="G9" s="20">
        <v>2.0</v>
      </c>
      <c r="H9" s="20"/>
      <c r="I9" s="23" t="s">
        <v>72</v>
      </c>
      <c r="J9" s="5"/>
      <c r="K9" s="22" t="str">
        <f t="shared" si="3"/>
        <v/>
      </c>
      <c r="L9" s="23"/>
      <c r="M9" s="44" t="str">
        <f t="shared" si="4"/>
        <v/>
      </c>
      <c r="N9" s="25"/>
      <c r="O9" s="44" t="str">
        <f t="shared" si="76"/>
        <v/>
      </c>
      <c r="P9" s="29" t="str">
        <f t="shared" si="6"/>
        <v/>
      </c>
      <c r="Q9" s="29">
        <f t="shared" si="7"/>
        <v>0</v>
      </c>
      <c r="R9" s="29">
        <f t="shared" si="8"/>
        <v>0</v>
      </c>
      <c r="S9" s="22" t="str">
        <f t="shared" si="9"/>
        <v/>
      </c>
      <c r="T9" s="23"/>
      <c r="U9" s="44" t="str">
        <f t="shared" si="10"/>
        <v/>
      </c>
      <c r="V9" s="25"/>
      <c r="W9" s="44" t="str">
        <f t="shared" si="11"/>
        <v/>
      </c>
      <c r="X9" s="47"/>
      <c r="Y9" s="22" t="str">
        <f t="shared" si="12"/>
        <v/>
      </c>
      <c r="Z9" s="23"/>
      <c r="AA9" s="44" t="str">
        <f t="shared" si="13"/>
        <v/>
      </c>
      <c r="AB9" s="25"/>
      <c r="AC9" s="44" t="str">
        <f t="shared" si="14"/>
        <v/>
      </c>
      <c r="AD9" s="47"/>
      <c r="AE9" s="22" t="str">
        <f t="shared" si="15"/>
        <v/>
      </c>
      <c r="AF9" s="23"/>
      <c r="AG9" s="45" t="str">
        <f t="shared" si="16"/>
        <v/>
      </c>
      <c r="AH9" s="25"/>
      <c r="AI9" s="45" t="str">
        <f t="shared" si="17"/>
        <v/>
      </c>
      <c r="AJ9" s="20">
        <v>0.0</v>
      </c>
      <c r="AK9" s="5"/>
      <c r="AL9" s="22">
        <f t="shared" si="18"/>
        <v>2</v>
      </c>
      <c r="AM9" s="22"/>
      <c r="AN9" s="23" t="s">
        <v>173</v>
      </c>
      <c r="AO9" s="44">
        <f t="shared" si="19"/>
        <v>46314.46184</v>
      </c>
      <c r="AP9" s="25" t="s">
        <v>69</v>
      </c>
      <c r="AQ9" s="34">
        <v>46314.63904605324</v>
      </c>
      <c r="AR9" s="29">
        <f t="shared" si="21"/>
        <v>255.1763667</v>
      </c>
      <c r="AS9" s="29">
        <f t="shared" si="22"/>
        <v>60</v>
      </c>
      <c r="AT9" s="29">
        <f t="shared" si="23"/>
        <v>3.252939444</v>
      </c>
      <c r="AU9" s="22" t="str">
        <f t="shared" si="24"/>
        <v/>
      </c>
      <c r="AV9" s="23"/>
      <c r="AW9" s="44" t="str">
        <f t="shared" si="25"/>
        <v/>
      </c>
      <c r="AX9" s="25"/>
      <c r="AY9" s="44" t="str">
        <f t="shared" si="26"/>
        <v/>
      </c>
      <c r="AZ9" s="47"/>
      <c r="BA9" s="22" t="str">
        <f t="shared" si="27"/>
        <v/>
      </c>
      <c r="BB9" s="23"/>
      <c r="BC9" s="44" t="str">
        <f t="shared" si="28"/>
        <v/>
      </c>
      <c r="BD9" s="25"/>
      <c r="BE9" s="44" t="str">
        <f t="shared" si="29"/>
        <v/>
      </c>
      <c r="BF9" s="47"/>
      <c r="BG9" s="22" t="str">
        <f t="shared" si="30"/>
        <v/>
      </c>
      <c r="BH9" s="23"/>
      <c r="BI9" s="45" t="str">
        <f t="shared" si="31"/>
        <v/>
      </c>
      <c r="BJ9" s="25"/>
      <c r="BK9" s="45" t="str">
        <f t="shared" si="32"/>
        <v/>
      </c>
      <c r="BL9" s="20">
        <v>0.0</v>
      </c>
      <c r="BM9" s="5"/>
      <c r="BN9" s="22" t="str">
        <f t="shared" si="33"/>
        <v/>
      </c>
      <c r="BO9" s="23"/>
      <c r="BP9" s="44" t="str">
        <f t="shared" si="34"/>
        <v/>
      </c>
      <c r="BQ9" s="25"/>
      <c r="BR9" s="44" t="str">
        <f t="shared" si="74"/>
        <v/>
      </c>
      <c r="BS9" s="29" t="str">
        <f t="shared" si="35"/>
        <v/>
      </c>
      <c r="BT9" s="29">
        <f t="shared" si="36"/>
        <v>0</v>
      </c>
      <c r="BU9" s="29">
        <f t="shared" si="37"/>
        <v>0</v>
      </c>
      <c r="BV9" s="22" t="str">
        <f t="shared" si="38"/>
        <v/>
      </c>
      <c r="BW9" s="23"/>
      <c r="BX9" s="44" t="str">
        <f t="shared" si="39"/>
        <v/>
      </c>
      <c r="BY9" s="25"/>
      <c r="BZ9" s="44" t="str">
        <f t="shared" si="40"/>
        <v/>
      </c>
      <c r="CA9" s="47"/>
      <c r="CB9" s="22" t="str">
        <f t="shared" si="41"/>
        <v/>
      </c>
      <c r="CC9" s="23"/>
      <c r="CD9" s="44" t="str">
        <f t="shared" si="42"/>
        <v/>
      </c>
      <c r="CE9" s="25"/>
      <c r="CF9" s="44" t="str">
        <f t="shared" si="43"/>
        <v/>
      </c>
      <c r="CG9" s="47"/>
      <c r="CH9" s="22" t="str">
        <f t="shared" si="44"/>
        <v/>
      </c>
      <c r="CI9" s="23"/>
      <c r="CJ9" s="45" t="str">
        <f t="shared" si="45"/>
        <v/>
      </c>
      <c r="CK9" s="25"/>
      <c r="CL9" s="45" t="str">
        <f t="shared" si="46"/>
        <v/>
      </c>
      <c r="CM9" s="20">
        <v>0.0</v>
      </c>
      <c r="CN9" s="5"/>
      <c r="CO9" s="23"/>
      <c r="CP9" s="44" t="str">
        <f t="shared" si="47"/>
        <v/>
      </c>
      <c r="CQ9" s="25"/>
      <c r="CR9" s="44" t="str">
        <f t="shared" si="75"/>
        <v/>
      </c>
      <c r="CS9" s="29" t="str">
        <f t="shared" si="48"/>
        <v/>
      </c>
      <c r="CT9" s="29">
        <f t="shared" si="49"/>
        <v>0</v>
      </c>
      <c r="CU9" s="29">
        <f t="shared" si="50"/>
        <v>0</v>
      </c>
      <c r="CV9" s="22" t="str">
        <f t="shared" si="51"/>
        <v/>
      </c>
      <c r="CW9" s="23"/>
      <c r="CX9" s="44" t="str">
        <f t="shared" si="52"/>
        <v/>
      </c>
      <c r="CY9" s="25"/>
      <c r="CZ9" s="44" t="str">
        <f t="shared" si="53"/>
        <v/>
      </c>
      <c r="DA9" s="47"/>
      <c r="DB9" s="22" t="str">
        <f t="shared" si="54"/>
        <v/>
      </c>
      <c r="DC9" s="23"/>
      <c r="DD9" s="44" t="str">
        <f t="shared" si="55"/>
        <v/>
      </c>
      <c r="DE9" s="25"/>
      <c r="DF9" s="44" t="str">
        <f t="shared" si="56"/>
        <v/>
      </c>
      <c r="DG9" s="47"/>
      <c r="DH9" s="22" t="str">
        <f t="shared" si="57"/>
        <v/>
      </c>
      <c r="DI9" s="23"/>
      <c r="DJ9" s="45" t="str">
        <f t="shared" si="58"/>
        <v/>
      </c>
      <c r="DK9" s="25"/>
      <c r="DL9" s="45" t="str">
        <f t="shared" si="59"/>
        <v/>
      </c>
      <c r="DM9" s="20">
        <v>0.0</v>
      </c>
      <c r="DN9" s="5"/>
      <c r="DO9" s="23"/>
      <c r="DP9" s="45" t="str">
        <f t="shared" si="60"/>
        <v/>
      </c>
      <c r="DQ9" s="25"/>
      <c r="DR9" s="45" t="str">
        <f t="shared" si="61"/>
        <v/>
      </c>
      <c r="DS9" s="29" t="str">
        <f t="shared" si="62"/>
        <v/>
      </c>
      <c r="DT9" s="29">
        <f t="shared" si="63"/>
        <v>0</v>
      </c>
      <c r="DU9" s="29">
        <f t="shared" si="64"/>
        <v>0</v>
      </c>
      <c r="DV9" s="22" t="str">
        <f t="shared" si="65"/>
        <v/>
      </c>
      <c r="DW9" s="23"/>
      <c r="DX9" s="45" t="str">
        <f t="shared" si="66"/>
        <v/>
      </c>
      <c r="DY9" s="25"/>
      <c r="DZ9" s="45" t="str">
        <f t="shared" si="67"/>
        <v/>
      </c>
      <c r="EA9" s="47"/>
      <c r="EB9" s="22" t="str">
        <f t="shared" si="68"/>
        <v/>
      </c>
      <c r="EC9" s="23"/>
      <c r="ED9" s="45" t="str">
        <f t="shared" si="69"/>
        <v/>
      </c>
      <c r="EE9" s="25"/>
      <c r="EF9" s="45" t="str">
        <f t="shared" si="70"/>
        <v/>
      </c>
      <c r="EG9" s="47"/>
      <c r="EH9" s="22" t="str">
        <f t="shared" si="71"/>
        <v/>
      </c>
      <c r="EI9" s="23"/>
      <c r="EJ9" s="45" t="str">
        <f t="shared" si="72"/>
        <v/>
      </c>
      <c r="EK9" s="25"/>
      <c r="EL9" s="45" t="str">
        <f t="shared" si="73"/>
        <v/>
      </c>
      <c r="EM9" s="20">
        <v>0.0</v>
      </c>
      <c r="EN9" s="5"/>
    </row>
    <row r="10">
      <c r="A10" s="20">
        <f t="shared" si="1"/>
        <v>8</v>
      </c>
      <c r="B10" s="21" t="s">
        <v>240</v>
      </c>
      <c r="C10" s="57" t="s">
        <v>228</v>
      </c>
      <c r="D10" s="57"/>
      <c r="E10" s="27" t="str">
        <f t="shared" si="2"/>
        <v>CC008JEN</v>
      </c>
      <c r="F10" s="20"/>
      <c r="G10" s="20">
        <v>2.0</v>
      </c>
      <c r="H10" s="20"/>
      <c r="I10" s="23" t="s">
        <v>72</v>
      </c>
      <c r="J10" s="5"/>
      <c r="K10" s="22" t="str">
        <f t="shared" si="3"/>
        <v/>
      </c>
      <c r="L10" s="23"/>
      <c r="M10" s="44" t="str">
        <f t="shared" si="4"/>
        <v/>
      </c>
      <c r="N10" s="25"/>
      <c r="O10" s="44" t="str">
        <f t="shared" si="76"/>
        <v/>
      </c>
      <c r="P10" s="29" t="str">
        <f t="shared" si="6"/>
        <v/>
      </c>
      <c r="Q10" s="29">
        <f t="shared" si="7"/>
        <v>0</v>
      </c>
      <c r="R10" s="29">
        <f t="shared" si="8"/>
        <v>0</v>
      </c>
      <c r="S10" s="22" t="str">
        <f t="shared" si="9"/>
        <v/>
      </c>
      <c r="T10" s="23"/>
      <c r="U10" s="44" t="str">
        <f t="shared" si="10"/>
        <v/>
      </c>
      <c r="V10" s="25"/>
      <c r="W10" s="44" t="str">
        <f t="shared" si="11"/>
        <v/>
      </c>
      <c r="X10" s="47"/>
      <c r="Y10" s="22" t="str">
        <f t="shared" si="12"/>
        <v/>
      </c>
      <c r="Z10" s="23"/>
      <c r="AA10" s="44" t="str">
        <f t="shared" si="13"/>
        <v/>
      </c>
      <c r="AB10" s="25"/>
      <c r="AC10" s="44" t="str">
        <f t="shared" si="14"/>
        <v/>
      </c>
      <c r="AD10" s="47"/>
      <c r="AE10" s="22" t="str">
        <f t="shared" si="15"/>
        <v/>
      </c>
      <c r="AF10" s="23"/>
      <c r="AG10" s="45" t="str">
        <f t="shared" si="16"/>
        <v/>
      </c>
      <c r="AH10" s="25"/>
      <c r="AI10" s="45" t="str">
        <f t="shared" si="17"/>
        <v/>
      </c>
      <c r="AJ10" s="20">
        <v>0.0</v>
      </c>
      <c r="AK10" s="5"/>
      <c r="AL10" s="22">
        <f t="shared" si="18"/>
        <v>2</v>
      </c>
      <c r="AM10" s="22"/>
      <c r="AN10" s="23" t="s">
        <v>225</v>
      </c>
      <c r="AO10" s="44">
        <f t="shared" si="19"/>
        <v>46314.54816</v>
      </c>
      <c r="AP10" s="25" t="s">
        <v>69</v>
      </c>
      <c r="AQ10" s="44">
        <f t="shared" ref="AQ10:AQ30" si="77">if(AP10="Done", if(AQ10="",NOW(),AQ10),"")</f>
        <v>46314.67147</v>
      </c>
      <c r="AR10" s="29">
        <f t="shared" si="21"/>
        <v>177.5793833</v>
      </c>
      <c r="AS10" s="29">
        <f t="shared" si="22"/>
        <v>0</v>
      </c>
      <c r="AT10" s="29">
        <f t="shared" si="23"/>
        <v>2.959656389</v>
      </c>
      <c r="AU10" s="22" t="str">
        <f t="shared" si="24"/>
        <v/>
      </c>
      <c r="AV10" s="23"/>
      <c r="AW10" s="44" t="str">
        <f t="shared" si="25"/>
        <v/>
      </c>
      <c r="AX10" s="25"/>
      <c r="AY10" s="44" t="str">
        <f t="shared" si="26"/>
        <v/>
      </c>
      <c r="AZ10" s="47"/>
      <c r="BA10" s="22" t="str">
        <f t="shared" si="27"/>
        <v/>
      </c>
      <c r="BB10" s="23"/>
      <c r="BC10" s="44" t="str">
        <f t="shared" si="28"/>
        <v/>
      </c>
      <c r="BD10" s="25"/>
      <c r="BE10" s="44" t="str">
        <f t="shared" si="29"/>
        <v/>
      </c>
      <c r="BF10" s="47"/>
      <c r="BG10" s="22" t="str">
        <f t="shared" si="30"/>
        <v/>
      </c>
      <c r="BH10" s="23"/>
      <c r="BI10" s="45" t="str">
        <f t="shared" si="31"/>
        <v/>
      </c>
      <c r="BJ10" s="25"/>
      <c r="BK10" s="45" t="str">
        <f t="shared" si="32"/>
        <v/>
      </c>
      <c r="BL10" s="20">
        <v>0.0</v>
      </c>
      <c r="BM10" s="5"/>
      <c r="BN10" s="22" t="str">
        <f t="shared" si="33"/>
        <v/>
      </c>
      <c r="BO10" s="23"/>
      <c r="BP10" s="44" t="str">
        <f t="shared" si="34"/>
        <v/>
      </c>
      <c r="BQ10" s="25"/>
      <c r="BR10" s="44" t="str">
        <f t="shared" si="74"/>
        <v/>
      </c>
      <c r="BS10" s="29" t="str">
        <f t="shared" si="35"/>
        <v/>
      </c>
      <c r="BT10" s="29">
        <f t="shared" si="36"/>
        <v>0</v>
      </c>
      <c r="BU10" s="29">
        <f t="shared" si="37"/>
        <v>0</v>
      </c>
      <c r="BV10" s="22" t="str">
        <f t="shared" si="38"/>
        <v/>
      </c>
      <c r="BW10" s="23"/>
      <c r="BX10" s="44" t="str">
        <f t="shared" si="39"/>
        <v/>
      </c>
      <c r="BY10" s="25"/>
      <c r="BZ10" s="44" t="str">
        <f t="shared" si="40"/>
        <v/>
      </c>
      <c r="CA10" s="47"/>
      <c r="CB10" s="22" t="str">
        <f t="shared" si="41"/>
        <v/>
      </c>
      <c r="CC10" s="23"/>
      <c r="CD10" s="44" t="str">
        <f t="shared" si="42"/>
        <v/>
      </c>
      <c r="CE10" s="25"/>
      <c r="CF10" s="44" t="str">
        <f t="shared" si="43"/>
        <v/>
      </c>
      <c r="CG10" s="47"/>
      <c r="CH10" s="22" t="str">
        <f t="shared" si="44"/>
        <v/>
      </c>
      <c r="CI10" s="23"/>
      <c r="CJ10" s="45" t="str">
        <f t="shared" si="45"/>
        <v/>
      </c>
      <c r="CK10" s="25"/>
      <c r="CL10" s="45" t="str">
        <f t="shared" si="46"/>
        <v/>
      </c>
      <c r="CM10" s="20">
        <v>0.0</v>
      </c>
      <c r="CN10" s="5"/>
      <c r="CO10" s="23"/>
      <c r="CP10" s="44" t="str">
        <f t="shared" si="47"/>
        <v/>
      </c>
      <c r="CQ10" s="25"/>
      <c r="CR10" s="44" t="str">
        <f t="shared" si="75"/>
        <v/>
      </c>
      <c r="CS10" s="29" t="str">
        <f t="shared" si="48"/>
        <v/>
      </c>
      <c r="CT10" s="29">
        <f t="shared" si="49"/>
        <v>0</v>
      </c>
      <c r="CU10" s="29">
        <f t="shared" si="50"/>
        <v>0</v>
      </c>
      <c r="CV10" s="22" t="str">
        <f t="shared" si="51"/>
        <v/>
      </c>
      <c r="CW10" s="23"/>
      <c r="CX10" s="44" t="str">
        <f t="shared" si="52"/>
        <v/>
      </c>
      <c r="CY10" s="25"/>
      <c r="CZ10" s="44" t="str">
        <f t="shared" si="53"/>
        <v/>
      </c>
      <c r="DA10" s="47"/>
      <c r="DB10" s="22" t="str">
        <f t="shared" si="54"/>
        <v/>
      </c>
      <c r="DC10" s="23"/>
      <c r="DD10" s="44" t="str">
        <f t="shared" si="55"/>
        <v/>
      </c>
      <c r="DE10" s="25"/>
      <c r="DF10" s="44" t="str">
        <f t="shared" si="56"/>
        <v/>
      </c>
      <c r="DG10" s="47"/>
      <c r="DH10" s="22" t="str">
        <f t="shared" si="57"/>
        <v/>
      </c>
      <c r="DI10" s="23"/>
      <c r="DJ10" s="45" t="str">
        <f t="shared" si="58"/>
        <v/>
      </c>
      <c r="DK10" s="25"/>
      <c r="DL10" s="45" t="str">
        <f t="shared" si="59"/>
        <v/>
      </c>
      <c r="DM10" s="20">
        <v>0.0</v>
      </c>
      <c r="DN10" s="5"/>
      <c r="DO10" s="23"/>
      <c r="DP10" s="45" t="str">
        <f t="shared" si="60"/>
        <v/>
      </c>
      <c r="DQ10" s="25"/>
      <c r="DR10" s="45" t="str">
        <f t="shared" si="61"/>
        <v/>
      </c>
      <c r="DS10" s="29" t="str">
        <f t="shared" si="62"/>
        <v/>
      </c>
      <c r="DT10" s="29">
        <f t="shared" si="63"/>
        <v>0</v>
      </c>
      <c r="DU10" s="29">
        <f t="shared" si="64"/>
        <v>0</v>
      </c>
      <c r="DV10" s="22" t="str">
        <f t="shared" si="65"/>
        <v/>
      </c>
      <c r="DW10" s="23"/>
      <c r="DX10" s="45" t="str">
        <f t="shared" si="66"/>
        <v/>
      </c>
      <c r="DY10" s="25"/>
      <c r="DZ10" s="45" t="str">
        <f t="shared" si="67"/>
        <v/>
      </c>
      <c r="EA10" s="47"/>
      <c r="EB10" s="22" t="str">
        <f t="shared" si="68"/>
        <v/>
      </c>
      <c r="EC10" s="23"/>
      <c r="ED10" s="45" t="str">
        <f t="shared" si="69"/>
        <v/>
      </c>
      <c r="EE10" s="25"/>
      <c r="EF10" s="45" t="str">
        <f t="shared" si="70"/>
        <v/>
      </c>
      <c r="EG10" s="47"/>
      <c r="EH10" s="22" t="str">
        <f t="shared" si="71"/>
        <v/>
      </c>
      <c r="EI10" s="23"/>
      <c r="EJ10" s="45" t="str">
        <f t="shared" si="72"/>
        <v/>
      </c>
      <c r="EK10" s="25"/>
      <c r="EL10" s="45" t="str">
        <f t="shared" si="73"/>
        <v/>
      </c>
      <c r="EM10" s="20">
        <v>0.0</v>
      </c>
      <c r="EN10" s="5"/>
    </row>
    <row r="11">
      <c r="A11" s="20">
        <f t="shared" si="1"/>
        <v>9</v>
      </c>
      <c r="B11" s="21" t="s">
        <v>247</v>
      </c>
      <c r="C11" s="80"/>
      <c r="D11" s="80"/>
      <c r="E11" s="27" t="str">
        <f t="shared" si="2"/>
        <v>CC009JEN</v>
      </c>
      <c r="F11" s="20">
        <v>1.0</v>
      </c>
      <c r="G11" s="20"/>
      <c r="H11" s="20">
        <v>1.0</v>
      </c>
      <c r="I11" s="23" t="s">
        <v>72</v>
      </c>
      <c r="J11" s="5"/>
      <c r="K11" s="22">
        <f t="shared" si="3"/>
        <v>1</v>
      </c>
      <c r="L11" s="23" t="s">
        <v>173</v>
      </c>
      <c r="M11" s="44">
        <f t="shared" si="4"/>
        <v>46314.65178</v>
      </c>
      <c r="N11" s="25" t="s">
        <v>69</v>
      </c>
      <c r="O11" s="44">
        <f t="shared" si="76"/>
        <v>46314.67566</v>
      </c>
      <c r="P11" s="29">
        <f t="shared" si="6"/>
        <v>34.39149999</v>
      </c>
      <c r="Q11" s="29">
        <f t="shared" si="7"/>
        <v>0</v>
      </c>
      <c r="R11" s="29">
        <f t="shared" si="8"/>
        <v>0.5731916665</v>
      </c>
      <c r="S11" s="22" t="str">
        <f t="shared" si="9"/>
        <v/>
      </c>
      <c r="T11" s="23"/>
      <c r="U11" s="44" t="str">
        <f t="shared" si="10"/>
        <v/>
      </c>
      <c r="V11" s="25"/>
      <c r="W11" s="44" t="str">
        <f t="shared" si="11"/>
        <v/>
      </c>
      <c r="X11" s="47"/>
      <c r="Y11" s="22" t="str">
        <f t="shared" si="12"/>
        <v/>
      </c>
      <c r="Z11" s="23"/>
      <c r="AA11" s="44" t="str">
        <f t="shared" si="13"/>
        <v/>
      </c>
      <c r="AB11" s="25"/>
      <c r="AC11" s="44" t="str">
        <f t="shared" si="14"/>
        <v/>
      </c>
      <c r="AD11" s="47"/>
      <c r="AE11" s="22" t="str">
        <f t="shared" si="15"/>
        <v/>
      </c>
      <c r="AF11" s="23"/>
      <c r="AG11" s="45" t="str">
        <f t="shared" si="16"/>
        <v/>
      </c>
      <c r="AH11" s="25"/>
      <c r="AI11" s="45" t="str">
        <f t="shared" si="17"/>
        <v/>
      </c>
      <c r="AJ11" s="20">
        <v>0.0</v>
      </c>
      <c r="AK11" s="5"/>
      <c r="AL11" s="22" t="str">
        <f t="shared" si="18"/>
        <v/>
      </c>
      <c r="AM11" s="22"/>
      <c r="AN11" s="23"/>
      <c r="AO11" s="44" t="str">
        <f t="shared" si="19"/>
        <v/>
      </c>
      <c r="AP11" s="25"/>
      <c r="AQ11" s="44" t="str">
        <f t="shared" si="77"/>
        <v/>
      </c>
      <c r="AR11" s="29" t="str">
        <f t="shared" si="21"/>
        <v/>
      </c>
      <c r="AS11" s="29">
        <f t="shared" si="22"/>
        <v>0</v>
      </c>
      <c r="AT11" s="29">
        <f t="shared" si="23"/>
        <v>0</v>
      </c>
      <c r="AU11" s="22" t="str">
        <f t="shared" si="24"/>
        <v/>
      </c>
      <c r="AV11" s="23"/>
      <c r="AW11" s="44" t="str">
        <f t="shared" si="25"/>
        <v/>
      </c>
      <c r="AX11" s="25"/>
      <c r="AY11" s="44" t="str">
        <f t="shared" si="26"/>
        <v/>
      </c>
      <c r="AZ11" s="47"/>
      <c r="BA11" s="22" t="str">
        <f t="shared" si="27"/>
        <v/>
      </c>
      <c r="BB11" s="23"/>
      <c r="BC11" s="44" t="str">
        <f t="shared" si="28"/>
        <v/>
      </c>
      <c r="BD11" s="25"/>
      <c r="BE11" s="44" t="str">
        <f t="shared" si="29"/>
        <v/>
      </c>
      <c r="BF11" s="47"/>
      <c r="BG11" s="22" t="str">
        <f t="shared" si="30"/>
        <v/>
      </c>
      <c r="BH11" s="23"/>
      <c r="BI11" s="45" t="str">
        <f t="shared" si="31"/>
        <v/>
      </c>
      <c r="BJ11" s="25"/>
      <c r="BK11" s="45" t="str">
        <f t="shared" si="32"/>
        <v/>
      </c>
      <c r="BL11" s="20">
        <v>0.0</v>
      </c>
      <c r="BM11" s="5"/>
      <c r="BN11" s="22">
        <f t="shared" si="33"/>
        <v>1</v>
      </c>
      <c r="BO11" s="23" t="s">
        <v>73</v>
      </c>
      <c r="BP11" s="44">
        <f t="shared" si="34"/>
        <v>46315.38848</v>
      </c>
      <c r="BQ11" s="25" t="s">
        <v>69</v>
      </c>
      <c r="BR11" s="34">
        <v>46315.38744305556</v>
      </c>
      <c r="BS11" s="29">
        <f t="shared" si="35"/>
        <v>-1.500183328</v>
      </c>
      <c r="BT11" s="29">
        <f t="shared" si="36"/>
        <v>0</v>
      </c>
      <c r="BU11" s="29">
        <f t="shared" si="37"/>
        <v>-0.02500305546</v>
      </c>
      <c r="BV11" s="22" t="str">
        <f t="shared" si="38"/>
        <v/>
      </c>
      <c r="BW11" s="23"/>
      <c r="BX11" s="44" t="str">
        <f t="shared" si="39"/>
        <v/>
      </c>
      <c r="BY11" s="25"/>
      <c r="BZ11" s="44" t="str">
        <f t="shared" si="40"/>
        <v/>
      </c>
      <c r="CA11" s="47"/>
      <c r="CB11" s="22" t="str">
        <f t="shared" si="41"/>
        <v/>
      </c>
      <c r="CC11" s="23"/>
      <c r="CD11" s="44" t="str">
        <f t="shared" si="42"/>
        <v/>
      </c>
      <c r="CE11" s="25"/>
      <c r="CF11" s="44" t="str">
        <f t="shared" si="43"/>
        <v/>
      </c>
      <c r="CG11" s="47"/>
      <c r="CH11" s="22" t="str">
        <f t="shared" si="44"/>
        <v/>
      </c>
      <c r="CI11" s="23"/>
      <c r="CJ11" s="45" t="str">
        <f t="shared" si="45"/>
        <v/>
      </c>
      <c r="CK11" s="25"/>
      <c r="CL11" s="45" t="str">
        <f t="shared" si="46"/>
        <v/>
      </c>
      <c r="CM11" s="20">
        <v>0.0</v>
      </c>
      <c r="CN11" s="5"/>
      <c r="CO11" s="23" t="s">
        <v>73</v>
      </c>
      <c r="CP11" s="44">
        <f t="shared" si="47"/>
        <v>46316.39035</v>
      </c>
      <c r="CQ11" s="25" t="s">
        <v>69</v>
      </c>
      <c r="CR11" s="34">
        <v>46316.41691212963</v>
      </c>
      <c r="CS11" s="29">
        <f t="shared" si="48"/>
        <v>38.24698334</v>
      </c>
      <c r="CT11" s="29">
        <f t="shared" si="49"/>
        <v>0</v>
      </c>
      <c r="CU11" s="29">
        <f t="shared" si="50"/>
        <v>0.6374497223</v>
      </c>
      <c r="CV11" s="22" t="str">
        <f t="shared" si="51"/>
        <v/>
      </c>
      <c r="CW11" s="23"/>
      <c r="CX11" s="44" t="str">
        <f t="shared" si="52"/>
        <v/>
      </c>
      <c r="CY11" s="25"/>
      <c r="CZ11" s="44" t="str">
        <f t="shared" si="53"/>
        <v/>
      </c>
      <c r="DA11" s="47"/>
      <c r="DB11" s="22" t="str">
        <f t="shared" si="54"/>
        <v/>
      </c>
      <c r="DC11" s="23"/>
      <c r="DD11" s="44" t="str">
        <f t="shared" si="55"/>
        <v/>
      </c>
      <c r="DE11" s="25"/>
      <c r="DF11" s="44" t="str">
        <f t="shared" si="56"/>
        <v/>
      </c>
      <c r="DG11" s="47"/>
      <c r="DH11" s="22" t="str">
        <f t="shared" si="57"/>
        <v/>
      </c>
      <c r="DI11" s="23"/>
      <c r="DJ11" s="45" t="str">
        <f t="shared" si="58"/>
        <v/>
      </c>
      <c r="DK11" s="25"/>
      <c r="DL11" s="45" t="str">
        <f t="shared" si="59"/>
        <v/>
      </c>
      <c r="DM11" s="20">
        <v>0.0</v>
      </c>
      <c r="DN11" s="5"/>
      <c r="DO11" s="23"/>
      <c r="DP11" s="45" t="str">
        <f t="shared" si="60"/>
        <v/>
      </c>
      <c r="DQ11" s="25"/>
      <c r="DR11" s="45" t="str">
        <f t="shared" si="61"/>
        <v/>
      </c>
      <c r="DS11" s="29" t="str">
        <f t="shared" si="62"/>
        <v/>
      </c>
      <c r="DT11" s="29">
        <f t="shared" si="63"/>
        <v>0</v>
      </c>
      <c r="DU11" s="29">
        <f t="shared" si="64"/>
        <v>0</v>
      </c>
      <c r="DV11" s="22" t="str">
        <f t="shared" si="65"/>
        <v/>
      </c>
      <c r="DW11" s="23"/>
      <c r="DX11" s="45" t="str">
        <f t="shared" si="66"/>
        <v/>
      </c>
      <c r="DY11" s="25"/>
      <c r="DZ11" s="45" t="str">
        <f t="shared" si="67"/>
        <v/>
      </c>
      <c r="EA11" s="47"/>
      <c r="EB11" s="22" t="str">
        <f t="shared" si="68"/>
        <v/>
      </c>
      <c r="EC11" s="23"/>
      <c r="ED11" s="45" t="str">
        <f t="shared" si="69"/>
        <v/>
      </c>
      <c r="EE11" s="25"/>
      <c r="EF11" s="45" t="str">
        <f t="shared" si="70"/>
        <v/>
      </c>
      <c r="EG11" s="47"/>
      <c r="EH11" s="22" t="str">
        <f t="shared" si="71"/>
        <v/>
      </c>
      <c r="EI11" s="23"/>
      <c r="EJ11" s="45" t="str">
        <f t="shared" si="72"/>
        <v/>
      </c>
      <c r="EK11" s="25"/>
      <c r="EL11" s="45" t="str">
        <f t="shared" si="73"/>
        <v/>
      </c>
      <c r="EM11" s="20">
        <v>0.0</v>
      </c>
      <c r="EN11" s="5"/>
    </row>
    <row r="12">
      <c r="A12" s="20">
        <f t="shared" si="1"/>
        <v>10</v>
      </c>
      <c r="B12" s="21" t="s">
        <v>271</v>
      </c>
      <c r="C12" s="80"/>
      <c r="D12" s="80"/>
      <c r="E12" s="27" t="str">
        <f t="shared" si="2"/>
        <v>CC010JEN</v>
      </c>
      <c r="F12" s="20">
        <v>1.0</v>
      </c>
      <c r="G12" s="20"/>
      <c r="H12" s="20">
        <v>1.0</v>
      </c>
      <c r="I12" s="23" t="s">
        <v>72</v>
      </c>
      <c r="J12" s="5"/>
      <c r="K12" s="22">
        <f t="shared" si="3"/>
        <v>1</v>
      </c>
      <c r="L12" s="23" t="s">
        <v>272</v>
      </c>
      <c r="M12" s="44">
        <f t="shared" si="4"/>
        <v>46314.68592</v>
      </c>
      <c r="N12" s="25" t="s">
        <v>69</v>
      </c>
      <c r="O12" s="34">
        <v>46314.70525225694</v>
      </c>
      <c r="P12" s="29">
        <f t="shared" si="6"/>
        <v>27.84416666</v>
      </c>
      <c r="Q12" s="29">
        <f t="shared" si="7"/>
        <v>0</v>
      </c>
      <c r="R12" s="29">
        <f t="shared" si="8"/>
        <v>0.4640694443</v>
      </c>
      <c r="S12" s="22" t="str">
        <f t="shared" si="9"/>
        <v/>
      </c>
      <c r="T12" s="23"/>
      <c r="U12" s="44" t="str">
        <f t="shared" si="10"/>
        <v/>
      </c>
      <c r="V12" s="25"/>
      <c r="W12" s="44" t="str">
        <f t="shared" si="11"/>
        <v/>
      </c>
      <c r="X12" s="47"/>
      <c r="Y12" s="22" t="str">
        <f t="shared" si="12"/>
        <v/>
      </c>
      <c r="Z12" s="23"/>
      <c r="AA12" s="44" t="str">
        <f t="shared" si="13"/>
        <v/>
      </c>
      <c r="AB12" s="25"/>
      <c r="AC12" s="44" t="str">
        <f t="shared" si="14"/>
        <v/>
      </c>
      <c r="AD12" s="47"/>
      <c r="AE12" s="22" t="str">
        <f t="shared" si="15"/>
        <v/>
      </c>
      <c r="AF12" s="23"/>
      <c r="AG12" s="45" t="str">
        <f t="shared" si="16"/>
        <v/>
      </c>
      <c r="AH12" s="25"/>
      <c r="AI12" s="45" t="str">
        <f t="shared" si="17"/>
        <v/>
      </c>
      <c r="AJ12" s="20">
        <v>0.0</v>
      </c>
      <c r="AK12" s="5"/>
      <c r="AL12" s="22" t="str">
        <f t="shared" si="18"/>
        <v/>
      </c>
      <c r="AM12" s="22"/>
      <c r="AN12" s="23"/>
      <c r="AO12" s="44" t="str">
        <f t="shared" si="19"/>
        <v/>
      </c>
      <c r="AP12" s="25"/>
      <c r="AQ12" s="44" t="str">
        <f t="shared" si="77"/>
        <v/>
      </c>
      <c r="AR12" s="29" t="str">
        <f t="shared" si="21"/>
        <v/>
      </c>
      <c r="AS12" s="29">
        <f t="shared" si="22"/>
        <v>0</v>
      </c>
      <c r="AT12" s="29">
        <f t="shared" si="23"/>
        <v>0</v>
      </c>
      <c r="AU12" s="22" t="str">
        <f t="shared" si="24"/>
        <v/>
      </c>
      <c r="AV12" s="23"/>
      <c r="AW12" s="44" t="str">
        <f t="shared" si="25"/>
        <v/>
      </c>
      <c r="AX12" s="25"/>
      <c r="AY12" s="44" t="str">
        <f t="shared" si="26"/>
        <v/>
      </c>
      <c r="AZ12" s="47"/>
      <c r="BA12" s="22" t="str">
        <f t="shared" si="27"/>
        <v/>
      </c>
      <c r="BB12" s="23"/>
      <c r="BC12" s="44" t="str">
        <f t="shared" si="28"/>
        <v/>
      </c>
      <c r="BD12" s="25"/>
      <c r="BE12" s="44" t="str">
        <f t="shared" si="29"/>
        <v/>
      </c>
      <c r="BF12" s="47"/>
      <c r="BG12" s="22" t="str">
        <f t="shared" si="30"/>
        <v/>
      </c>
      <c r="BH12" s="23"/>
      <c r="BI12" s="45" t="str">
        <f t="shared" si="31"/>
        <v/>
      </c>
      <c r="BJ12" s="25"/>
      <c r="BK12" s="45" t="str">
        <f t="shared" si="32"/>
        <v/>
      </c>
      <c r="BL12" s="20">
        <v>0.0</v>
      </c>
      <c r="BM12" s="5"/>
      <c r="BN12" s="22">
        <f t="shared" si="33"/>
        <v>1</v>
      </c>
      <c r="BO12" s="23" t="s">
        <v>73</v>
      </c>
      <c r="BP12" s="44">
        <f t="shared" si="34"/>
        <v>46315.38875</v>
      </c>
      <c r="BQ12" s="25" t="s">
        <v>69</v>
      </c>
      <c r="BR12" s="34">
        <v>46315.392208703706</v>
      </c>
      <c r="BS12" s="29">
        <f t="shared" si="35"/>
        <v>4.976700002</v>
      </c>
      <c r="BT12" s="29">
        <f t="shared" si="36"/>
        <v>0</v>
      </c>
      <c r="BU12" s="29">
        <f t="shared" si="37"/>
        <v>0.08294500003</v>
      </c>
      <c r="BV12" s="22" t="str">
        <f t="shared" si="38"/>
        <v/>
      </c>
      <c r="BW12" s="23"/>
      <c r="BX12" s="44" t="str">
        <f t="shared" si="39"/>
        <v/>
      </c>
      <c r="BY12" s="25"/>
      <c r="BZ12" s="44" t="str">
        <f t="shared" si="40"/>
        <v/>
      </c>
      <c r="CA12" s="47"/>
      <c r="CB12" s="22" t="str">
        <f t="shared" si="41"/>
        <v/>
      </c>
      <c r="CC12" s="23"/>
      <c r="CD12" s="44" t="str">
        <f t="shared" si="42"/>
        <v/>
      </c>
      <c r="CE12" s="25"/>
      <c r="CF12" s="44" t="str">
        <f t="shared" si="43"/>
        <v/>
      </c>
      <c r="CG12" s="47"/>
      <c r="CH12" s="22" t="str">
        <f t="shared" si="44"/>
        <v/>
      </c>
      <c r="CI12" s="23"/>
      <c r="CJ12" s="45" t="str">
        <f t="shared" si="45"/>
        <v/>
      </c>
      <c r="CK12" s="25"/>
      <c r="CL12" s="45" t="str">
        <f t="shared" si="46"/>
        <v/>
      </c>
      <c r="CM12" s="20">
        <v>0.0</v>
      </c>
      <c r="CN12" s="5"/>
      <c r="CO12" s="23" t="s">
        <v>73</v>
      </c>
      <c r="CP12" s="44">
        <f t="shared" si="47"/>
        <v>46316.4193</v>
      </c>
      <c r="CQ12" s="25" t="s">
        <v>147</v>
      </c>
      <c r="CR12" s="44" t="str">
        <f t="shared" ref="CR12:CR30" si="78">if(CQ12="Done", if(CR12="",NOW(),CR12),"")</f>
        <v/>
      </c>
      <c r="CS12" s="29" t="str">
        <f t="shared" si="48"/>
        <v/>
      </c>
      <c r="CT12" s="29">
        <f t="shared" si="49"/>
        <v>-44463360</v>
      </c>
      <c r="CU12" s="29">
        <f t="shared" si="50"/>
        <v>741056</v>
      </c>
      <c r="CV12" s="22" t="str">
        <f t="shared" si="51"/>
        <v/>
      </c>
      <c r="CW12" s="23"/>
      <c r="CX12" s="44" t="str">
        <f t="shared" si="52"/>
        <v/>
      </c>
      <c r="CY12" s="25"/>
      <c r="CZ12" s="44" t="str">
        <f t="shared" si="53"/>
        <v/>
      </c>
      <c r="DA12" s="47"/>
      <c r="DB12" s="22" t="str">
        <f t="shared" si="54"/>
        <v/>
      </c>
      <c r="DC12" s="23"/>
      <c r="DD12" s="44" t="str">
        <f t="shared" si="55"/>
        <v/>
      </c>
      <c r="DE12" s="25"/>
      <c r="DF12" s="44" t="str">
        <f t="shared" si="56"/>
        <v/>
      </c>
      <c r="DG12" s="47"/>
      <c r="DH12" s="22" t="str">
        <f t="shared" si="57"/>
        <v/>
      </c>
      <c r="DI12" s="23"/>
      <c r="DJ12" s="45" t="str">
        <f t="shared" si="58"/>
        <v/>
      </c>
      <c r="DK12" s="25"/>
      <c r="DL12" s="45" t="str">
        <f t="shared" si="59"/>
        <v/>
      </c>
      <c r="DM12" s="20">
        <v>0.0</v>
      </c>
      <c r="DN12" s="5"/>
      <c r="DO12" s="23"/>
      <c r="DP12" s="45" t="str">
        <f t="shared" si="60"/>
        <v/>
      </c>
      <c r="DQ12" s="25"/>
      <c r="DR12" s="45" t="str">
        <f t="shared" si="61"/>
        <v/>
      </c>
      <c r="DS12" s="29" t="str">
        <f t="shared" si="62"/>
        <v/>
      </c>
      <c r="DT12" s="29">
        <f t="shared" si="63"/>
        <v>0</v>
      </c>
      <c r="DU12" s="29">
        <f t="shared" si="64"/>
        <v>0</v>
      </c>
      <c r="DV12" s="22" t="str">
        <f t="shared" si="65"/>
        <v/>
      </c>
      <c r="DW12" s="23"/>
      <c r="DX12" s="45" t="str">
        <f t="shared" si="66"/>
        <v/>
      </c>
      <c r="DY12" s="25"/>
      <c r="DZ12" s="45" t="str">
        <f t="shared" si="67"/>
        <v/>
      </c>
      <c r="EA12" s="47"/>
      <c r="EB12" s="22" t="str">
        <f t="shared" si="68"/>
        <v/>
      </c>
      <c r="EC12" s="23"/>
      <c r="ED12" s="45" t="str">
        <f t="shared" si="69"/>
        <v/>
      </c>
      <c r="EE12" s="25"/>
      <c r="EF12" s="45" t="str">
        <f t="shared" si="70"/>
        <v/>
      </c>
      <c r="EG12" s="47"/>
      <c r="EH12" s="22" t="str">
        <f t="shared" si="71"/>
        <v/>
      </c>
      <c r="EI12" s="23"/>
      <c r="EJ12" s="45" t="str">
        <f t="shared" si="72"/>
        <v/>
      </c>
      <c r="EK12" s="25"/>
      <c r="EL12" s="45" t="str">
        <f t="shared" si="73"/>
        <v/>
      </c>
      <c r="EM12" s="20">
        <v>0.0</v>
      </c>
      <c r="EN12" s="5"/>
    </row>
    <row r="13">
      <c r="A13" s="20">
        <f t="shared" si="1"/>
        <v>11</v>
      </c>
      <c r="B13" s="21" t="s">
        <v>278</v>
      </c>
      <c r="C13" s="57" t="s">
        <v>228</v>
      </c>
      <c r="D13" s="80"/>
      <c r="E13" s="27" t="str">
        <f t="shared" si="2"/>
        <v>CC011JEN</v>
      </c>
      <c r="F13" s="20"/>
      <c r="G13" s="20">
        <v>2.0</v>
      </c>
      <c r="H13" s="20"/>
      <c r="I13" s="23" t="s">
        <v>72</v>
      </c>
      <c r="J13" s="5"/>
      <c r="K13" s="22" t="str">
        <f t="shared" si="3"/>
        <v/>
      </c>
      <c r="L13" s="23"/>
      <c r="M13" s="44" t="str">
        <f t="shared" si="4"/>
        <v/>
      </c>
      <c r="N13" s="25"/>
      <c r="O13" s="34"/>
      <c r="P13" s="29" t="str">
        <f t="shared" si="6"/>
        <v/>
      </c>
      <c r="Q13" s="29">
        <f t="shared" si="7"/>
        <v>0</v>
      </c>
      <c r="R13" s="29">
        <f t="shared" si="8"/>
        <v>0</v>
      </c>
      <c r="S13" s="22" t="str">
        <f t="shared" si="9"/>
        <v/>
      </c>
      <c r="T13" s="23"/>
      <c r="U13" s="44" t="str">
        <f t="shared" si="10"/>
        <v/>
      </c>
      <c r="V13" s="25"/>
      <c r="W13" s="44" t="str">
        <f t="shared" si="11"/>
        <v/>
      </c>
      <c r="X13" s="47"/>
      <c r="Y13" s="22" t="str">
        <f t="shared" si="12"/>
        <v/>
      </c>
      <c r="Z13" s="23"/>
      <c r="AA13" s="44" t="str">
        <f t="shared" si="13"/>
        <v/>
      </c>
      <c r="AB13" s="25"/>
      <c r="AC13" s="44" t="str">
        <f t="shared" si="14"/>
        <v/>
      </c>
      <c r="AD13" s="47"/>
      <c r="AE13" s="22" t="str">
        <f t="shared" si="15"/>
        <v/>
      </c>
      <c r="AF13" s="23"/>
      <c r="AG13" s="45" t="str">
        <f t="shared" si="16"/>
        <v/>
      </c>
      <c r="AH13" s="25"/>
      <c r="AI13" s="45" t="str">
        <f t="shared" si="17"/>
        <v/>
      </c>
      <c r="AJ13" s="20">
        <v>0.0</v>
      </c>
      <c r="AK13" s="5"/>
      <c r="AL13" s="22">
        <f t="shared" si="18"/>
        <v>2</v>
      </c>
      <c r="AM13" s="22"/>
      <c r="AN13" s="23" t="s">
        <v>173</v>
      </c>
      <c r="AO13" s="44">
        <f t="shared" si="19"/>
        <v>46315.59964</v>
      </c>
      <c r="AP13" s="25" t="s">
        <v>69</v>
      </c>
      <c r="AQ13" s="44">
        <f t="shared" si="77"/>
        <v>46316.07831</v>
      </c>
      <c r="AR13" s="29">
        <f t="shared" si="21"/>
        <v>689.2872833</v>
      </c>
      <c r="AS13" s="29">
        <f t="shared" si="22"/>
        <v>960</v>
      </c>
      <c r="AT13" s="29">
        <f t="shared" si="23"/>
        <v>-4.511878611</v>
      </c>
      <c r="AU13" s="22" t="str">
        <f t="shared" si="24"/>
        <v/>
      </c>
      <c r="AV13" s="23"/>
      <c r="AW13" s="44" t="str">
        <f t="shared" si="25"/>
        <v/>
      </c>
      <c r="AX13" s="25"/>
      <c r="AY13" s="44" t="str">
        <f t="shared" si="26"/>
        <v/>
      </c>
      <c r="AZ13" s="47"/>
      <c r="BA13" s="22" t="str">
        <f t="shared" si="27"/>
        <v/>
      </c>
      <c r="BB13" s="23"/>
      <c r="BC13" s="44" t="str">
        <f t="shared" si="28"/>
        <v/>
      </c>
      <c r="BD13" s="25"/>
      <c r="BE13" s="44" t="str">
        <f t="shared" si="29"/>
        <v/>
      </c>
      <c r="BF13" s="47"/>
      <c r="BG13" s="22" t="str">
        <f t="shared" si="30"/>
        <v/>
      </c>
      <c r="BH13" s="23"/>
      <c r="BI13" s="45" t="str">
        <f t="shared" si="31"/>
        <v/>
      </c>
      <c r="BJ13" s="25"/>
      <c r="BK13" s="45" t="str">
        <f t="shared" si="32"/>
        <v/>
      </c>
      <c r="BL13" s="20">
        <v>0.0</v>
      </c>
      <c r="BM13" s="5"/>
      <c r="BN13" s="22" t="str">
        <f t="shared" si="33"/>
        <v/>
      </c>
      <c r="BO13" s="23"/>
      <c r="BP13" s="44" t="str">
        <f t="shared" si="34"/>
        <v/>
      </c>
      <c r="BQ13" s="25"/>
      <c r="BR13" s="44" t="str">
        <f t="shared" ref="BR13:BR30" si="79">if(BQ13="Done", if(BR13="",NOW(),BR13),"")</f>
        <v/>
      </c>
      <c r="BS13" s="29" t="str">
        <f t="shared" si="35"/>
        <v/>
      </c>
      <c r="BT13" s="29">
        <f t="shared" si="36"/>
        <v>0</v>
      </c>
      <c r="BU13" s="29">
        <f t="shared" si="37"/>
        <v>0</v>
      </c>
      <c r="BV13" s="22" t="str">
        <f t="shared" si="38"/>
        <v/>
      </c>
      <c r="BW13" s="23"/>
      <c r="BX13" s="44" t="str">
        <f t="shared" si="39"/>
        <v/>
      </c>
      <c r="BY13" s="25"/>
      <c r="BZ13" s="44" t="str">
        <f t="shared" si="40"/>
        <v/>
      </c>
      <c r="CA13" s="47"/>
      <c r="CB13" s="22" t="str">
        <f t="shared" si="41"/>
        <v/>
      </c>
      <c r="CC13" s="23"/>
      <c r="CD13" s="44" t="str">
        <f t="shared" si="42"/>
        <v/>
      </c>
      <c r="CE13" s="25"/>
      <c r="CF13" s="44" t="str">
        <f t="shared" si="43"/>
        <v/>
      </c>
      <c r="CG13" s="47"/>
      <c r="CH13" s="22" t="str">
        <f t="shared" si="44"/>
        <v/>
      </c>
      <c r="CI13" s="23"/>
      <c r="CJ13" s="45" t="str">
        <f t="shared" si="45"/>
        <v/>
      </c>
      <c r="CK13" s="25"/>
      <c r="CL13" s="45" t="str">
        <f t="shared" si="46"/>
        <v/>
      </c>
      <c r="CM13" s="20">
        <v>0.0</v>
      </c>
      <c r="CN13" s="5"/>
      <c r="CO13" s="23"/>
      <c r="CP13" s="44" t="str">
        <f t="shared" si="47"/>
        <v/>
      </c>
      <c r="CQ13" s="25"/>
      <c r="CR13" s="44" t="str">
        <f t="shared" si="78"/>
        <v/>
      </c>
      <c r="CS13" s="29" t="str">
        <f t="shared" si="48"/>
        <v/>
      </c>
      <c r="CT13" s="29">
        <f t="shared" si="49"/>
        <v>0</v>
      </c>
      <c r="CU13" s="29">
        <f t="shared" si="50"/>
        <v>0</v>
      </c>
      <c r="CV13" s="22" t="str">
        <f t="shared" si="51"/>
        <v/>
      </c>
      <c r="CW13" s="23"/>
      <c r="CX13" s="44" t="str">
        <f t="shared" si="52"/>
        <v/>
      </c>
      <c r="CY13" s="25"/>
      <c r="CZ13" s="44" t="str">
        <f t="shared" si="53"/>
        <v/>
      </c>
      <c r="DA13" s="47"/>
      <c r="DB13" s="22" t="str">
        <f t="shared" si="54"/>
        <v/>
      </c>
      <c r="DC13" s="23"/>
      <c r="DD13" s="44" t="str">
        <f t="shared" si="55"/>
        <v/>
      </c>
      <c r="DE13" s="25"/>
      <c r="DF13" s="44" t="str">
        <f t="shared" si="56"/>
        <v/>
      </c>
      <c r="DG13" s="47"/>
      <c r="DH13" s="22" t="str">
        <f t="shared" si="57"/>
        <v/>
      </c>
      <c r="DI13" s="23"/>
      <c r="DJ13" s="45" t="str">
        <f t="shared" si="58"/>
        <v/>
      </c>
      <c r="DK13" s="25"/>
      <c r="DL13" s="45" t="str">
        <f t="shared" si="59"/>
        <v/>
      </c>
      <c r="DM13" s="20">
        <v>0.0</v>
      </c>
      <c r="DN13" s="5"/>
      <c r="DO13" s="23"/>
      <c r="DP13" s="45" t="str">
        <f t="shared" si="60"/>
        <v/>
      </c>
      <c r="DQ13" s="25"/>
      <c r="DR13" s="45" t="str">
        <f t="shared" si="61"/>
        <v/>
      </c>
      <c r="DS13" s="29" t="str">
        <f t="shared" si="62"/>
        <v/>
      </c>
      <c r="DT13" s="29">
        <f t="shared" si="63"/>
        <v>0</v>
      </c>
      <c r="DU13" s="29">
        <f t="shared" si="64"/>
        <v>0</v>
      </c>
      <c r="DV13" s="22" t="str">
        <f t="shared" si="65"/>
        <v/>
      </c>
      <c r="DW13" s="23"/>
      <c r="DX13" s="45" t="str">
        <f t="shared" si="66"/>
        <v/>
      </c>
      <c r="DY13" s="25"/>
      <c r="DZ13" s="45" t="str">
        <f t="shared" si="67"/>
        <v/>
      </c>
      <c r="EA13" s="47"/>
      <c r="EB13" s="22" t="str">
        <f t="shared" si="68"/>
        <v/>
      </c>
      <c r="EC13" s="23"/>
      <c r="ED13" s="45" t="str">
        <f t="shared" si="69"/>
        <v/>
      </c>
      <c r="EE13" s="25"/>
      <c r="EF13" s="45" t="str">
        <f t="shared" si="70"/>
        <v/>
      </c>
      <c r="EG13" s="47"/>
      <c r="EH13" s="22" t="str">
        <f t="shared" si="71"/>
        <v/>
      </c>
      <c r="EI13" s="23"/>
      <c r="EJ13" s="45" t="str">
        <f t="shared" si="72"/>
        <v/>
      </c>
      <c r="EK13" s="25"/>
      <c r="EL13" s="45" t="str">
        <f t="shared" si="73"/>
        <v/>
      </c>
      <c r="EM13" s="20">
        <v>0.0</v>
      </c>
      <c r="EN13" s="5"/>
    </row>
    <row r="14">
      <c r="A14" s="20">
        <f t="shared" si="1"/>
        <v>12</v>
      </c>
      <c r="B14" s="21" t="s">
        <v>282</v>
      </c>
      <c r="C14" s="57" t="s">
        <v>228</v>
      </c>
      <c r="D14" s="80"/>
      <c r="E14" s="27" t="str">
        <f t="shared" si="2"/>
        <v>CC012JEN</v>
      </c>
      <c r="F14" s="20"/>
      <c r="G14" s="20">
        <v>2.0</v>
      </c>
      <c r="H14" s="20"/>
      <c r="I14" s="23"/>
      <c r="J14" s="5"/>
      <c r="K14" s="22" t="str">
        <f t="shared" si="3"/>
        <v/>
      </c>
      <c r="L14" s="23"/>
      <c r="M14" s="44" t="str">
        <f t="shared" si="4"/>
        <v/>
      </c>
      <c r="N14" s="25"/>
      <c r="O14" s="44" t="str">
        <f t="shared" ref="O14:O30" si="80">if(N14="Done", if(O14="",NOW(),O14),"")</f>
        <v/>
      </c>
      <c r="P14" s="29" t="str">
        <f t="shared" si="6"/>
        <v/>
      </c>
      <c r="Q14" s="29">
        <f t="shared" si="7"/>
        <v>0</v>
      </c>
      <c r="R14" s="29">
        <f t="shared" si="8"/>
        <v>0</v>
      </c>
      <c r="S14" s="22" t="str">
        <f t="shared" si="9"/>
        <v/>
      </c>
      <c r="T14" s="23"/>
      <c r="U14" s="44" t="str">
        <f t="shared" si="10"/>
        <v/>
      </c>
      <c r="V14" s="25"/>
      <c r="W14" s="44" t="str">
        <f t="shared" si="11"/>
        <v/>
      </c>
      <c r="X14" s="47"/>
      <c r="Y14" s="22" t="str">
        <f t="shared" si="12"/>
        <v/>
      </c>
      <c r="Z14" s="23"/>
      <c r="AA14" s="44" t="str">
        <f t="shared" si="13"/>
        <v/>
      </c>
      <c r="AB14" s="25"/>
      <c r="AC14" s="44" t="str">
        <f t="shared" si="14"/>
        <v/>
      </c>
      <c r="AD14" s="47"/>
      <c r="AE14" s="22" t="str">
        <f t="shared" si="15"/>
        <v/>
      </c>
      <c r="AF14" s="23"/>
      <c r="AG14" s="45" t="str">
        <f t="shared" si="16"/>
        <v/>
      </c>
      <c r="AH14" s="25"/>
      <c r="AI14" s="45" t="str">
        <f t="shared" si="17"/>
        <v/>
      </c>
      <c r="AJ14" s="20">
        <v>0.0</v>
      </c>
      <c r="AK14" s="5"/>
      <c r="AL14" s="22">
        <f t="shared" si="18"/>
        <v>2</v>
      </c>
      <c r="AM14" s="22"/>
      <c r="AN14" s="23"/>
      <c r="AO14" s="44" t="str">
        <f t="shared" si="19"/>
        <v/>
      </c>
      <c r="AP14" s="25"/>
      <c r="AQ14" s="44" t="str">
        <f t="shared" si="77"/>
        <v/>
      </c>
      <c r="AR14" s="29" t="str">
        <f t="shared" si="21"/>
        <v/>
      </c>
      <c r="AS14" s="29">
        <f t="shared" si="22"/>
        <v>0</v>
      </c>
      <c r="AT14" s="29">
        <f t="shared" si="23"/>
        <v>0</v>
      </c>
      <c r="AU14" s="22" t="str">
        <f t="shared" si="24"/>
        <v/>
      </c>
      <c r="AV14" s="23"/>
      <c r="AW14" s="44" t="str">
        <f t="shared" si="25"/>
        <v/>
      </c>
      <c r="AX14" s="25"/>
      <c r="AY14" s="44" t="str">
        <f t="shared" si="26"/>
        <v/>
      </c>
      <c r="AZ14" s="47"/>
      <c r="BA14" s="22" t="str">
        <f t="shared" si="27"/>
        <v/>
      </c>
      <c r="BB14" s="23"/>
      <c r="BC14" s="44" t="str">
        <f t="shared" si="28"/>
        <v/>
      </c>
      <c r="BD14" s="25"/>
      <c r="BE14" s="44" t="str">
        <f t="shared" si="29"/>
        <v/>
      </c>
      <c r="BF14" s="47"/>
      <c r="BG14" s="22" t="str">
        <f t="shared" si="30"/>
        <v/>
      </c>
      <c r="BH14" s="23"/>
      <c r="BI14" s="45" t="str">
        <f t="shared" si="31"/>
        <v/>
      </c>
      <c r="BJ14" s="25"/>
      <c r="BK14" s="45" t="str">
        <f t="shared" si="32"/>
        <v/>
      </c>
      <c r="BL14" s="20">
        <v>0.0</v>
      </c>
      <c r="BM14" s="5"/>
      <c r="BN14" s="22" t="str">
        <f t="shared" si="33"/>
        <v/>
      </c>
      <c r="BO14" s="23"/>
      <c r="BP14" s="44" t="str">
        <f t="shared" si="34"/>
        <v/>
      </c>
      <c r="BQ14" s="25"/>
      <c r="BR14" s="44" t="str">
        <f t="shared" si="79"/>
        <v/>
      </c>
      <c r="BS14" s="29" t="str">
        <f t="shared" si="35"/>
        <v/>
      </c>
      <c r="BT14" s="29">
        <f t="shared" si="36"/>
        <v>0</v>
      </c>
      <c r="BU14" s="29">
        <f t="shared" si="37"/>
        <v>0</v>
      </c>
      <c r="BV14" s="22" t="str">
        <f t="shared" si="38"/>
        <v/>
      </c>
      <c r="BW14" s="23"/>
      <c r="BX14" s="44" t="str">
        <f t="shared" si="39"/>
        <v/>
      </c>
      <c r="BY14" s="25"/>
      <c r="BZ14" s="44" t="str">
        <f t="shared" si="40"/>
        <v/>
      </c>
      <c r="CA14" s="47"/>
      <c r="CB14" s="22" t="str">
        <f t="shared" si="41"/>
        <v/>
      </c>
      <c r="CC14" s="23"/>
      <c r="CD14" s="44" t="str">
        <f t="shared" si="42"/>
        <v/>
      </c>
      <c r="CE14" s="25"/>
      <c r="CF14" s="44" t="str">
        <f t="shared" si="43"/>
        <v/>
      </c>
      <c r="CG14" s="47"/>
      <c r="CH14" s="22" t="str">
        <f t="shared" si="44"/>
        <v/>
      </c>
      <c r="CI14" s="23"/>
      <c r="CJ14" s="45" t="str">
        <f t="shared" si="45"/>
        <v/>
      </c>
      <c r="CK14" s="25"/>
      <c r="CL14" s="45" t="str">
        <f t="shared" si="46"/>
        <v/>
      </c>
      <c r="CM14" s="20">
        <v>0.0</v>
      </c>
      <c r="CN14" s="5"/>
      <c r="CO14" s="23"/>
      <c r="CP14" s="44" t="str">
        <f t="shared" si="47"/>
        <v/>
      </c>
      <c r="CQ14" s="25"/>
      <c r="CR14" s="44" t="str">
        <f t="shared" si="78"/>
        <v/>
      </c>
      <c r="CS14" s="29" t="str">
        <f t="shared" si="48"/>
        <v/>
      </c>
      <c r="CT14" s="29">
        <f t="shared" si="49"/>
        <v>0</v>
      </c>
      <c r="CU14" s="29">
        <f t="shared" si="50"/>
        <v>0</v>
      </c>
      <c r="CV14" s="22" t="str">
        <f t="shared" si="51"/>
        <v/>
      </c>
      <c r="CW14" s="23"/>
      <c r="CX14" s="44" t="str">
        <f t="shared" si="52"/>
        <v/>
      </c>
      <c r="CY14" s="25"/>
      <c r="CZ14" s="44" t="str">
        <f t="shared" si="53"/>
        <v/>
      </c>
      <c r="DA14" s="47"/>
      <c r="DB14" s="22" t="str">
        <f t="shared" si="54"/>
        <v/>
      </c>
      <c r="DC14" s="23"/>
      <c r="DD14" s="44" t="str">
        <f t="shared" si="55"/>
        <v/>
      </c>
      <c r="DE14" s="25"/>
      <c r="DF14" s="44" t="str">
        <f t="shared" si="56"/>
        <v/>
      </c>
      <c r="DG14" s="47"/>
      <c r="DH14" s="22" t="str">
        <f t="shared" si="57"/>
        <v/>
      </c>
      <c r="DI14" s="23"/>
      <c r="DJ14" s="45" t="str">
        <f t="shared" si="58"/>
        <v/>
      </c>
      <c r="DK14" s="25"/>
      <c r="DL14" s="45" t="str">
        <f t="shared" si="59"/>
        <v/>
      </c>
      <c r="DM14" s="20">
        <v>0.0</v>
      </c>
      <c r="DN14" s="5"/>
      <c r="DO14" s="23"/>
      <c r="DP14" s="45" t="str">
        <f t="shared" si="60"/>
        <v/>
      </c>
      <c r="DQ14" s="25"/>
      <c r="DR14" s="45" t="str">
        <f t="shared" si="61"/>
        <v/>
      </c>
      <c r="DS14" s="29" t="str">
        <f t="shared" si="62"/>
        <v/>
      </c>
      <c r="DT14" s="29">
        <f t="shared" si="63"/>
        <v>0</v>
      </c>
      <c r="DU14" s="29">
        <f t="shared" si="64"/>
        <v>0</v>
      </c>
      <c r="DV14" s="22" t="str">
        <f t="shared" si="65"/>
        <v/>
      </c>
      <c r="DW14" s="23"/>
      <c r="DX14" s="45" t="str">
        <f t="shared" si="66"/>
        <v/>
      </c>
      <c r="DY14" s="25"/>
      <c r="DZ14" s="45" t="str">
        <f t="shared" si="67"/>
        <v/>
      </c>
      <c r="EA14" s="47"/>
      <c r="EB14" s="22" t="str">
        <f t="shared" si="68"/>
        <v/>
      </c>
      <c r="EC14" s="23"/>
      <c r="ED14" s="45" t="str">
        <f t="shared" si="69"/>
        <v/>
      </c>
      <c r="EE14" s="25"/>
      <c r="EF14" s="45" t="str">
        <f t="shared" si="70"/>
        <v/>
      </c>
      <c r="EG14" s="47"/>
      <c r="EH14" s="22" t="str">
        <f t="shared" si="71"/>
        <v/>
      </c>
      <c r="EI14" s="23"/>
      <c r="EJ14" s="45" t="str">
        <f t="shared" si="72"/>
        <v/>
      </c>
      <c r="EK14" s="25"/>
      <c r="EL14" s="45" t="str">
        <f t="shared" si="73"/>
        <v/>
      </c>
      <c r="EM14" s="20">
        <v>0.0</v>
      </c>
      <c r="EN14" s="5"/>
    </row>
    <row r="15">
      <c r="A15" s="20" t="str">
        <f t="shared" si="1"/>
        <v/>
      </c>
      <c r="B15" s="21"/>
      <c r="C15" s="80"/>
      <c r="D15" s="80"/>
      <c r="E15" s="27" t="str">
        <f t="shared" si="2"/>
        <v/>
      </c>
      <c r="F15" s="20"/>
      <c r="G15" s="20"/>
      <c r="H15" s="20"/>
      <c r="I15" s="23"/>
      <c r="J15" s="5"/>
      <c r="K15" s="22" t="str">
        <f t="shared" si="3"/>
        <v/>
      </c>
      <c r="L15" s="23"/>
      <c r="M15" s="44" t="str">
        <f t="shared" si="4"/>
        <v/>
      </c>
      <c r="N15" s="25"/>
      <c r="O15" s="44" t="str">
        <f t="shared" si="80"/>
        <v/>
      </c>
      <c r="P15" s="29" t="str">
        <f t="shared" si="6"/>
        <v/>
      </c>
      <c r="Q15" s="29">
        <f t="shared" si="7"/>
        <v>0</v>
      </c>
      <c r="R15" s="29">
        <f t="shared" si="8"/>
        <v>0</v>
      </c>
      <c r="S15" s="22" t="str">
        <f t="shared" si="9"/>
        <v/>
      </c>
      <c r="T15" s="23"/>
      <c r="U15" s="44" t="str">
        <f t="shared" si="10"/>
        <v/>
      </c>
      <c r="V15" s="25"/>
      <c r="W15" s="44" t="str">
        <f t="shared" si="11"/>
        <v/>
      </c>
      <c r="X15" s="47"/>
      <c r="Y15" s="22" t="str">
        <f t="shared" si="12"/>
        <v/>
      </c>
      <c r="Z15" s="23"/>
      <c r="AA15" s="44" t="str">
        <f t="shared" si="13"/>
        <v/>
      </c>
      <c r="AB15" s="25"/>
      <c r="AC15" s="44" t="str">
        <f t="shared" si="14"/>
        <v/>
      </c>
      <c r="AD15" s="47"/>
      <c r="AE15" s="22" t="str">
        <f t="shared" si="15"/>
        <v/>
      </c>
      <c r="AF15" s="23"/>
      <c r="AG15" s="45" t="str">
        <f t="shared" si="16"/>
        <v/>
      </c>
      <c r="AH15" s="25"/>
      <c r="AI15" s="45" t="str">
        <f t="shared" si="17"/>
        <v/>
      </c>
      <c r="AJ15" s="20">
        <v>0.0</v>
      </c>
      <c r="AK15" s="5"/>
      <c r="AL15" s="22" t="str">
        <f t="shared" si="18"/>
        <v/>
      </c>
      <c r="AM15" s="22"/>
      <c r="AN15" s="23"/>
      <c r="AO15" s="44" t="str">
        <f t="shared" si="19"/>
        <v/>
      </c>
      <c r="AP15" s="25"/>
      <c r="AQ15" s="44" t="str">
        <f t="shared" si="77"/>
        <v/>
      </c>
      <c r="AR15" s="29" t="str">
        <f t="shared" si="21"/>
        <v/>
      </c>
      <c r="AS15" s="29">
        <f t="shared" si="22"/>
        <v>0</v>
      </c>
      <c r="AT15" s="29">
        <f t="shared" si="23"/>
        <v>0</v>
      </c>
      <c r="AU15" s="22" t="str">
        <f t="shared" si="24"/>
        <v/>
      </c>
      <c r="AV15" s="23"/>
      <c r="AW15" s="44" t="str">
        <f t="shared" si="25"/>
        <v/>
      </c>
      <c r="AX15" s="25"/>
      <c r="AY15" s="44" t="str">
        <f t="shared" si="26"/>
        <v/>
      </c>
      <c r="AZ15" s="47"/>
      <c r="BA15" s="22" t="str">
        <f t="shared" si="27"/>
        <v/>
      </c>
      <c r="BB15" s="23"/>
      <c r="BC15" s="44" t="str">
        <f t="shared" si="28"/>
        <v/>
      </c>
      <c r="BD15" s="25"/>
      <c r="BE15" s="44" t="str">
        <f t="shared" si="29"/>
        <v/>
      </c>
      <c r="BF15" s="47"/>
      <c r="BG15" s="22" t="str">
        <f t="shared" si="30"/>
        <v/>
      </c>
      <c r="BH15" s="23"/>
      <c r="BI15" s="45" t="str">
        <f t="shared" si="31"/>
        <v/>
      </c>
      <c r="BJ15" s="25"/>
      <c r="BK15" s="45" t="str">
        <f t="shared" si="32"/>
        <v/>
      </c>
      <c r="BL15" s="20">
        <v>0.0</v>
      </c>
      <c r="BM15" s="5"/>
      <c r="BN15" s="22" t="str">
        <f t="shared" si="33"/>
        <v/>
      </c>
      <c r="BO15" s="23"/>
      <c r="BP15" s="44" t="str">
        <f t="shared" si="34"/>
        <v/>
      </c>
      <c r="BQ15" s="25"/>
      <c r="BR15" s="44" t="str">
        <f t="shared" si="79"/>
        <v/>
      </c>
      <c r="BS15" s="29" t="str">
        <f t="shared" si="35"/>
        <v/>
      </c>
      <c r="BT15" s="29">
        <f t="shared" si="36"/>
        <v>0</v>
      </c>
      <c r="BU15" s="29">
        <f t="shared" si="37"/>
        <v>0</v>
      </c>
      <c r="BV15" s="22" t="str">
        <f t="shared" si="38"/>
        <v/>
      </c>
      <c r="BW15" s="23"/>
      <c r="BX15" s="44" t="str">
        <f t="shared" si="39"/>
        <v/>
      </c>
      <c r="BY15" s="25"/>
      <c r="BZ15" s="44" t="str">
        <f t="shared" si="40"/>
        <v/>
      </c>
      <c r="CA15" s="47"/>
      <c r="CB15" s="22" t="str">
        <f t="shared" si="41"/>
        <v/>
      </c>
      <c r="CC15" s="23"/>
      <c r="CD15" s="44" t="str">
        <f t="shared" si="42"/>
        <v/>
      </c>
      <c r="CE15" s="25"/>
      <c r="CF15" s="44" t="str">
        <f t="shared" si="43"/>
        <v/>
      </c>
      <c r="CG15" s="47"/>
      <c r="CH15" s="22" t="str">
        <f t="shared" si="44"/>
        <v/>
      </c>
      <c r="CI15" s="23"/>
      <c r="CJ15" s="45" t="str">
        <f t="shared" si="45"/>
        <v/>
      </c>
      <c r="CK15" s="25"/>
      <c r="CL15" s="45" t="str">
        <f t="shared" si="46"/>
        <v/>
      </c>
      <c r="CM15" s="20">
        <v>0.0</v>
      </c>
      <c r="CN15" s="5"/>
      <c r="CO15" s="23"/>
      <c r="CP15" s="44" t="str">
        <f t="shared" si="47"/>
        <v/>
      </c>
      <c r="CQ15" s="25"/>
      <c r="CR15" s="44" t="str">
        <f t="shared" si="78"/>
        <v/>
      </c>
      <c r="CS15" s="29" t="str">
        <f t="shared" si="48"/>
        <v/>
      </c>
      <c r="CT15" s="29">
        <f t="shared" si="49"/>
        <v>0</v>
      </c>
      <c r="CU15" s="29">
        <f t="shared" si="50"/>
        <v>0</v>
      </c>
      <c r="CV15" s="22" t="str">
        <f t="shared" si="51"/>
        <v/>
      </c>
      <c r="CW15" s="23"/>
      <c r="CX15" s="44" t="str">
        <f t="shared" si="52"/>
        <v/>
      </c>
      <c r="CY15" s="25"/>
      <c r="CZ15" s="44" t="str">
        <f t="shared" si="53"/>
        <v/>
      </c>
      <c r="DA15" s="47"/>
      <c r="DB15" s="22" t="str">
        <f t="shared" si="54"/>
        <v/>
      </c>
      <c r="DC15" s="23"/>
      <c r="DD15" s="44" t="str">
        <f t="shared" si="55"/>
        <v/>
      </c>
      <c r="DE15" s="25"/>
      <c r="DF15" s="44" t="str">
        <f t="shared" si="56"/>
        <v/>
      </c>
      <c r="DG15" s="47"/>
      <c r="DH15" s="22" t="str">
        <f t="shared" si="57"/>
        <v/>
      </c>
      <c r="DI15" s="23"/>
      <c r="DJ15" s="45" t="str">
        <f t="shared" si="58"/>
        <v/>
      </c>
      <c r="DK15" s="25"/>
      <c r="DL15" s="45" t="str">
        <f t="shared" si="59"/>
        <v/>
      </c>
      <c r="DM15" s="20">
        <v>0.0</v>
      </c>
      <c r="DN15" s="5"/>
      <c r="DO15" s="23"/>
      <c r="DP15" s="45" t="str">
        <f t="shared" si="60"/>
        <v/>
      </c>
      <c r="DQ15" s="25"/>
      <c r="DR15" s="45" t="str">
        <f t="shared" si="61"/>
        <v/>
      </c>
      <c r="DS15" s="29" t="str">
        <f t="shared" si="62"/>
        <v/>
      </c>
      <c r="DT15" s="29">
        <f t="shared" si="63"/>
        <v>0</v>
      </c>
      <c r="DU15" s="29">
        <f t="shared" si="64"/>
        <v>0</v>
      </c>
      <c r="DV15" s="22" t="str">
        <f t="shared" si="65"/>
        <v/>
      </c>
      <c r="DW15" s="23"/>
      <c r="DX15" s="45" t="str">
        <f t="shared" si="66"/>
        <v/>
      </c>
      <c r="DY15" s="25"/>
      <c r="DZ15" s="45" t="str">
        <f t="shared" si="67"/>
        <v/>
      </c>
      <c r="EA15" s="47"/>
      <c r="EB15" s="22" t="str">
        <f t="shared" si="68"/>
        <v/>
      </c>
      <c r="EC15" s="23"/>
      <c r="ED15" s="45" t="str">
        <f t="shared" si="69"/>
        <v/>
      </c>
      <c r="EE15" s="25"/>
      <c r="EF15" s="45" t="str">
        <f t="shared" si="70"/>
        <v/>
      </c>
      <c r="EG15" s="47"/>
      <c r="EH15" s="22" t="str">
        <f t="shared" si="71"/>
        <v/>
      </c>
      <c r="EI15" s="23"/>
      <c r="EJ15" s="45" t="str">
        <f t="shared" si="72"/>
        <v/>
      </c>
      <c r="EK15" s="25"/>
      <c r="EL15" s="45" t="str">
        <f t="shared" si="73"/>
        <v/>
      </c>
      <c r="EM15" s="20">
        <v>0.0</v>
      </c>
      <c r="EN15" s="5"/>
    </row>
    <row r="16">
      <c r="A16" s="20" t="str">
        <f t="shared" si="1"/>
        <v/>
      </c>
      <c r="B16" s="21"/>
      <c r="C16" s="80"/>
      <c r="D16" s="80"/>
      <c r="E16" s="27" t="str">
        <f t="shared" si="2"/>
        <v/>
      </c>
      <c r="F16" s="20"/>
      <c r="G16" s="20"/>
      <c r="H16" s="20"/>
      <c r="I16" s="23"/>
      <c r="J16" s="5"/>
      <c r="K16" s="22" t="str">
        <f t="shared" si="3"/>
        <v/>
      </c>
      <c r="L16" s="23"/>
      <c r="M16" s="44" t="str">
        <f t="shared" si="4"/>
        <v/>
      </c>
      <c r="N16" s="25"/>
      <c r="O16" s="44" t="str">
        <f t="shared" si="80"/>
        <v/>
      </c>
      <c r="P16" s="29" t="str">
        <f t="shared" si="6"/>
        <v/>
      </c>
      <c r="Q16" s="29">
        <f t="shared" si="7"/>
        <v>0</v>
      </c>
      <c r="R16" s="29">
        <f t="shared" si="8"/>
        <v>0</v>
      </c>
      <c r="S16" s="22" t="str">
        <f t="shared" si="9"/>
        <v/>
      </c>
      <c r="T16" s="23"/>
      <c r="U16" s="44" t="str">
        <f t="shared" si="10"/>
        <v/>
      </c>
      <c r="V16" s="25"/>
      <c r="W16" s="44" t="str">
        <f t="shared" si="11"/>
        <v/>
      </c>
      <c r="X16" s="47"/>
      <c r="Y16" s="22" t="str">
        <f t="shared" si="12"/>
        <v/>
      </c>
      <c r="Z16" s="23"/>
      <c r="AA16" s="44" t="str">
        <f t="shared" si="13"/>
        <v/>
      </c>
      <c r="AB16" s="25"/>
      <c r="AC16" s="44" t="str">
        <f t="shared" si="14"/>
        <v/>
      </c>
      <c r="AD16" s="47"/>
      <c r="AE16" s="22" t="str">
        <f t="shared" si="15"/>
        <v/>
      </c>
      <c r="AF16" s="23"/>
      <c r="AG16" s="45" t="str">
        <f t="shared" si="16"/>
        <v/>
      </c>
      <c r="AH16" s="25"/>
      <c r="AI16" s="45" t="str">
        <f t="shared" si="17"/>
        <v/>
      </c>
      <c r="AJ16" s="20">
        <v>0.0</v>
      </c>
      <c r="AK16" s="5"/>
      <c r="AL16" s="22" t="str">
        <f t="shared" si="18"/>
        <v/>
      </c>
      <c r="AM16" s="22"/>
      <c r="AN16" s="23"/>
      <c r="AO16" s="44" t="str">
        <f t="shared" si="19"/>
        <v/>
      </c>
      <c r="AP16" s="25"/>
      <c r="AQ16" s="44" t="str">
        <f t="shared" si="77"/>
        <v/>
      </c>
      <c r="AR16" s="29" t="str">
        <f t="shared" si="21"/>
        <v/>
      </c>
      <c r="AS16" s="29">
        <f t="shared" si="22"/>
        <v>0</v>
      </c>
      <c r="AT16" s="29">
        <f t="shared" si="23"/>
        <v>0</v>
      </c>
      <c r="AU16" s="22" t="str">
        <f t="shared" si="24"/>
        <v/>
      </c>
      <c r="AV16" s="23"/>
      <c r="AW16" s="44" t="str">
        <f t="shared" si="25"/>
        <v/>
      </c>
      <c r="AX16" s="25"/>
      <c r="AY16" s="44" t="str">
        <f t="shared" si="26"/>
        <v/>
      </c>
      <c r="AZ16" s="47"/>
      <c r="BA16" s="22" t="str">
        <f t="shared" si="27"/>
        <v/>
      </c>
      <c r="BB16" s="23"/>
      <c r="BC16" s="44" t="str">
        <f t="shared" si="28"/>
        <v/>
      </c>
      <c r="BD16" s="25"/>
      <c r="BE16" s="44" t="str">
        <f t="shared" si="29"/>
        <v/>
      </c>
      <c r="BF16" s="47"/>
      <c r="BG16" s="22" t="str">
        <f t="shared" si="30"/>
        <v/>
      </c>
      <c r="BH16" s="23"/>
      <c r="BI16" s="45" t="str">
        <f t="shared" si="31"/>
        <v/>
      </c>
      <c r="BJ16" s="25"/>
      <c r="BK16" s="45" t="str">
        <f t="shared" si="32"/>
        <v/>
      </c>
      <c r="BL16" s="20">
        <v>0.0</v>
      </c>
      <c r="BM16" s="5"/>
      <c r="BN16" s="22" t="str">
        <f t="shared" si="33"/>
        <v/>
      </c>
      <c r="BO16" s="23"/>
      <c r="BP16" s="44" t="str">
        <f t="shared" si="34"/>
        <v/>
      </c>
      <c r="BQ16" s="25"/>
      <c r="BR16" s="44" t="str">
        <f t="shared" si="79"/>
        <v/>
      </c>
      <c r="BS16" s="29" t="str">
        <f t="shared" si="35"/>
        <v/>
      </c>
      <c r="BT16" s="29">
        <f t="shared" si="36"/>
        <v>0</v>
      </c>
      <c r="BU16" s="29">
        <f t="shared" si="37"/>
        <v>0</v>
      </c>
      <c r="BV16" s="22" t="str">
        <f t="shared" si="38"/>
        <v/>
      </c>
      <c r="BW16" s="23"/>
      <c r="BX16" s="44" t="str">
        <f t="shared" si="39"/>
        <v/>
      </c>
      <c r="BY16" s="25"/>
      <c r="BZ16" s="44" t="str">
        <f t="shared" si="40"/>
        <v/>
      </c>
      <c r="CA16" s="47"/>
      <c r="CB16" s="22" t="str">
        <f t="shared" si="41"/>
        <v/>
      </c>
      <c r="CC16" s="23"/>
      <c r="CD16" s="44" t="str">
        <f t="shared" si="42"/>
        <v/>
      </c>
      <c r="CE16" s="25"/>
      <c r="CF16" s="44" t="str">
        <f t="shared" si="43"/>
        <v/>
      </c>
      <c r="CG16" s="47"/>
      <c r="CH16" s="22" t="str">
        <f t="shared" si="44"/>
        <v/>
      </c>
      <c r="CI16" s="23"/>
      <c r="CJ16" s="45" t="str">
        <f t="shared" si="45"/>
        <v/>
      </c>
      <c r="CK16" s="25"/>
      <c r="CL16" s="45" t="str">
        <f t="shared" si="46"/>
        <v/>
      </c>
      <c r="CM16" s="20">
        <v>0.0</v>
      </c>
      <c r="CN16" s="5"/>
      <c r="CO16" s="23"/>
      <c r="CP16" s="44" t="str">
        <f t="shared" si="47"/>
        <v/>
      </c>
      <c r="CQ16" s="25"/>
      <c r="CR16" s="44" t="str">
        <f t="shared" si="78"/>
        <v/>
      </c>
      <c r="CS16" s="29" t="str">
        <f t="shared" si="48"/>
        <v/>
      </c>
      <c r="CT16" s="29">
        <f t="shared" si="49"/>
        <v>0</v>
      </c>
      <c r="CU16" s="29">
        <f t="shared" si="50"/>
        <v>0</v>
      </c>
      <c r="CV16" s="22" t="str">
        <f t="shared" si="51"/>
        <v/>
      </c>
      <c r="CW16" s="23"/>
      <c r="CX16" s="44" t="str">
        <f t="shared" si="52"/>
        <v/>
      </c>
      <c r="CY16" s="25"/>
      <c r="CZ16" s="44" t="str">
        <f t="shared" si="53"/>
        <v/>
      </c>
      <c r="DA16" s="47"/>
      <c r="DB16" s="22" t="str">
        <f t="shared" si="54"/>
        <v/>
      </c>
      <c r="DC16" s="23"/>
      <c r="DD16" s="44" t="str">
        <f t="shared" si="55"/>
        <v/>
      </c>
      <c r="DE16" s="25"/>
      <c r="DF16" s="44" t="str">
        <f t="shared" si="56"/>
        <v/>
      </c>
      <c r="DG16" s="47"/>
      <c r="DH16" s="22" t="str">
        <f t="shared" si="57"/>
        <v/>
      </c>
      <c r="DI16" s="23"/>
      <c r="DJ16" s="45" t="str">
        <f t="shared" si="58"/>
        <v/>
      </c>
      <c r="DK16" s="25"/>
      <c r="DL16" s="45" t="str">
        <f t="shared" si="59"/>
        <v/>
      </c>
      <c r="DM16" s="20">
        <v>0.0</v>
      </c>
      <c r="DN16" s="5"/>
      <c r="DO16" s="23"/>
      <c r="DP16" s="45" t="str">
        <f t="shared" si="60"/>
        <v/>
      </c>
      <c r="DQ16" s="25"/>
      <c r="DR16" s="45" t="str">
        <f t="shared" si="61"/>
        <v/>
      </c>
      <c r="DS16" s="29" t="str">
        <f t="shared" si="62"/>
        <v/>
      </c>
      <c r="DT16" s="29">
        <f t="shared" si="63"/>
        <v>0</v>
      </c>
      <c r="DU16" s="29">
        <f t="shared" si="64"/>
        <v>0</v>
      </c>
      <c r="DV16" s="22" t="str">
        <f t="shared" si="65"/>
        <v/>
      </c>
      <c r="DW16" s="23"/>
      <c r="DX16" s="45" t="str">
        <f t="shared" si="66"/>
        <v/>
      </c>
      <c r="DY16" s="25"/>
      <c r="DZ16" s="45" t="str">
        <f t="shared" si="67"/>
        <v/>
      </c>
      <c r="EA16" s="47"/>
      <c r="EB16" s="22" t="str">
        <f t="shared" si="68"/>
        <v/>
      </c>
      <c r="EC16" s="23"/>
      <c r="ED16" s="45" t="str">
        <f t="shared" si="69"/>
        <v/>
      </c>
      <c r="EE16" s="25"/>
      <c r="EF16" s="45" t="str">
        <f t="shared" si="70"/>
        <v/>
      </c>
      <c r="EG16" s="47"/>
      <c r="EH16" s="22" t="str">
        <f t="shared" si="71"/>
        <v/>
      </c>
      <c r="EI16" s="23"/>
      <c r="EJ16" s="45" t="str">
        <f t="shared" si="72"/>
        <v/>
      </c>
      <c r="EK16" s="25"/>
      <c r="EL16" s="45" t="str">
        <f t="shared" si="73"/>
        <v/>
      </c>
      <c r="EM16" s="20">
        <v>0.0</v>
      </c>
      <c r="EN16" s="5"/>
    </row>
    <row r="17">
      <c r="A17" s="20" t="str">
        <f t="shared" si="1"/>
        <v/>
      </c>
      <c r="B17" s="21"/>
      <c r="C17" s="80"/>
      <c r="D17" s="80"/>
      <c r="E17" s="27" t="str">
        <f t="shared" si="2"/>
        <v/>
      </c>
      <c r="F17" s="20"/>
      <c r="G17" s="20"/>
      <c r="H17" s="20"/>
      <c r="I17" s="23"/>
      <c r="J17" s="5"/>
      <c r="K17" s="22" t="str">
        <f t="shared" si="3"/>
        <v/>
      </c>
      <c r="L17" s="23"/>
      <c r="M17" s="44" t="str">
        <f t="shared" si="4"/>
        <v/>
      </c>
      <c r="N17" s="25"/>
      <c r="O17" s="44" t="str">
        <f t="shared" si="80"/>
        <v/>
      </c>
      <c r="P17" s="29" t="str">
        <f t="shared" si="6"/>
        <v/>
      </c>
      <c r="Q17" s="29">
        <f t="shared" si="7"/>
        <v>0</v>
      </c>
      <c r="R17" s="29">
        <f t="shared" si="8"/>
        <v>0</v>
      </c>
      <c r="S17" s="22" t="str">
        <f t="shared" si="9"/>
        <v/>
      </c>
      <c r="T17" s="23"/>
      <c r="U17" s="44" t="str">
        <f t="shared" si="10"/>
        <v/>
      </c>
      <c r="V17" s="25"/>
      <c r="W17" s="44" t="str">
        <f t="shared" si="11"/>
        <v/>
      </c>
      <c r="X17" s="47"/>
      <c r="Y17" s="22" t="str">
        <f t="shared" si="12"/>
        <v/>
      </c>
      <c r="Z17" s="23"/>
      <c r="AA17" s="44" t="str">
        <f t="shared" si="13"/>
        <v/>
      </c>
      <c r="AB17" s="25"/>
      <c r="AC17" s="44" t="str">
        <f t="shared" si="14"/>
        <v/>
      </c>
      <c r="AD17" s="47"/>
      <c r="AE17" s="22" t="str">
        <f t="shared" si="15"/>
        <v/>
      </c>
      <c r="AF17" s="23"/>
      <c r="AG17" s="45" t="str">
        <f t="shared" si="16"/>
        <v/>
      </c>
      <c r="AH17" s="25"/>
      <c r="AI17" s="45" t="str">
        <f t="shared" si="17"/>
        <v/>
      </c>
      <c r="AJ17" s="20">
        <v>0.0</v>
      </c>
      <c r="AK17" s="5"/>
      <c r="AL17" s="22" t="str">
        <f t="shared" si="18"/>
        <v/>
      </c>
      <c r="AM17" s="22"/>
      <c r="AN17" s="23"/>
      <c r="AO17" s="44" t="str">
        <f t="shared" si="19"/>
        <v/>
      </c>
      <c r="AP17" s="25"/>
      <c r="AQ17" s="44" t="str">
        <f t="shared" si="77"/>
        <v/>
      </c>
      <c r="AR17" s="29" t="str">
        <f t="shared" si="21"/>
        <v/>
      </c>
      <c r="AS17" s="29">
        <f t="shared" si="22"/>
        <v>0</v>
      </c>
      <c r="AT17" s="29">
        <f t="shared" si="23"/>
        <v>0</v>
      </c>
      <c r="AU17" s="22" t="str">
        <f t="shared" si="24"/>
        <v/>
      </c>
      <c r="AV17" s="23"/>
      <c r="AW17" s="44" t="str">
        <f t="shared" si="25"/>
        <v/>
      </c>
      <c r="AX17" s="25"/>
      <c r="AY17" s="44" t="str">
        <f t="shared" si="26"/>
        <v/>
      </c>
      <c r="AZ17" s="47"/>
      <c r="BA17" s="22" t="str">
        <f t="shared" si="27"/>
        <v/>
      </c>
      <c r="BB17" s="23"/>
      <c r="BC17" s="44" t="str">
        <f t="shared" si="28"/>
        <v/>
      </c>
      <c r="BD17" s="25"/>
      <c r="BE17" s="44" t="str">
        <f t="shared" si="29"/>
        <v/>
      </c>
      <c r="BF17" s="47"/>
      <c r="BG17" s="22" t="str">
        <f t="shared" si="30"/>
        <v/>
      </c>
      <c r="BH17" s="23"/>
      <c r="BI17" s="45" t="str">
        <f t="shared" si="31"/>
        <v/>
      </c>
      <c r="BJ17" s="25"/>
      <c r="BK17" s="45" t="str">
        <f t="shared" si="32"/>
        <v/>
      </c>
      <c r="BL17" s="20">
        <v>0.0</v>
      </c>
      <c r="BM17" s="5"/>
      <c r="BN17" s="22" t="str">
        <f t="shared" si="33"/>
        <v/>
      </c>
      <c r="BO17" s="23"/>
      <c r="BP17" s="44" t="str">
        <f t="shared" si="34"/>
        <v/>
      </c>
      <c r="BQ17" s="25"/>
      <c r="BR17" s="44" t="str">
        <f t="shared" si="79"/>
        <v/>
      </c>
      <c r="BS17" s="29" t="str">
        <f t="shared" si="35"/>
        <v/>
      </c>
      <c r="BT17" s="29">
        <f t="shared" si="36"/>
        <v>0</v>
      </c>
      <c r="BU17" s="29">
        <f t="shared" si="37"/>
        <v>0</v>
      </c>
      <c r="BV17" s="22" t="str">
        <f t="shared" si="38"/>
        <v/>
      </c>
      <c r="BW17" s="23"/>
      <c r="BX17" s="44" t="str">
        <f t="shared" si="39"/>
        <v/>
      </c>
      <c r="BY17" s="25"/>
      <c r="BZ17" s="44" t="str">
        <f t="shared" si="40"/>
        <v/>
      </c>
      <c r="CA17" s="47"/>
      <c r="CB17" s="22" t="str">
        <f t="shared" si="41"/>
        <v/>
      </c>
      <c r="CC17" s="23"/>
      <c r="CD17" s="44" t="str">
        <f t="shared" si="42"/>
        <v/>
      </c>
      <c r="CE17" s="25"/>
      <c r="CF17" s="44" t="str">
        <f t="shared" si="43"/>
        <v/>
      </c>
      <c r="CG17" s="47"/>
      <c r="CH17" s="22" t="str">
        <f t="shared" si="44"/>
        <v/>
      </c>
      <c r="CI17" s="23"/>
      <c r="CJ17" s="45" t="str">
        <f t="shared" si="45"/>
        <v/>
      </c>
      <c r="CK17" s="25"/>
      <c r="CL17" s="45" t="str">
        <f t="shared" si="46"/>
        <v/>
      </c>
      <c r="CM17" s="20">
        <v>0.0</v>
      </c>
      <c r="CN17" s="5"/>
      <c r="CO17" s="23"/>
      <c r="CP17" s="44" t="str">
        <f t="shared" si="47"/>
        <v/>
      </c>
      <c r="CQ17" s="25"/>
      <c r="CR17" s="44" t="str">
        <f t="shared" si="78"/>
        <v/>
      </c>
      <c r="CS17" s="29" t="str">
        <f t="shared" si="48"/>
        <v/>
      </c>
      <c r="CT17" s="29">
        <f t="shared" si="49"/>
        <v>0</v>
      </c>
      <c r="CU17" s="29">
        <f t="shared" si="50"/>
        <v>0</v>
      </c>
      <c r="CV17" s="22" t="str">
        <f t="shared" si="51"/>
        <v/>
      </c>
      <c r="CW17" s="23"/>
      <c r="CX17" s="44" t="str">
        <f t="shared" si="52"/>
        <v/>
      </c>
      <c r="CY17" s="25"/>
      <c r="CZ17" s="44" t="str">
        <f t="shared" si="53"/>
        <v/>
      </c>
      <c r="DA17" s="47"/>
      <c r="DB17" s="22" t="str">
        <f t="shared" si="54"/>
        <v/>
      </c>
      <c r="DC17" s="23"/>
      <c r="DD17" s="44" t="str">
        <f t="shared" si="55"/>
        <v/>
      </c>
      <c r="DE17" s="25"/>
      <c r="DF17" s="44" t="str">
        <f t="shared" si="56"/>
        <v/>
      </c>
      <c r="DG17" s="47"/>
      <c r="DH17" s="22" t="str">
        <f t="shared" si="57"/>
        <v/>
      </c>
      <c r="DI17" s="23"/>
      <c r="DJ17" s="45" t="str">
        <f t="shared" si="58"/>
        <v/>
      </c>
      <c r="DK17" s="25"/>
      <c r="DL17" s="45" t="str">
        <f t="shared" si="59"/>
        <v/>
      </c>
      <c r="DM17" s="20">
        <v>0.0</v>
      </c>
      <c r="DN17" s="5"/>
      <c r="DO17" s="23"/>
      <c r="DP17" s="45" t="str">
        <f t="shared" si="60"/>
        <v/>
      </c>
      <c r="DQ17" s="25"/>
      <c r="DR17" s="45" t="str">
        <f t="shared" si="61"/>
        <v/>
      </c>
      <c r="DS17" s="29" t="str">
        <f t="shared" si="62"/>
        <v/>
      </c>
      <c r="DT17" s="29">
        <f t="shared" si="63"/>
        <v>0</v>
      </c>
      <c r="DU17" s="29">
        <f t="shared" si="64"/>
        <v>0</v>
      </c>
      <c r="DV17" s="22" t="str">
        <f t="shared" si="65"/>
        <v/>
      </c>
      <c r="DW17" s="23"/>
      <c r="DX17" s="45" t="str">
        <f t="shared" si="66"/>
        <v/>
      </c>
      <c r="DY17" s="25"/>
      <c r="DZ17" s="45" t="str">
        <f t="shared" si="67"/>
        <v/>
      </c>
      <c r="EA17" s="47"/>
      <c r="EB17" s="22" t="str">
        <f t="shared" si="68"/>
        <v/>
      </c>
      <c r="EC17" s="23"/>
      <c r="ED17" s="45" t="str">
        <f t="shared" si="69"/>
        <v/>
      </c>
      <c r="EE17" s="25"/>
      <c r="EF17" s="45" t="str">
        <f t="shared" si="70"/>
        <v/>
      </c>
      <c r="EG17" s="47"/>
      <c r="EH17" s="22" t="str">
        <f t="shared" si="71"/>
        <v/>
      </c>
      <c r="EI17" s="23"/>
      <c r="EJ17" s="45" t="str">
        <f t="shared" si="72"/>
        <v/>
      </c>
      <c r="EK17" s="25"/>
      <c r="EL17" s="45" t="str">
        <f t="shared" si="73"/>
        <v/>
      </c>
      <c r="EM17" s="20">
        <v>0.0</v>
      </c>
      <c r="EN17" s="5"/>
    </row>
    <row r="18">
      <c r="A18" s="20" t="str">
        <f t="shared" si="1"/>
        <v/>
      </c>
      <c r="B18" s="21"/>
      <c r="C18" s="80"/>
      <c r="D18" s="80"/>
      <c r="E18" s="27" t="str">
        <f t="shared" si="2"/>
        <v/>
      </c>
      <c r="F18" s="20"/>
      <c r="G18" s="20"/>
      <c r="H18" s="20"/>
      <c r="I18" s="23"/>
      <c r="J18" s="5"/>
      <c r="K18" s="22" t="str">
        <f t="shared" si="3"/>
        <v/>
      </c>
      <c r="L18" s="23"/>
      <c r="M18" s="44" t="str">
        <f t="shared" si="4"/>
        <v/>
      </c>
      <c r="N18" s="25"/>
      <c r="O18" s="44" t="str">
        <f t="shared" si="80"/>
        <v/>
      </c>
      <c r="P18" s="29" t="str">
        <f t="shared" si="6"/>
        <v/>
      </c>
      <c r="Q18" s="29">
        <f t="shared" si="7"/>
        <v>0</v>
      </c>
      <c r="R18" s="29">
        <f t="shared" si="8"/>
        <v>0</v>
      </c>
      <c r="S18" s="22" t="str">
        <f t="shared" si="9"/>
        <v/>
      </c>
      <c r="T18" s="23"/>
      <c r="U18" s="44" t="str">
        <f t="shared" si="10"/>
        <v/>
      </c>
      <c r="V18" s="25"/>
      <c r="W18" s="44" t="str">
        <f t="shared" si="11"/>
        <v/>
      </c>
      <c r="X18" s="47"/>
      <c r="Y18" s="22" t="str">
        <f t="shared" si="12"/>
        <v/>
      </c>
      <c r="Z18" s="23"/>
      <c r="AA18" s="44" t="str">
        <f t="shared" si="13"/>
        <v/>
      </c>
      <c r="AB18" s="25"/>
      <c r="AC18" s="44" t="str">
        <f t="shared" si="14"/>
        <v/>
      </c>
      <c r="AD18" s="47"/>
      <c r="AE18" s="22" t="str">
        <f t="shared" si="15"/>
        <v/>
      </c>
      <c r="AF18" s="23"/>
      <c r="AG18" s="45" t="str">
        <f t="shared" si="16"/>
        <v/>
      </c>
      <c r="AH18" s="25"/>
      <c r="AI18" s="45" t="str">
        <f t="shared" si="17"/>
        <v/>
      </c>
      <c r="AJ18" s="20">
        <v>0.0</v>
      </c>
      <c r="AK18" s="5"/>
      <c r="AL18" s="22" t="str">
        <f t="shared" si="18"/>
        <v/>
      </c>
      <c r="AM18" s="22"/>
      <c r="AN18" s="23"/>
      <c r="AO18" s="44" t="str">
        <f t="shared" si="19"/>
        <v/>
      </c>
      <c r="AP18" s="25"/>
      <c r="AQ18" s="44" t="str">
        <f t="shared" si="77"/>
        <v/>
      </c>
      <c r="AR18" s="29" t="str">
        <f t="shared" si="21"/>
        <v/>
      </c>
      <c r="AS18" s="29">
        <f t="shared" si="22"/>
        <v>0</v>
      </c>
      <c r="AT18" s="29">
        <f t="shared" si="23"/>
        <v>0</v>
      </c>
      <c r="AU18" s="22" t="str">
        <f t="shared" si="24"/>
        <v/>
      </c>
      <c r="AV18" s="23"/>
      <c r="AW18" s="44" t="str">
        <f t="shared" si="25"/>
        <v/>
      </c>
      <c r="AX18" s="25"/>
      <c r="AY18" s="44" t="str">
        <f t="shared" si="26"/>
        <v/>
      </c>
      <c r="AZ18" s="47"/>
      <c r="BA18" s="22" t="str">
        <f t="shared" si="27"/>
        <v/>
      </c>
      <c r="BB18" s="23"/>
      <c r="BC18" s="44" t="str">
        <f t="shared" si="28"/>
        <v/>
      </c>
      <c r="BD18" s="25"/>
      <c r="BE18" s="44" t="str">
        <f t="shared" si="29"/>
        <v/>
      </c>
      <c r="BF18" s="47"/>
      <c r="BG18" s="22" t="str">
        <f t="shared" si="30"/>
        <v/>
      </c>
      <c r="BH18" s="23"/>
      <c r="BI18" s="45" t="str">
        <f t="shared" si="31"/>
        <v/>
      </c>
      <c r="BJ18" s="25"/>
      <c r="BK18" s="45" t="str">
        <f t="shared" si="32"/>
        <v/>
      </c>
      <c r="BL18" s="20">
        <v>0.0</v>
      </c>
      <c r="BM18" s="5"/>
      <c r="BN18" s="22" t="str">
        <f t="shared" si="33"/>
        <v/>
      </c>
      <c r="BO18" s="23"/>
      <c r="BP18" s="44" t="str">
        <f t="shared" si="34"/>
        <v/>
      </c>
      <c r="BQ18" s="25"/>
      <c r="BR18" s="44" t="str">
        <f t="shared" si="79"/>
        <v/>
      </c>
      <c r="BS18" s="29" t="str">
        <f t="shared" si="35"/>
        <v/>
      </c>
      <c r="BT18" s="29">
        <f t="shared" si="36"/>
        <v>0</v>
      </c>
      <c r="BU18" s="29">
        <f t="shared" si="37"/>
        <v>0</v>
      </c>
      <c r="BV18" s="22" t="str">
        <f t="shared" si="38"/>
        <v/>
      </c>
      <c r="BW18" s="23"/>
      <c r="BX18" s="44" t="str">
        <f t="shared" si="39"/>
        <v/>
      </c>
      <c r="BY18" s="25"/>
      <c r="BZ18" s="44" t="str">
        <f t="shared" si="40"/>
        <v/>
      </c>
      <c r="CA18" s="47"/>
      <c r="CB18" s="22" t="str">
        <f t="shared" si="41"/>
        <v/>
      </c>
      <c r="CC18" s="23"/>
      <c r="CD18" s="44" t="str">
        <f t="shared" si="42"/>
        <v/>
      </c>
      <c r="CE18" s="25"/>
      <c r="CF18" s="44" t="str">
        <f t="shared" si="43"/>
        <v/>
      </c>
      <c r="CG18" s="47"/>
      <c r="CH18" s="22" t="str">
        <f t="shared" si="44"/>
        <v/>
      </c>
      <c r="CI18" s="23"/>
      <c r="CJ18" s="45" t="str">
        <f t="shared" si="45"/>
        <v/>
      </c>
      <c r="CK18" s="25"/>
      <c r="CL18" s="45" t="str">
        <f t="shared" si="46"/>
        <v/>
      </c>
      <c r="CM18" s="20">
        <v>0.0</v>
      </c>
      <c r="CN18" s="5"/>
      <c r="CO18" s="23"/>
      <c r="CP18" s="44" t="str">
        <f t="shared" si="47"/>
        <v/>
      </c>
      <c r="CQ18" s="25"/>
      <c r="CR18" s="44" t="str">
        <f t="shared" si="78"/>
        <v/>
      </c>
      <c r="CS18" s="29" t="str">
        <f t="shared" si="48"/>
        <v/>
      </c>
      <c r="CT18" s="29">
        <f t="shared" si="49"/>
        <v>0</v>
      </c>
      <c r="CU18" s="29">
        <f t="shared" si="50"/>
        <v>0</v>
      </c>
      <c r="CV18" s="22" t="str">
        <f t="shared" si="51"/>
        <v/>
      </c>
      <c r="CW18" s="23"/>
      <c r="CX18" s="44" t="str">
        <f t="shared" si="52"/>
        <v/>
      </c>
      <c r="CY18" s="25"/>
      <c r="CZ18" s="44" t="str">
        <f t="shared" si="53"/>
        <v/>
      </c>
      <c r="DA18" s="47"/>
      <c r="DB18" s="22" t="str">
        <f t="shared" si="54"/>
        <v/>
      </c>
      <c r="DC18" s="23"/>
      <c r="DD18" s="44" t="str">
        <f t="shared" si="55"/>
        <v/>
      </c>
      <c r="DE18" s="25"/>
      <c r="DF18" s="44" t="str">
        <f t="shared" si="56"/>
        <v/>
      </c>
      <c r="DG18" s="47"/>
      <c r="DH18" s="22" t="str">
        <f t="shared" si="57"/>
        <v/>
      </c>
      <c r="DI18" s="23"/>
      <c r="DJ18" s="45" t="str">
        <f t="shared" si="58"/>
        <v/>
      </c>
      <c r="DK18" s="25"/>
      <c r="DL18" s="45" t="str">
        <f t="shared" si="59"/>
        <v/>
      </c>
      <c r="DM18" s="20">
        <v>0.0</v>
      </c>
      <c r="DN18" s="5"/>
      <c r="DO18" s="23"/>
      <c r="DP18" s="45" t="str">
        <f t="shared" si="60"/>
        <v/>
      </c>
      <c r="DQ18" s="25"/>
      <c r="DR18" s="45" t="str">
        <f t="shared" si="61"/>
        <v/>
      </c>
      <c r="DS18" s="29" t="str">
        <f t="shared" si="62"/>
        <v/>
      </c>
      <c r="DT18" s="29">
        <f t="shared" si="63"/>
        <v>0</v>
      </c>
      <c r="DU18" s="29">
        <f t="shared" si="64"/>
        <v>0</v>
      </c>
      <c r="DV18" s="22" t="str">
        <f t="shared" si="65"/>
        <v/>
      </c>
      <c r="DW18" s="23"/>
      <c r="DX18" s="45" t="str">
        <f t="shared" si="66"/>
        <v/>
      </c>
      <c r="DY18" s="25"/>
      <c r="DZ18" s="45" t="str">
        <f t="shared" si="67"/>
        <v/>
      </c>
      <c r="EA18" s="47"/>
      <c r="EB18" s="22" t="str">
        <f t="shared" si="68"/>
        <v/>
      </c>
      <c r="EC18" s="23"/>
      <c r="ED18" s="45" t="str">
        <f t="shared" si="69"/>
        <v/>
      </c>
      <c r="EE18" s="25"/>
      <c r="EF18" s="45" t="str">
        <f t="shared" si="70"/>
        <v/>
      </c>
      <c r="EG18" s="47"/>
      <c r="EH18" s="22" t="str">
        <f t="shared" si="71"/>
        <v/>
      </c>
      <c r="EI18" s="23"/>
      <c r="EJ18" s="45" t="str">
        <f t="shared" si="72"/>
        <v/>
      </c>
      <c r="EK18" s="25"/>
      <c r="EL18" s="45" t="str">
        <f t="shared" si="73"/>
        <v/>
      </c>
      <c r="EM18" s="20">
        <v>0.0</v>
      </c>
      <c r="EN18" s="5"/>
    </row>
    <row r="19">
      <c r="A19" s="20" t="str">
        <f t="shared" si="1"/>
        <v/>
      </c>
      <c r="B19" s="21"/>
      <c r="C19" s="80"/>
      <c r="D19" s="80"/>
      <c r="E19" s="27" t="str">
        <f t="shared" si="2"/>
        <v/>
      </c>
      <c r="F19" s="20"/>
      <c r="G19" s="20"/>
      <c r="H19" s="20"/>
      <c r="I19" s="23"/>
      <c r="J19" s="5"/>
      <c r="K19" s="22" t="str">
        <f t="shared" si="3"/>
        <v/>
      </c>
      <c r="L19" s="23"/>
      <c r="M19" s="44" t="str">
        <f t="shared" si="4"/>
        <v/>
      </c>
      <c r="N19" s="25"/>
      <c r="O19" s="44" t="str">
        <f t="shared" si="80"/>
        <v/>
      </c>
      <c r="P19" s="29" t="str">
        <f t="shared" si="6"/>
        <v/>
      </c>
      <c r="Q19" s="29">
        <f t="shared" si="7"/>
        <v>0</v>
      </c>
      <c r="R19" s="29">
        <f t="shared" si="8"/>
        <v>0</v>
      </c>
      <c r="S19" s="22" t="str">
        <f t="shared" si="9"/>
        <v/>
      </c>
      <c r="T19" s="23"/>
      <c r="U19" s="44" t="str">
        <f t="shared" si="10"/>
        <v/>
      </c>
      <c r="V19" s="25"/>
      <c r="W19" s="44" t="str">
        <f t="shared" si="11"/>
        <v/>
      </c>
      <c r="X19" s="47"/>
      <c r="Y19" s="22" t="str">
        <f t="shared" si="12"/>
        <v/>
      </c>
      <c r="Z19" s="23"/>
      <c r="AA19" s="44" t="str">
        <f t="shared" si="13"/>
        <v/>
      </c>
      <c r="AB19" s="25"/>
      <c r="AC19" s="44" t="str">
        <f t="shared" si="14"/>
        <v/>
      </c>
      <c r="AD19" s="47"/>
      <c r="AE19" s="22" t="str">
        <f t="shared" si="15"/>
        <v/>
      </c>
      <c r="AF19" s="23"/>
      <c r="AG19" s="45" t="str">
        <f t="shared" si="16"/>
        <v/>
      </c>
      <c r="AH19" s="25"/>
      <c r="AI19" s="45" t="str">
        <f t="shared" si="17"/>
        <v/>
      </c>
      <c r="AJ19" s="20">
        <v>0.0</v>
      </c>
      <c r="AK19" s="5"/>
      <c r="AL19" s="22" t="str">
        <f t="shared" si="18"/>
        <v/>
      </c>
      <c r="AM19" s="22"/>
      <c r="AN19" s="23"/>
      <c r="AO19" s="44" t="str">
        <f t="shared" si="19"/>
        <v/>
      </c>
      <c r="AP19" s="25"/>
      <c r="AQ19" s="44" t="str">
        <f t="shared" si="77"/>
        <v/>
      </c>
      <c r="AR19" s="29" t="str">
        <f t="shared" si="21"/>
        <v/>
      </c>
      <c r="AS19" s="29">
        <f t="shared" si="22"/>
        <v>0</v>
      </c>
      <c r="AT19" s="29">
        <f t="shared" si="23"/>
        <v>0</v>
      </c>
      <c r="AU19" s="22" t="str">
        <f t="shared" si="24"/>
        <v/>
      </c>
      <c r="AV19" s="23"/>
      <c r="AW19" s="44" t="str">
        <f t="shared" si="25"/>
        <v/>
      </c>
      <c r="AX19" s="25"/>
      <c r="AY19" s="44" t="str">
        <f t="shared" si="26"/>
        <v/>
      </c>
      <c r="AZ19" s="47"/>
      <c r="BA19" s="22" t="str">
        <f t="shared" si="27"/>
        <v/>
      </c>
      <c r="BB19" s="23"/>
      <c r="BC19" s="44" t="str">
        <f t="shared" si="28"/>
        <v/>
      </c>
      <c r="BD19" s="25"/>
      <c r="BE19" s="44" t="str">
        <f t="shared" si="29"/>
        <v/>
      </c>
      <c r="BF19" s="47"/>
      <c r="BG19" s="22" t="str">
        <f t="shared" si="30"/>
        <v/>
      </c>
      <c r="BH19" s="23"/>
      <c r="BI19" s="45" t="str">
        <f t="shared" si="31"/>
        <v/>
      </c>
      <c r="BJ19" s="25"/>
      <c r="BK19" s="45" t="str">
        <f t="shared" si="32"/>
        <v/>
      </c>
      <c r="BL19" s="20">
        <v>0.0</v>
      </c>
      <c r="BM19" s="5"/>
      <c r="BN19" s="22" t="str">
        <f t="shared" si="33"/>
        <v/>
      </c>
      <c r="BO19" s="23"/>
      <c r="BP19" s="44" t="str">
        <f t="shared" si="34"/>
        <v/>
      </c>
      <c r="BQ19" s="25"/>
      <c r="BR19" s="44" t="str">
        <f t="shared" si="79"/>
        <v/>
      </c>
      <c r="BS19" s="29" t="str">
        <f t="shared" si="35"/>
        <v/>
      </c>
      <c r="BT19" s="29">
        <f t="shared" si="36"/>
        <v>0</v>
      </c>
      <c r="BU19" s="29">
        <f t="shared" si="37"/>
        <v>0</v>
      </c>
      <c r="BV19" s="22" t="str">
        <f t="shared" si="38"/>
        <v/>
      </c>
      <c r="BW19" s="23"/>
      <c r="BX19" s="44" t="str">
        <f t="shared" si="39"/>
        <v/>
      </c>
      <c r="BY19" s="25"/>
      <c r="BZ19" s="44" t="str">
        <f t="shared" si="40"/>
        <v/>
      </c>
      <c r="CA19" s="47"/>
      <c r="CB19" s="22" t="str">
        <f t="shared" si="41"/>
        <v/>
      </c>
      <c r="CC19" s="23"/>
      <c r="CD19" s="44" t="str">
        <f t="shared" si="42"/>
        <v/>
      </c>
      <c r="CE19" s="25"/>
      <c r="CF19" s="44" t="str">
        <f t="shared" si="43"/>
        <v/>
      </c>
      <c r="CG19" s="47"/>
      <c r="CH19" s="22" t="str">
        <f t="shared" si="44"/>
        <v/>
      </c>
      <c r="CI19" s="23"/>
      <c r="CJ19" s="45" t="str">
        <f t="shared" si="45"/>
        <v/>
      </c>
      <c r="CK19" s="25"/>
      <c r="CL19" s="45" t="str">
        <f t="shared" si="46"/>
        <v/>
      </c>
      <c r="CM19" s="20">
        <v>0.0</v>
      </c>
      <c r="CN19" s="5"/>
      <c r="CO19" s="23"/>
      <c r="CP19" s="44" t="str">
        <f t="shared" si="47"/>
        <v/>
      </c>
      <c r="CQ19" s="25"/>
      <c r="CR19" s="44" t="str">
        <f t="shared" si="78"/>
        <v/>
      </c>
      <c r="CS19" s="29" t="str">
        <f t="shared" si="48"/>
        <v/>
      </c>
      <c r="CT19" s="29">
        <f t="shared" si="49"/>
        <v>0</v>
      </c>
      <c r="CU19" s="29">
        <f t="shared" si="50"/>
        <v>0</v>
      </c>
      <c r="CV19" s="22" t="str">
        <f t="shared" si="51"/>
        <v/>
      </c>
      <c r="CW19" s="23"/>
      <c r="CX19" s="44" t="str">
        <f t="shared" si="52"/>
        <v/>
      </c>
      <c r="CY19" s="25"/>
      <c r="CZ19" s="44" t="str">
        <f t="shared" si="53"/>
        <v/>
      </c>
      <c r="DA19" s="47"/>
      <c r="DB19" s="22" t="str">
        <f t="shared" si="54"/>
        <v/>
      </c>
      <c r="DC19" s="23"/>
      <c r="DD19" s="44" t="str">
        <f t="shared" si="55"/>
        <v/>
      </c>
      <c r="DE19" s="25"/>
      <c r="DF19" s="44" t="str">
        <f t="shared" si="56"/>
        <v/>
      </c>
      <c r="DG19" s="47"/>
      <c r="DH19" s="22" t="str">
        <f t="shared" si="57"/>
        <v/>
      </c>
      <c r="DI19" s="23"/>
      <c r="DJ19" s="45" t="str">
        <f t="shared" si="58"/>
        <v/>
      </c>
      <c r="DK19" s="25"/>
      <c r="DL19" s="45" t="str">
        <f t="shared" si="59"/>
        <v/>
      </c>
      <c r="DM19" s="20">
        <v>0.0</v>
      </c>
      <c r="DN19" s="5"/>
      <c r="DO19" s="23"/>
      <c r="DP19" s="45" t="str">
        <f t="shared" si="60"/>
        <v/>
      </c>
      <c r="DQ19" s="25"/>
      <c r="DR19" s="45" t="str">
        <f t="shared" si="61"/>
        <v/>
      </c>
      <c r="DS19" s="29" t="str">
        <f t="shared" si="62"/>
        <v/>
      </c>
      <c r="DT19" s="29">
        <f t="shared" si="63"/>
        <v>0</v>
      </c>
      <c r="DU19" s="29">
        <f t="shared" si="64"/>
        <v>0</v>
      </c>
      <c r="DV19" s="22" t="str">
        <f t="shared" si="65"/>
        <v/>
      </c>
      <c r="DW19" s="23"/>
      <c r="DX19" s="45" t="str">
        <f t="shared" si="66"/>
        <v/>
      </c>
      <c r="DY19" s="25"/>
      <c r="DZ19" s="45" t="str">
        <f t="shared" si="67"/>
        <v/>
      </c>
      <c r="EA19" s="47"/>
      <c r="EB19" s="22" t="str">
        <f t="shared" si="68"/>
        <v/>
      </c>
      <c r="EC19" s="23"/>
      <c r="ED19" s="45" t="str">
        <f t="shared" si="69"/>
        <v/>
      </c>
      <c r="EE19" s="25"/>
      <c r="EF19" s="45" t="str">
        <f t="shared" si="70"/>
        <v/>
      </c>
      <c r="EG19" s="47"/>
      <c r="EH19" s="22" t="str">
        <f t="shared" si="71"/>
        <v/>
      </c>
      <c r="EI19" s="23"/>
      <c r="EJ19" s="45" t="str">
        <f t="shared" si="72"/>
        <v/>
      </c>
      <c r="EK19" s="25"/>
      <c r="EL19" s="45" t="str">
        <f t="shared" si="73"/>
        <v/>
      </c>
      <c r="EM19" s="20">
        <v>0.0</v>
      </c>
      <c r="EN19" s="5"/>
    </row>
    <row r="20">
      <c r="A20" s="20" t="str">
        <f t="shared" si="1"/>
        <v/>
      </c>
      <c r="B20" s="21"/>
      <c r="C20" s="80"/>
      <c r="D20" s="80"/>
      <c r="E20" s="27" t="str">
        <f t="shared" si="2"/>
        <v/>
      </c>
      <c r="F20" s="20"/>
      <c r="G20" s="20"/>
      <c r="H20" s="20"/>
      <c r="I20" s="23"/>
      <c r="J20" s="5"/>
      <c r="K20" s="22" t="str">
        <f t="shared" si="3"/>
        <v/>
      </c>
      <c r="L20" s="23"/>
      <c r="M20" s="44" t="str">
        <f t="shared" si="4"/>
        <v/>
      </c>
      <c r="N20" s="25"/>
      <c r="O20" s="44" t="str">
        <f t="shared" si="80"/>
        <v/>
      </c>
      <c r="P20" s="29" t="str">
        <f t="shared" si="6"/>
        <v/>
      </c>
      <c r="Q20" s="29">
        <f t="shared" si="7"/>
        <v>0</v>
      </c>
      <c r="R20" s="29">
        <f t="shared" si="8"/>
        <v>0</v>
      </c>
      <c r="S20" s="22" t="str">
        <f t="shared" si="9"/>
        <v/>
      </c>
      <c r="T20" s="23"/>
      <c r="U20" s="44" t="str">
        <f t="shared" si="10"/>
        <v/>
      </c>
      <c r="V20" s="25"/>
      <c r="W20" s="44" t="str">
        <f t="shared" si="11"/>
        <v/>
      </c>
      <c r="X20" s="47"/>
      <c r="Y20" s="22" t="str">
        <f t="shared" si="12"/>
        <v/>
      </c>
      <c r="Z20" s="23"/>
      <c r="AA20" s="44" t="str">
        <f t="shared" si="13"/>
        <v/>
      </c>
      <c r="AB20" s="25"/>
      <c r="AC20" s="44" t="str">
        <f t="shared" si="14"/>
        <v/>
      </c>
      <c r="AD20" s="47"/>
      <c r="AE20" s="22" t="str">
        <f t="shared" si="15"/>
        <v/>
      </c>
      <c r="AF20" s="23"/>
      <c r="AG20" s="45" t="str">
        <f t="shared" si="16"/>
        <v/>
      </c>
      <c r="AH20" s="25"/>
      <c r="AI20" s="45" t="str">
        <f t="shared" si="17"/>
        <v/>
      </c>
      <c r="AJ20" s="20">
        <v>0.0</v>
      </c>
      <c r="AK20" s="5"/>
      <c r="AL20" s="22" t="str">
        <f t="shared" si="18"/>
        <v/>
      </c>
      <c r="AM20" s="22"/>
      <c r="AN20" s="23"/>
      <c r="AO20" s="44" t="str">
        <f t="shared" si="19"/>
        <v/>
      </c>
      <c r="AP20" s="25"/>
      <c r="AQ20" s="44" t="str">
        <f t="shared" si="77"/>
        <v/>
      </c>
      <c r="AR20" s="29" t="str">
        <f t="shared" si="21"/>
        <v/>
      </c>
      <c r="AS20" s="29">
        <f t="shared" si="22"/>
        <v>0</v>
      </c>
      <c r="AT20" s="29">
        <f t="shared" si="23"/>
        <v>0</v>
      </c>
      <c r="AU20" s="22" t="str">
        <f t="shared" si="24"/>
        <v/>
      </c>
      <c r="AV20" s="23"/>
      <c r="AW20" s="44" t="str">
        <f t="shared" si="25"/>
        <v/>
      </c>
      <c r="AX20" s="25"/>
      <c r="AY20" s="44" t="str">
        <f t="shared" si="26"/>
        <v/>
      </c>
      <c r="AZ20" s="47"/>
      <c r="BA20" s="22" t="str">
        <f t="shared" si="27"/>
        <v/>
      </c>
      <c r="BB20" s="23"/>
      <c r="BC20" s="44" t="str">
        <f t="shared" si="28"/>
        <v/>
      </c>
      <c r="BD20" s="25"/>
      <c r="BE20" s="44" t="str">
        <f t="shared" si="29"/>
        <v/>
      </c>
      <c r="BF20" s="47"/>
      <c r="BG20" s="22" t="str">
        <f t="shared" si="30"/>
        <v/>
      </c>
      <c r="BH20" s="23"/>
      <c r="BI20" s="45" t="str">
        <f t="shared" si="31"/>
        <v/>
      </c>
      <c r="BJ20" s="25"/>
      <c r="BK20" s="45" t="str">
        <f t="shared" si="32"/>
        <v/>
      </c>
      <c r="BL20" s="20">
        <v>0.0</v>
      </c>
      <c r="BM20" s="5"/>
      <c r="BN20" s="22" t="str">
        <f t="shared" si="33"/>
        <v/>
      </c>
      <c r="BO20" s="23"/>
      <c r="BP20" s="44" t="str">
        <f t="shared" si="34"/>
        <v/>
      </c>
      <c r="BQ20" s="25"/>
      <c r="BR20" s="44" t="str">
        <f t="shared" si="79"/>
        <v/>
      </c>
      <c r="BS20" s="29" t="str">
        <f t="shared" si="35"/>
        <v/>
      </c>
      <c r="BT20" s="29">
        <f t="shared" si="36"/>
        <v>0</v>
      </c>
      <c r="BU20" s="29">
        <f t="shared" si="37"/>
        <v>0</v>
      </c>
      <c r="BV20" s="22" t="str">
        <f t="shared" si="38"/>
        <v/>
      </c>
      <c r="BW20" s="23"/>
      <c r="BX20" s="44" t="str">
        <f t="shared" si="39"/>
        <v/>
      </c>
      <c r="BY20" s="25"/>
      <c r="BZ20" s="44" t="str">
        <f t="shared" si="40"/>
        <v/>
      </c>
      <c r="CA20" s="47"/>
      <c r="CB20" s="22" t="str">
        <f t="shared" si="41"/>
        <v/>
      </c>
      <c r="CC20" s="23"/>
      <c r="CD20" s="44" t="str">
        <f t="shared" si="42"/>
        <v/>
      </c>
      <c r="CE20" s="25"/>
      <c r="CF20" s="44" t="str">
        <f t="shared" si="43"/>
        <v/>
      </c>
      <c r="CG20" s="47"/>
      <c r="CH20" s="22" t="str">
        <f t="shared" si="44"/>
        <v/>
      </c>
      <c r="CI20" s="23"/>
      <c r="CJ20" s="45" t="str">
        <f t="shared" si="45"/>
        <v/>
      </c>
      <c r="CK20" s="25"/>
      <c r="CL20" s="45" t="str">
        <f t="shared" si="46"/>
        <v/>
      </c>
      <c r="CM20" s="20">
        <v>0.0</v>
      </c>
      <c r="CN20" s="5"/>
      <c r="CO20" s="23"/>
      <c r="CP20" s="44" t="str">
        <f t="shared" si="47"/>
        <v/>
      </c>
      <c r="CQ20" s="25"/>
      <c r="CR20" s="44" t="str">
        <f t="shared" si="78"/>
        <v/>
      </c>
      <c r="CS20" s="29" t="str">
        <f t="shared" si="48"/>
        <v/>
      </c>
      <c r="CT20" s="29">
        <f t="shared" si="49"/>
        <v>0</v>
      </c>
      <c r="CU20" s="29">
        <f t="shared" si="50"/>
        <v>0</v>
      </c>
      <c r="CV20" s="22" t="str">
        <f t="shared" si="51"/>
        <v/>
      </c>
      <c r="CW20" s="23"/>
      <c r="CX20" s="44" t="str">
        <f t="shared" si="52"/>
        <v/>
      </c>
      <c r="CY20" s="25"/>
      <c r="CZ20" s="44" t="str">
        <f t="shared" si="53"/>
        <v/>
      </c>
      <c r="DA20" s="47"/>
      <c r="DB20" s="22" t="str">
        <f t="shared" si="54"/>
        <v/>
      </c>
      <c r="DC20" s="23"/>
      <c r="DD20" s="44" t="str">
        <f t="shared" si="55"/>
        <v/>
      </c>
      <c r="DE20" s="25"/>
      <c r="DF20" s="44" t="str">
        <f t="shared" si="56"/>
        <v/>
      </c>
      <c r="DG20" s="47"/>
      <c r="DH20" s="22" t="str">
        <f t="shared" si="57"/>
        <v/>
      </c>
      <c r="DI20" s="23"/>
      <c r="DJ20" s="45" t="str">
        <f t="shared" si="58"/>
        <v/>
      </c>
      <c r="DK20" s="25"/>
      <c r="DL20" s="45" t="str">
        <f t="shared" si="59"/>
        <v/>
      </c>
      <c r="DM20" s="20">
        <v>0.0</v>
      </c>
      <c r="DN20" s="5"/>
      <c r="DO20" s="23"/>
      <c r="DP20" s="45" t="str">
        <f t="shared" si="60"/>
        <v/>
      </c>
      <c r="DQ20" s="25"/>
      <c r="DR20" s="45" t="str">
        <f t="shared" si="61"/>
        <v/>
      </c>
      <c r="DS20" s="29" t="str">
        <f t="shared" si="62"/>
        <v/>
      </c>
      <c r="DT20" s="29">
        <f t="shared" si="63"/>
        <v>0</v>
      </c>
      <c r="DU20" s="29">
        <f t="shared" si="64"/>
        <v>0</v>
      </c>
      <c r="DV20" s="22" t="str">
        <f t="shared" si="65"/>
        <v/>
      </c>
      <c r="DW20" s="23"/>
      <c r="DX20" s="45" t="str">
        <f t="shared" si="66"/>
        <v/>
      </c>
      <c r="DY20" s="25"/>
      <c r="DZ20" s="45" t="str">
        <f t="shared" si="67"/>
        <v/>
      </c>
      <c r="EA20" s="47"/>
      <c r="EB20" s="22" t="str">
        <f t="shared" si="68"/>
        <v/>
      </c>
      <c r="EC20" s="23"/>
      <c r="ED20" s="45" t="str">
        <f t="shared" si="69"/>
        <v/>
      </c>
      <c r="EE20" s="25"/>
      <c r="EF20" s="45" t="str">
        <f t="shared" si="70"/>
        <v/>
      </c>
      <c r="EG20" s="47"/>
      <c r="EH20" s="22" t="str">
        <f t="shared" si="71"/>
        <v/>
      </c>
      <c r="EI20" s="23"/>
      <c r="EJ20" s="45" t="str">
        <f t="shared" si="72"/>
        <v/>
      </c>
      <c r="EK20" s="25"/>
      <c r="EL20" s="45" t="str">
        <f t="shared" si="73"/>
        <v/>
      </c>
      <c r="EM20" s="20">
        <v>0.0</v>
      </c>
      <c r="EN20" s="5"/>
    </row>
    <row r="21">
      <c r="A21" s="20" t="str">
        <f t="shared" si="1"/>
        <v/>
      </c>
      <c r="B21" s="21"/>
      <c r="C21" s="80"/>
      <c r="D21" s="80"/>
      <c r="E21" s="27" t="str">
        <f t="shared" si="2"/>
        <v/>
      </c>
      <c r="F21" s="20"/>
      <c r="G21" s="20"/>
      <c r="H21" s="20"/>
      <c r="I21" s="23"/>
      <c r="J21" s="5"/>
      <c r="K21" s="22" t="str">
        <f t="shared" si="3"/>
        <v/>
      </c>
      <c r="L21" s="23"/>
      <c r="M21" s="44" t="str">
        <f t="shared" si="4"/>
        <v/>
      </c>
      <c r="N21" s="25"/>
      <c r="O21" s="44" t="str">
        <f t="shared" si="80"/>
        <v/>
      </c>
      <c r="P21" s="29" t="str">
        <f t="shared" si="6"/>
        <v/>
      </c>
      <c r="Q21" s="29">
        <f t="shared" si="7"/>
        <v>0</v>
      </c>
      <c r="R21" s="29">
        <f t="shared" si="8"/>
        <v>0</v>
      </c>
      <c r="S21" s="22" t="str">
        <f t="shared" si="9"/>
        <v/>
      </c>
      <c r="T21" s="23"/>
      <c r="U21" s="44" t="str">
        <f t="shared" si="10"/>
        <v/>
      </c>
      <c r="V21" s="25"/>
      <c r="W21" s="44" t="str">
        <f t="shared" si="11"/>
        <v/>
      </c>
      <c r="X21" s="47"/>
      <c r="Y21" s="22" t="str">
        <f t="shared" si="12"/>
        <v/>
      </c>
      <c r="Z21" s="23"/>
      <c r="AA21" s="44" t="str">
        <f t="shared" si="13"/>
        <v/>
      </c>
      <c r="AB21" s="25"/>
      <c r="AC21" s="44" t="str">
        <f t="shared" si="14"/>
        <v/>
      </c>
      <c r="AD21" s="47"/>
      <c r="AE21" s="22" t="str">
        <f t="shared" si="15"/>
        <v/>
      </c>
      <c r="AF21" s="23"/>
      <c r="AG21" s="45" t="str">
        <f t="shared" si="16"/>
        <v/>
      </c>
      <c r="AH21" s="25"/>
      <c r="AI21" s="45" t="str">
        <f t="shared" si="17"/>
        <v/>
      </c>
      <c r="AJ21" s="20">
        <v>0.0</v>
      </c>
      <c r="AK21" s="5"/>
      <c r="AL21" s="22" t="str">
        <f t="shared" si="18"/>
        <v/>
      </c>
      <c r="AM21" s="22"/>
      <c r="AN21" s="23"/>
      <c r="AO21" s="44" t="str">
        <f t="shared" si="19"/>
        <v/>
      </c>
      <c r="AP21" s="25"/>
      <c r="AQ21" s="44" t="str">
        <f t="shared" si="77"/>
        <v/>
      </c>
      <c r="AR21" s="29" t="str">
        <f t="shared" si="21"/>
        <v/>
      </c>
      <c r="AS21" s="29">
        <f t="shared" si="22"/>
        <v>0</v>
      </c>
      <c r="AT21" s="29">
        <f t="shared" si="23"/>
        <v>0</v>
      </c>
      <c r="AU21" s="22" t="str">
        <f t="shared" si="24"/>
        <v/>
      </c>
      <c r="AV21" s="23"/>
      <c r="AW21" s="44" t="str">
        <f t="shared" si="25"/>
        <v/>
      </c>
      <c r="AX21" s="25"/>
      <c r="AY21" s="44" t="str">
        <f t="shared" si="26"/>
        <v/>
      </c>
      <c r="AZ21" s="47"/>
      <c r="BA21" s="22" t="str">
        <f t="shared" si="27"/>
        <v/>
      </c>
      <c r="BB21" s="23"/>
      <c r="BC21" s="44" t="str">
        <f t="shared" si="28"/>
        <v/>
      </c>
      <c r="BD21" s="25"/>
      <c r="BE21" s="44" t="str">
        <f t="shared" si="29"/>
        <v/>
      </c>
      <c r="BF21" s="47"/>
      <c r="BG21" s="22" t="str">
        <f t="shared" si="30"/>
        <v/>
      </c>
      <c r="BH21" s="23"/>
      <c r="BI21" s="45" t="str">
        <f t="shared" si="31"/>
        <v/>
      </c>
      <c r="BJ21" s="25"/>
      <c r="BK21" s="45" t="str">
        <f t="shared" si="32"/>
        <v/>
      </c>
      <c r="BL21" s="20">
        <v>0.0</v>
      </c>
      <c r="BM21" s="5"/>
      <c r="BN21" s="22" t="str">
        <f t="shared" si="33"/>
        <v/>
      </c>
      <c r="BO21" s="23"/>
      <c r="BP21" s="44" t="str">
        <f t="shared" si="34"/>
        <v/>
      </c>
      <c r="BQ21" s="25"/>
      <c r="BR21" s="44" t="str">
        <f t="shared" si="79"/>
        <v/>
      </c>
      <c r="BS21" s="29" t="str">
        <f t="shared" si="35"/>
        <v/>
      </c>
      <c r="BT21" s="29">
        <f t="shared" si="36"/>
        <v>0</v>
      </c>
      <c r="BU21" s="29">
        <f t="shared" si="37"/>
        <v>0</v>
      </c>
      <c r="BV21" s="22" t="str">
        <f t="shared" si="38"/>
        <v/>
      </c>
      <c r="BW21" s="23"/>
      <c r="BX21" s="44" t="str">
        <f t="shared" si="39"/>
        <v/>
      </c>
      <c r="BY21" s="25"/>
      <c r="BZ21" s="44" t="str">
        <f t="shared" si="40"/>
        <v/>
      </c>
      <c r="CA21" s="47"/>
      <c r="CB21" s="22" t="str">
        <f t="shared" si="41"/>
        <v/>
      </c>
      <c r="CC21" s="23"/>
      <c r="CD21" s="44" t="str">
        <f t="shared" si="42"/>
        <v/>
      </c>
      <c r="CE21" s="25"/>
      <c r="CF21" s="44" t="str">
        <f t="shared" si="43"/>
        <v/>
      </c>
      <c r="CG21" s="47"/>
      <c r="CH21" s="22" t="str">
        <f t="shared" si="44"/>
        <v/>
      </c>
      <c r="CI21" s="23"/>
      <c r="CJ21" s="45" t="str">
        <f t="shared" si="45"/>
        <v/>
      </c>
      <c r="CK21" s="25"/>
      <c r="CL21" s="45" t="str">
        <f t="shared" si="46"/>
        <v/>
      </c>
      <c r="CM21" s="20">
        <v>0.0</v>
      </c>
      <c r="CN21" s="5"/>
      <c r="CO21" s="23"/>
      <c r="CP21" s="44" t="str">
        <f t="shared" si="47"/>
        <v/>
      </c>
      <c r="CQ21" s="25"/>
      <c r="CR21" s="44" t="str">
        <f t="shared" si="78"/>
        <v/>
      </c>
      <c r="CS21" s="29" t="str">
        <f t="shared" si="48"/>
        <v/>
      </c>
      <c r="CT21" s="29">
        <f t="shared" si="49"/>
        <v>0</v>
      </c>
      <c r="CU21" s="29">
        <f t="shared" si="50"/>
        <v>0</v>
      </c>
      <c r="CV21" s="22" t="str">
        <f t="shared" si="51"/>
        <v/>
      </c>
      <c r="CW21" s="23"/>
      <c r="CX21" s="44" t="str">
        <f t="shared" si="52"/>
        <v/>
      </c>
      <c r="CY21" s="25"/>
      <c r="CZ21" s="44" t="str">
        <f t="shared" si="53"/>
        <v/>
      </c>
      <c r="DA21" s="47"/>
      <c r="DB21" s="22" t="str">
        <f t="shared" si="54"/>
        <v/>
      </c>
      <c r="DC21" s="23"/>
      <c r="DD21" s="44" t="str">
        <f t="shared" si="55"/>
        <v/>
      </c>
      <c r="DE21" s="25"/>
      <c r="DF21" s="44" t="str">
        <f t="shared" si="56"/>
        <v/>
      </c>
      <c r="DG21" s="47"/>
      <c r="DH21" s="22" t="str">
        <f t="shared" si="57"/>
        <v/>
      </c>
      <c r="DI21" s="23"/>
      <c r="DJ21" s="45" t="str">
        <f t="shared" si="58"/>
        <v/>
      </c>
      <c r="DK21" s="25"/>
      <c r="DL21" s="45" t="str">
        <f t="shared" si="59"/>
        <v/>
      </c>
      <c r="DM21" s="20">
        <v>0.0</v>
      </c>
      <c r="DN21" s="5"/>
      <c r="DO21" s="23"/>
      <c r="DP21" s="45" t="str">
        <f t="shared" si="60"/>
        <v/>
      </c>
      <c r="DQ21" s="25"/>
      <c r="DR21" s="45" t="str">
        <f t="shared" si="61"/>
        <v/>
      </c>
      <c r="DS21" s="29" t="str">
        <f t="shared" si="62"/>
        <v/>
      </c>
      <c r="DT21" s="29">
        <f t="shared" si="63"/>
        <v>0</v>
      </c>
      <c r="DU21" s="29">
        <f t="shared" si="64"/>
        <v>0</v>
      </c>
      <c r="DV21" s="22" t="str">
        <f t="shared" si="65"/>
        <v/>
      </c>
      <c r="DW21" s="23"/>
      <c r="DX21" s="45" t="str">
        <f t="shared" si="66"/>
        <v/>
      </c>
      <c r="DY21" s="25"/>
      <c r="DZ21" s="45" t="str">
        <f t="shared" si="67"/>
        <v/>
      </c>
      <c r="EA21" s="47"/>
      <c r="EB21" s="22" t="str">
        <f t="shared" si="68"/>
        <v/>
      </c>
      <c r="EC21" s="23"/>
      <c r="ED21" s="45" t="str">
        <f t="shared" si="69"/>
        <v/>
      </c>
      <c r="EE21" s="25"/>
      <c r="EF21" s="45" t="str">
        <f t="shared" si="70"/>
        <v/>
      </c>
      <c r="EG21" s="47"/>
      <c r="EH21" s="22" t="str">
        <f t="shared" si="71"/>
        <v/>
      </c>
      <c r="EI21" s="23"/>
      <c r="EJ21" s="45" t="str">
        <f t="shared" si="72"/>
        <v/>
      </c>
      <c r="EK21" s="25"/>
      <c r="EL21" s="45" t="str">
        <f t="shared" si="73"/>
        <v/>
      </c>
      <c r="EM21" s="20">
        <v>0.0</v>
      </c>
      <c r="EN21" s="5"/>
    </row>
    <row r="22">
      <c r="A22" s="20" t="str">
        <f t="shared" si="1"/>
        <v/>
      </c>
      <c r="B22" s="21"/>
      <c r="C22" s="80"/>
      <c r="D22" s="80"/>
      <c r="E22" s="27" t="str">
        <f t="shared" si="2"/>
        <v/>
      </c>
      <c r="F22" s="20"/>
      <c r="G22" s="20"/>
      <c r="H22" s="20"/>
      <c r="I22" s="23"/>
      <c r="J22" s="5"/>
      <c r="K22" s="22" t="str">
        <f t="shared" si="3"/>
        <v/>
      </c>
      <c r="L22" s="23"/>
      <c r="M22" s="44" t="str">
        <f t="shared" si="4"/>
        <v/>
      </c>
      <c r="N22" s="25"/>
      <c r="O22" s="44" t="str">
        <f t="shared" si="80"/>
        <v/>
      </c>
      <c r="P22" s="29" t="str">
        <f t="shared" si="6"/>
        <v/>
      </c>
      <c r="Q22" s="29">
        <f t="shared" si="7"/>
        <v>0</v>
      </c>
      <c r="R22" s="29">
        <f t="shared" si="8"/>
        <v>0</v>
      </c>
      <c r="S22" s="22" t="str">
        <f t="shared" si="9"/>
        <v/>
      </c>
      <c r="T22" s="23"/>
      <c r="U22" s="44" t="str">
        <f t="shared" si="10"/>
        <v/>
      </c>
      <c r="V22" s="25"/>
      <c r="W22" s="44" t="str">
        <f t="shared" si="11"/>
        <v/>
      </c>
      <c r="X22" s="47"/>
      <c r="Y22" s="22" t="str">
        <f t="shared" si="12"/>
        <v/>
      </c>
      <c r="Z22" s="23"/>
      <c r="AA22" s="44" t="str">
        <f t="shared" si="13"/>
        <v/>
      </c>
      <c r="AB22" s="25"/>
      <c r="AC22" s="44" t="str">
        <f t="shared" si="14"/>
        <v/>
      </c>
      <c r="AD22" s="47"/>
      <c r="AE22" s="22" t="str">
        <f t="shared" si="15"/>
        <v/>
      </c>
      <c r="AF22" s="23"/>
      <c r="AG22" s="45" t="str">
        <f t="shared" si="16"/>
        <v/>
      </c>
      <c r="AH22" s="25"/>
      <c r="AI22" s="45" t="str">
        <f t="shared" si="17"/>
        <v/>
      </c>
      <c r="AJ22" s="20">
        <v>0.0</v>
      </c>
      <c r="AK22" s="5"/>
      <c r="AL22" s="22" t="str">
        <f t="shared" si="18"/>
        <v/>
      </c>
      <c r="AM22" s="22"/>
      <c r="AN22" s="23"/>
      <c r="AO22" s="44" t="str">
        <f t="shared" si="19"/>
        <v/>
      </c>
      <c r="AP22" s="25"/>
      <c r="AQ22" s="44" t="str">
        <f t="shared" si="77"/>
        <v/>
      </c>
      <c r="AR22" s="29" t="str">
        <f t="shared" si="21"/>
        <v/>
      </c>
      <c r="AS22" s="29">
        <f t="shared" si="22"/>
        <v>0</v>
      </c>
      <c r="AT22" s="29">
        <f t="shared" si="23"/>
        <v>0</v>
      </c>
      <c r="AU22" s="22" t="str">
        <f t="shared" si="24"/>
        <v/>
      </c>
      <c r="AV22" s="23"/>
      <c r="AW22" s="44" t="str">
        <f t="shared" si="25"/>
        <v/>
      </c>
      <c r="AX22" s="25"/>
      <c r="AY22" s="44" t="str">
        <f t="shared" si="26"/>
        <v/>
      </c>
      <c r="AZ22" s="47"/>
      <c r="BA22" s="22" t="str">
        <f t="shared" si="27"/>
        <v/>
      </c>
      <c r="BB22" s="23"/>
      <c r="BC22" s="44" t="str">
        <f t="shared" si="28"/>
        <v/>
      </c>
      <c r="BD22" s="25"/>
      <c r="BE22" s="44" t="str">
        <f t="shared" si="29"/>
        <v/>
      </c>
      <c r="BF22" s="47"/>
      <c r="BG22" s="22" t="str">
        <f t="shared" si="30"/>
        <v/>
      </c>
      <c r="BH22" s="23"/>
      <c r="BI22" s="45" t="str">
        <f t="shared" si="31"/>
        <v/>
      </c>
      <c r="BJ22" s="25"/>
      <c r="BK22" s="45" t="str">
        <f t="shared" si="32"/>
        <v/>
      </c>
      <c r="BL22" s="20">
        <v>0.0</v>
      </c>
      <c r="BM22" s="5"/>
      <c r="BN22" s="22" t="str">
        <f t="shared" si="33"/>
        <v/>
      </c>
      <c r="BO22" s="23"/>
      <c r="BP22" s="44" t="str">
        <f t="shared" si="34"/>
        <v/>
      </c>
      <c r="BQ22" s="25"/>
      <c r="BR22" s="44" t="str">
        <f t="shared" si="79"/>
        <v/>
      </c>
      <c r="BS22" s="29" t="str">
        <f t="shared" si="35"/>
        <v/>
      </c>
      <c r="BT22" s="29">
        <f t="shared" si="36"/>
        <v>0</v>
      </c>
      <c r="BU22" s="29">
        <f t="shared" si="37"/>
        <v>0</v>
      </c>
      <c r="BV22" s="22" t="str">
        <f t="shared" si="38"/>
        <v/>
      </c>
      <c r="BW22" s="23"/>
      <c r="BX22" s="44" t="str">
        <f t="shared" si="39"/>
        <v/>
      </c>
      <c r="BY22" s="25"/>
      <c r="BZ22" s="44" t="str">
        <f t="shared" si="40"/>
        <v/>
      </c>
      <c r="CA22" s="47"/>
      <c r="CB22" s="22" t="str">
        <f t="shared" si="41"/>
        <v/>
      </c>
      <c r="CC22" s="23"/>
      <c r="CD22" s="44" t="str">
        <f t="shared" si="42"/>
        <v/>
      </c>
      <c r="CE22" s="25"/>
      <c r="CF22" s="44" t="str">
        <f t="shared" si="43"/>
        <v/>
      </c>
      <c r="CG22" s="47"/>
      <c r="CH22" s="22" t="str">
        <f t="shared" si="44"/>
        <v/>
      </c>
      <c r="CI22" s="23"/>
      <c r="CJ22" s="45" t="str">
        <f t="shared" si="45"/>
        <v/>
      </c>
      <c r="CK22" s="25"/>
      <c r="CL22" s="45" t="str">
        <f t="shared" si="46"/>
        <v/>
      </c>
      <c r="CM22" s="20">
        <v>0.0</v>
      </c>
      <c r="CN22" s="5"/>
      <c r="CO22" s="23"/>
      <c r="CP22" s="44" t="str">
        <f t="shared" si="47"/>
        <v/>
      </c>
      <c r="CQ22" s="25"/>
      <c r="CR22" s="44" t="str">
        <f t="shared" si="78"/>
        <v/>
      </c>
      <c r="CS22" s="29" t="str">
        <f t="shared" si="48"/>
        <v/>
      </c>
      <c r="CT22" s="29">
        <f t="shared" si="49"/>
        <v>0</v>
      </c>
      <c r="CU22" s="29">
        <f t="shared" si="50"/>
        <v>0</v>
      </c>
      <c r="CV22" s="22" t="str">
        <f t="shared" si="51"/>
        <v/>
      </c>
      <c r="CW22" s="23"/>
      <c r="CX22" s="44" t="str">
        <f t="shared" si="52"/>
        <v/>
      </c>
      <c r="CY22" s="25"/>
      <c r="CZ22" s="44" t="str">
        <f t="shared" si="53"/>
        <v/>
      </c>
      <c r="DA22" s="47"/>
      <c r="DB22" s="22" t="str">
        <f t="shared" si="54"/>
        <v/>
      </c>
      <c r="DC22" s="23"/>
      <c r="DD22" s="44" t="str">
        <f t="shared" si="55"/>
        <v/>
      </c>
      <c r="DE22" s="25"/>
      <c r="DF22" s="44" t="str">
        <f t="shared" si="56"/>
        <v/>
      </c>
      <c r="DG22" s="47"/>
      <c r="DH22" s="22" t="str">
        <f t="shared" si="57"/>
        <v/>
      </c>
      <c r="DI22" s="23"/>
      <c r="DJ22" s="45" t="str">
        <f t="shared" si="58"/>
        <v/>
      </c>
      <c r="DK22" s="25"/>
      <c r="DL22" s="45" t="str">
        <f t="shared" si="59"/>
        <v/>
      </c>
      <c r="DM22" s="20">
        <v>0.0</v>
      </c>
      <c r="DN22" s="5"/>
      <c r="DO22" s="23"/>
      <c r="DP22" s="45" t="str">
        <f t="shared" si="60"/>
        <v/>
      </c>
      <c r="DQ22" s="25"/>
      <c r="DR22" s="45" t="str">
        <f t="shared" si="61"/>
        <v/>
      </c>
      <c r="DS22" s="29" t="str">
        <f t="shared" si="62"/>
        <v/>
      </c>
      <c r="DT22" s="29">
        <f t="shared" si="63"/>
        <v>0</v>
      </c>
      <c r="DU22" s="29">
        <f t="shared" si="64"/>
        <v>0</v>
      </c>
      <c r="DV22" s="22" t="str">
        <f t="shared" si="65"/>
        <v/>
      </c>
      <c r="DW22" s="23"/>
      <c r="DX22" s="45" t="str">
        <f t="shared" si="66"/>
        <v/>
      </c>
      <c r="DY22" s="25"/>
      <c r="DZ22" s="45" t="str">
        <f t="shared" si="67"/>
        <v/>
      </c>
      <c r="EA22" s="47"/>
      <c r="EB22" s="22" t="str">
        <f t="shared" si="68"/>
        <v/>
      </c>
      <c r="EC22" s="23"/>
      <c r="ED22" s="45" t="str">
        <f t="shared" si="69"/>
        <v/>
      </c>
      <c r="EE22" s="25"/>
      <c r="EF22" s="45" t="str">
        <f t="shared" si="70"/>
        <v/>
      </c>
      <c r="EG22" s="47"/>
      <c r="EH22" s="22" t="str">
        <f t="shared" si="71"/>
        <v/>
      </c>
      <c r="EI22" s="23"/>
      <c r="EJ22" s="45" t="str">
        <f t="shared" si="72"/>
        <v/>
      </c>
      <c r="EK22" s="25"/>
      <c r="EL22" s="45" t="str">
        <f t="shared" si="73"/>
        <v/>
      </c>
      <c r="EM22" s="20">
        <v>0.0</v>
      </c>
      <c r="EN22" s="5"/>
    </row>
    <row r="23">
      <c r="A23" s="20" t="str">
        <f t="shared" si="1"/>
        <v/>
      </c>
      <c r="B23" s="21"/>
      <c r="C23" s="80"/>
      <c r="D23" s="80"/>
      <c r="E23" s="27" t="str">
        <f t="shared" si="2"/>
        <v/>
      </c>
      <c r="F23" s="20"/>
      <c r="G23" s="20"/>
      <c r="H23" s="20"/>
      <c r="I23" s="23"/>
      <c r="J23" s="5"/>
      <c r="K23" s="22" t="str">
        <f t="shared" si="3"/>
        <v/>
      </c>
      <c r="L23" s="23"/>
      <c r="M23" s="44" t="str">
        <f t="shared" si="4"/>
        <v/>
      </c>
      <c r="N23" s="25"/>
      <c r="O23" s="44" t="str">
        <f t="shared" si="80"/>
        <v/>
      </c>
      <c r="P23" s="29" t="str">
        <f t="shared" si="6"/>
        <v/>
      </c>
      <c r="Q23" s="29">
        <f t="shared" si="7"/>
        <v>0</v>
      </c>
      <c r="R23" s="29">
        <f t="shared" si="8"/>
        <v>0</v>
      </c>
      <c r="S23" s="22" t="str">
        <f t="shared" si="9"/>
        <v/>
      </c>
      <c r="T23" s="23"/>
      <c r="U23" s="44" t="str">
        <f t="shared" si="10"/>
        <v/>
      </c>
      <c r="V23" s="25"/>
      <c r="W23" s="44" t="str">
        <f t="shared" si="11"/>
        <v/>
      </c>
      <c r="X23" s="47"/>
      <c r="Y23" s="22" t="str">
        <f t="shared" si="12"/>
        <v/>
      </c>
      <c r="Z23" s="23"/>
      <c r="AA23" s="44" t="str">
        <f t="shared" si="13"/>
        <v/>
      </c>
      <c r="AB23" s="25"/>
      <c r="AC23" s="44" t="str">
        <f t="shared" si="14"/>
        <v/>
      </c>
      <c r="AD23" s="47"/>
      <c r="AE23" s="22" t="str">
        <f t="shared" si="15"/>
        <v/>
      </c>
      <c r="AF23" s="23"/>
      <c r="AG23" s="45" t="str">
        <f t="shared" si="16"/>
        <v/>
      </c>
      <c r="AH23" s="25"/>
      <c r="AI23" s="45" t="str">
        <f t="shared" si="17"/>
        <v/>
      </c>
      <c r="AJ23" s="20">
        <v>0.0</v>
      </c>
      <c r="AK23" s="5"/>
      <c r="AL23" s="22" t="str">
        <f t="shared" si="18"/>
        <v/>
      </c>
      <c r="AM23" s="22"/>
      <c r="AN23" s="23"/>
      <c r="AO23" s="44" t="str">
        <f t="shared" si="19"/>
        <v/>
      </c>
      <c r="AP23" s="25"/>
      <c r="AQ23" s="44" t="str">
        <f t="shared" si="77"/>
        <v/>
      </c>
      <c r="AR23" s="29" t="str">
        <f t="shared" si="21"/>
        <v/>
      </c>
      <c r="AS23" s="29">
        <f t="shared" si="22"/>
        <v>0</v>
      </c>
      <c r="AT23" s="29">
        <f t="shared" si="23"/>
        <v>0</v>
      </c>
      <c r="AU23" s="22" t="str">
        <f t="shared" si="24"/>
        <v/>
      </c>
      <c r="AV23" s="23"/>
      <c r="AW23" s="44" t="str">
        <f t="shared" si="25"/>
        <v/>
      </c>
      <c r="AX23" s="25"/>
      <c r="AY23" s="44" t="str">
        <f t="shared" si="26"/>
        <v/>
      </c>
      <c r="AZ23" s="47"/>
      <c r="BA23" s="22" t="str">
        <f t="shared" si="27"/>
        <v/>
      </c>
      <c r="BB23" s="23"/>
      <c r="BC23" s="44" t="str">
        <f t="shared" si="28"/>
        <v/>
      </c>
      <c r="BD23" s="25"/>
      <c r="BE23" s="44" t="str">
        <f t="shared" si="29"/>
        <v/>
      </c>
      <c r="BF23" s="47"/>
      <c r="BG23" s="22" t="str">
        <f t="shared" si="30"/>
        <v/>
      </c>
      <c r="BH23" s="23"/>
      <c r="BI23" s="45" t="str">
        <f t="shared" si="31"/>
        <v/>
      </c>
      <c r="BJ23" s="25"/>
      <c r="BK23" s="45" t="str">
        <f t="shared" si="32"/>
        <v/>
      </c>
      <c r="BL23" s="20">
        <v>0.0</v>
      </c>
      <c r="BM23" s="5"/>
      <c r="BN23" s="22" t="str">
        <f t="shared" si="33"/>
        <v/>
      </c>
      <c r="BO23" s="23"/>
      <c r="BP23" s="44" t="str">
        <f t="shared" si="34"/>
        <v/>
      </c>
      <c r="BQ23" s="25"/>
      <c r="BR23" s="44" t="str">
        <f t="shared" si="79"/>
        <v/>
      </c>
      <c r="BS23" s="29" t="str">
        <f t="shared" si="35"/>
        <v/>
      </c>
      <c r="BT23" s="29">
        <f t="shared" si="36"/>
        <v>0</v>
      </c>
      <c r="BU23" s="29">
        <f t="shared" si="37"/>
        <v>0</v>
      </c>
      <c r="BV23" s="22" t="str">
        <f t="shared" si="38"/>
        <v/>
      </c>
      <c r="BW23" s="23"/>
      <c r="BX23" s="44" t="str">
        <f t="shared" si="39"/>
        <v/>
      </c>
      <c r="BY23" s="25"/>
      <c r="BZ23" s="44" t="str">
        <f t="shared" si="40"/>
        <v/>
      </c>
      <c r="CA23" s="47"/>
      <c r="CB23" s="22" t="str">
        <f t="shared" si="41"/>
        <v/>
      </c>
      <c r="CC23" s="23"/>
      <c r="CD23" s="44" t="str">
        <f t="shared" si="42"/>
        <v/>
      </c>
      <c r="CE23" s="25"/>
      <c r="CF23" s="44" t="str">
        <f t="shared" si="43"/>
        <v/>
      </c>
      <c r="CG23" s="47"/>
      <c r="CH23" s="22" t="str">
        <f t="shared" si="44"/>
        <v/>
      </c>
      <c r="CI23" s="23"/>
      <c r="CJ23" s="45" t="str">
        <f t="shared" si="45"/>
        <v/>
      </c>
      <c r="CK23" s="25"/>
      <c r="CL23" s="45" t="str">
        <f t="shared" si="46"/>
        <v/>
      </c>
      <c r="CM23" s="20">
        <v>0.0</v>
      </c>
      <c r="CN23" s="5"/>
      <c r="CO23" s="23"/>
      <c r="CP23" s="44" t="str">
        <f t="shared" si="47"/>
        <v/>
      </c>
      <c r="CQ23" s="25"/>
      <c r="CR23" s="44" t="str">
        <f t="shared" si="78"/>
        <v/>
      </c>
      <c r="CS23" s="29" t="str">
        <f t="shared" si="48"/>
        <v/>
      </c>
      <c r="CT23" s="29">
        <f t="shared" si="49"/>
        <v>0</v>
      </c>
      <c r="CU23" s="29">
        <f t="shared" si="50"/>
        <v>0</v>
      </c>
      <c r="CV23" s="22" t="str">
        <f t="shared" si="51"/>
        <v/>
      </c>
      <c r="CW23" s="23"/>
      <c r="CX23" s="44" t="str">
        <f t="shared" si="52"/>
        <v/>
      </c>
      <c r="CY23" s="25"/>
      <c r="CZ23" s="44" t="str">
        <f t="shared" si="53"/>
        <v/>
      </c>
      <c r="DA23" s="47"/>
      <c r="DB23" s="22" t="str">
        <f t="shared" si="54"/>
        <v/>
      </c>
      <c r="DC23" s="23"/>
      <c r="DD23" s="44" t="str">
        <f t="shared" si="55"/>
        <v/>
      </c>
      <c r="DE23" s="25"/>
      <c r="DF23" s="44" t="str">
        <f t="shared" si="56"/>
        <v/>
      </c>
      <c r="DG23" s="47"/>
      <c r="DH23" s="22" t="str">
        <f t="shared" si="57"/>
        <v/>
      </c>
      <c r="DI23" s="23"/>
      <c r="DJ23" s="45" t="str">
        <f t="shared" si="58"/>
        <v/>
      </c>
      <c r="DK23" s="25"/>
      <c r="DL23" s="45" t="str">
        <f t="shared" si="59"/>
        <v/>
      </c>
      <c r="DM23" s="20">
        <v>0.0</v>
      </c>
      <c r="DN23" s="5"/>
      <c r="DO23" s="23"/>
      <c r="DP23" s="45" t="str">
        <f t="shared" si="60"/>
        <v/>
      </c>
      <c r="DQ23" s="25"/>
      <c r="DR23" s="45" t="str">
        <f t="shared" si="61"/>
        <v/>
      </c>
      <c r="DS23" s="29" t="str">
        <f t="shared" si="62"/>
        <v/>
      </c>
      <c r="DT23" s="29">
        <f t="shared" si="63"/>
        <v>0</v>
      </c>
      <c r="DU23" s="29">
        <f t="shared" si="64"/>
        <v>0</v>
      </c>
      <c r="DV23" s="22" t="str">
        <f t="shared" si="65"/>
        <v/>
      </c>
      <c r="DW23" s="23"/>
      <c r="DX23" s="45" t="str">
        <f t="shared" si="66"/>
        <v/>
      </c>
      <c r="DY23" s="25"/>
      <c r="DZ23" s="45" t="str">
        <f t="shared" si="67"/>
        <v/>
      </c>
      <c r="EA23" s="47"/>
      <c r="EB23" s="22" t="str">
        <f t="shared" si="68"/>
        <v/>
      </c>
      <c r="EC23" s="23"/>
      <c r="ED23" s="45" t="str">
        <f t="shared" si="69"/>
        <v/>
      </c>
      <c r="EE23" s="25"/>
      <c r="EF23" s="45" t="str">
        <f t="shared" si="70"/>
        <v/>
      </c>
      <c r="EG23" s="47"/>
      <c r="EH23" s="22" t="str">
        <f t="shared" si="71"/>
        <v/>
      </c>
      <c r="EI23" s="23"/>
      <c r="EJ23" s="45" t="str">
        <f t="shared" si="72"/>
        <v/>
      </c>
      <c r="EK23" s="25"/>
      <c r="EL23" s="45" t="str">
        <f t="shared" si="73"/>
        <v/>
      </c>
      <c r="EM23" s="20">
        <v>0.0</v>
      </c>
      <c r="EN23" s="5"/>
    </row>
    <row r="24">
      <c r="A24" s="20" t="str">
        <f t="shared" si="1"/>
        <v/>
      </c>
      <c r="B24" s="21"/>
      <c r="C24" s="80"/>
      <c r="D24" s="80"/>
      <c r="E24" s="27" t="str">
        <f t="shared" si="2"/>
        <v/>
      </c>
      <c r="F24" s="20"/>
      <c r="G24" s="20"/>
      <c r="H24" s="20"/>
      <c r="I24" s="23"/>
      <c r="J24" s="5"/>
      <c r="K24" s="22" t="str">
        <f t="shared" si="3"/>
        <v/>
      </c>
      <c r="L24" s="23"/>
      <c r="M24" s="44" t="str">
        <f t="shared" si="4"/>
        <v/>
      </c>
      <c r="N24" s="25"/>
      <c r="O24" s="44" t="str">
        <f t="shared" si="80"/>
        <v/>
      </c>
      <c r="P24" s="29" t="str">
        <f t="shared" si="6"/>
        <v/>
      </c>
      <c r="Q24" s="29">
        <f t="shared" si="7"/>
        <v>0</v>
      </c>
      <c r="R24" s="29">
        <f t="shared" si="8"/>
        <v>0</v>
      </c>
      <c r="S24" s="22" t="str">
        <f t="shared" si="9"/>
        <v/>
      </c>
      <c r="T24" s="23"/>
      <c r="U24" s="44" t="str">
        <f t="shared" si="10"/>
        <v/>
      </c>
      <c r="V24" s="25"/>
      <c r="W24" s="44" t="str">
        <f t="shared" si="11"/>
        <v/>
      </c>
      <c r="X24" s="47"/>
      <c r="Y24" s="22" t="str">
        <f t="shared" si="12"/>
        <v/>
      </c>
      <c r="Z24" s="23"/>
      <c r="AA24" s="44" t="str">
        <f t="shared" si="13"/>
        <v/>
      </c>
      <c r="AB24" s="25"/>
      <c r="AC24" s="44" t="str">
        <f t="shared" si="14"/>
        <v/>
      </c>
      <c r="AD24" s="47"/>
      <c r="AE24" s="22" t="str">
        <f t="shared" si="15"/>
        <v/>
      </c>
      <c r="AF24" s="23"/>
      <c r="AG24" s="45" t="str">
        <f t="shared" si="16"/>
        <v/>
      </c>
      <c r="AH24" s="25"/>
      <c r="AI24" s="45" t="str">
        <f t="shared" si="17"/>
        <v/>
      </c>
      <c r="AJ24" s="20">
        <v>0.0</v>
      </c>
      <c r="AK24" s="5"/>
      <c r="AL24" s="22" t="str">
        <f t="shared" si="18"/>
        <v/>
      </c>
      <c r="AM24" s="22"/>
      <c r="AN24" s="23"/>
      <c r="AO24" s="44" t="str">
        <f t="shared" si="19"/>
        <v/>
      </c>
      <c r="AP24" s="25"/>
      <c r="AQ24" s="44" t="str">
        <f t="shared" si="77"/>
        <v/>
      </c>
      <c r="AR24" s="29" t="str">
        <f t="shared" si="21"/>
        <v/>
      </c>
      <c r="AS24" s="29">
        <f t="shared" si="22"/>
        <v>0</v>
      </c>
      <c r="AT24" s="29">
        <f t="shared" si="23"/>
        <v>0</v>
      </c>
      <c r="AU24" s="22" t="str">
        <f t="shared" si="24"/>
        <v/>
      </c>
      <c r="AV24" s="23"/>
      <c r="AW24" s="44" t="str">
        <f t="shared" si="25"/>
        <v/>
      </c>
      <c r="AX24" s="25"/>
      <c r="AY24" s="44" t="str">
        <f t="shared" si="26"/>
        <v/>
      </c>
      <c r="AZ24" s="47"/>
      <c r="BA24" s="22" t="str">
        <f t="shared" si="27"/>
        <v/>
      </c>
      <c r="BB24" s="23"/>
      <c r="BC24" s="44" t="str">
        <f t="shared" si="28"/>
        <v/>
      </c>
      <c r="BD24" s="25"/>
      <c r="BE24" s="44" t="str">
        <f t="shared" si="29"/>
        <v/>
      </c>
      <c r="BF24" s="47"/>
      <c r="BG24" s="22" t="str">
        <f t="shared" si="30"/>
        <v/>
      </c>
      <c r="BH24" s="23"/>
      <c r="BI24" s="45" t="str">
        <f t="shared" si="31"/>
        <v/>
      </c>
      <c r="BJ24" s="25"/>
      <c r="BK24" s="45" t="str">
        <f t="shared" si="32"/>
        <v/>
      </c>
      <c r="BL24" s="20">
        <v>0.0</v>
      </c>
      <c r="BM24" s="5"/>
      <c r="BN24" s="22" t="str">
        <f t="shared" si="33"/>
        <v/>
      </c>
      <c r="BO24" s="23"/>
      <c r="BP24" s="44" t="str">
        <f t="shared" si="34"/>
        <v/>
      </c>
      <c r="BQ24" s="25"/>
      <c r="BR24" s="44" t="str">
        <f t="shared" si="79"/>
        <v/>
      </c>
      <c r="BS24" s="29" t="str">
        <f t="shared" si="35"/>
        <v/>
      </c>
      <c r="BT24" s="29">
        <f t="shared" si="36"/>
        <v>0</v>
      </c>
      <c r="BU24" s="29">
        <f t="shared" si="37"/>
        <v>0</v>
      </c>
      <c r="BV24" s="22" t="str">
        <f t="shared" si="38"/>
        <v/>
      </c>
      <c r="BW24" s="23"/>
      <c r="BX24" s="44" t="str">
        <f t="shared" si="39"/>
        <v/>
      </c>
      <c r="BY24" s="25"/>
      <c r="BZ24" s="44" t="str">
        <f t="shared" si="40"/>
        <v/>
      </c>
      <c r="CA24" s="47"/>
      <c r="CB24" s="22" t="str">
        <f t="shared" si="41"/>
        <v/>
      </c>
      <c r="CC24" s="23"/>
      <c r="CD24" s="44" t="str">
        <f t="shared" si="42"/>
        <v/>
      </c>
      <c r="CE24" s="25"/>
      <c r="CF24" s="44" t="str">
        <f t="shared" si="43"/>
        <v/>
      </c>
      <c r="CG24" s="47"/>
      <c r="CH24" s="22" t="str">
        <f t="shared" si="44"/>
        <v/>
      </c>
      <c r="CI24" s="23"/>
      <c r="CJ24" s="45" t="str">
        <f t="shared" si="45"/>
        <v/>
      </c>
      <c r="CK24" s="25"/>
      <c r="CL24" s="45" t="str">
        <f t="shared" si="46"/>
        <v/>
      </c>
      <c r="CM24" s="20">
        <v>0.0</v>
      </c>
      <c r="CN24" s="5"/>
      <c r="CO24" s="23"/>
      <c r="CP24" s="44" t="str">
        <f t="shared" si="47"/>
        <v/>
      </c>
      <c r="CQ24" s="25"/>
      <c r="CR24" s="44" t="str">
        <f t="shared" si="78"/>
        <v/>
      </c>
      <c r="CS24" s="29" t="str">
        <f t="shared" si="48"/>
        <v/>
      </c>
      <c r="CT24" s="29">
        <f t="shared" si="49"/>
        <v>0</v>
      </c>
      <c r="CU24" s="29">
        <f t="shared" si="50"/>
        <v>0</v>
      </c>
      <c r="CV24" s="22" t="str">
        <f t="shared" si="51"/>
        <v/>
      </c>
      <c r="CW24" s="23"/>
      <c r="CX24" s="44" t="str">
        <f t="shared" si="52"/>
        <v/>
      </c>
      <c r="CY24" s="25"/>
      <c r="CZ24" s="44" t="str">
        <f t="shared" si="53"/>
        <v/>
      </c>
      <c r="DA24" s="47"/>
      <c r="DB24" s="22" t="str">
        <f t="shared" si="54"/>
        <v/>
      </c>
      <c r="DC24" s="23"/>
      <c r="DD24" s="44" t="str">
        <f t="shared" si="55"/>
        <v/>
      </c>
      <c r="DE24" s="25"/>
      <c r="DF24" s="44" t="str">
        <f t="shared" si="56"/>
        <v/>
      </c>
      <c r="DG24" s="47"/>
      <c r="DH24" s="22" t="str">
        <f t="shared" si="57"/>
        <v/>
      </c>
      <c r="DI24" s="23"/>
      <c r="DJ24" s="45" t="str">
        <f t="shared" si="58"/>
        <v/>
      </c>
      <c r="DK24" s="25"/>
      <c r="DL24" s="45" t="str">
        <f t="shared" si="59"/>
        <v/>
      </c>
      <c r="DM24" s="20">
        <v>0.0</v>
      </c>
      <c r="DN24" s="5"/>
      <c r="DO24" s="23"/>
      <c r="DP24" s="45" t="str">
        <f t="shared" si="60"/>
        <v/>
      </c>
      <c r="DQ24" s="25"/>
      <c r="DR24" s="45" t="str">
        <f t="shared" si="61"/>
        <v/>
      </c>
      <c r="DS24" s="29" t="str">
        <f t="shared" si="62"/>
        <v/>
      </c>
      <c r="DT24" s="29">
        <f t="shared" si="63"/>
        <v>0</v>
      </c>
      <c r="DU24" s="29">
        <f t="shared" si="64"/>
        <v>0</v>
      </c>
      <c r="DV24" s="22" t="str">
        <f t="shared" si="65"/>
        <v/>
      </c>
      <c r="DW24" s="23"/>
      <c r="DX24" s="45" t="str">
        <f t="shared" si="66"/>
        <v/>
      </c>
      <c r="DY24" s="25"/>
      <c r="DZ24" s="45" t="str">
        <f t="shared" si="67"/>
        <v/>
      </c>
      <c r="EA24" s="47"/>
      <c r="EB24" s="22" t="str">
        <f t="shared" si="68"/>
        <v/>
      </c>
      <c r="EC24" s="23"/>
      <c r="ED24" s="45" t="str">
        <f t="shared" si="69"/>
        <v/>
      </c>
      <c r="EE24" s="25"/>
      <c r="EF24" s="45" t="str">
        <f t="shared" si="70"/>
        <v/>
      </c>
      <c r="EG24" s="47"/>
      <c r="EH24" s="22" t="str">
        <f t="shared" si="71"/>
        <v/>
      </c>
      <c r="EI24" s="23"/>
      <c r="EJ24" s="45" t="str">
        <f t="shared" si="72"/>
        <v/>
      </c>
      <c r="EK24" s="25"/>
      <c r="EL24" s="45" t="str">
        <f t="shared" si="73"/>
        <v/>
      </c>
      <c r="EM24" s="20">
        <v>0.0</v>
      </c>
      <c r="EN24" s="5"/>
    </row>
    <row r="25">
      <c r="A25" s="20" t="str">
        <f t="shared" si="1"/>
        <v/>
      </c>
      <c r="B25" s="21"/>
      <c r="C25" s="80"/>
      <c r="D25" s="80"/>
      <c r="E25" s="27" t="str">
        <f t="shared" si="2"/>
        <v/>
      </c>
      <c r="F25" s="20"/>
      <c r="G25" s="20"/>
      <c r="H25" s="20"/>
      <c r="I25" s="23"/>
      <c r="J25" s="5"/>
      <c r="K25" s="22" t="str">
        <f t="shared" si="3"/>
        <v/>
      </c>
      <c r="L25" s="23"/>
      <c r="M25" s="44" t="str">
        <f t="shared" si="4"/>
        <v/>
      </c>
      <c r="N25" s="25"/>
      <c r="O25" s="44" t="str">
        <f t="shared" si="80"/>
        <v/>
      </c>
      <c r="P25" s="29" t="str">
        <f t="shared" si="6"/>
        <v/>
      </c>
      <c r="Q25" s="29">
        <f t="shared" si="7"/>
        <v>0</v>
      </c>
      <c r="R25" s="29">
        <f t="shared" si="8"/>
        <v>0</v>
      </c>
      <c r="S25" s="22" t="str">
        <f t="shared" si="9"/>
        <v/>
      </c>
      <c r="T25" s="23"/>
      <c r="U25" s="44" t="str">
        <f t="shared" si="10"/>
        <v/>
      </c>
      <c r="V25" s="25"/>
      <c r="W25" s="44" t="str">
        <f t="shared" si="11"/>
        <v/>
      </c>
      <c r="X25" s="47"/>
      <c r="Y25" s="22" t="str">
        <f t="shared" si="12"/>
        <v/>
      </c>
      <c r="Z25" s="23"/>
      <c r="AA25" s="44" t="str">
        <f t="shared" si="13"/>
        <v/>
      </c>
      <c r="AB25" s="25"/>
      <c r="AC25" s="44" t="str">
        <f t="shared" si="14"/>
        <v/>
      </c>
      <c r="AD25" s="47"/>
      <c r="AE25" s="22" t="str">
        <f t="shared" si="15"/>
        <v/>
      </c>
      <c r="AF25" s="23"/>
      <c r="AG25" s="45" t="str">
        <f t="shared" si="16"/>
        <v/>
      </c>
      <c r="AH25" s="25"/>
      <c r="AI25" s="45" t="str">
        <f t="shared" si="17"/>
        <v/>
      </c>
      <c r="AJ25" s="20">
        <v>0.0</v>
      </c>
      <c r="AK25" s="5"/>
      <c r="AL25" s="22" t="str">
        <f t="shared" si="18"/>
        <v/>
      </c>
      <c r="AM25" s="22"/>
      <c r="AN25" s="23"/>
      <c r="AO25" s="44" t="str">
        <f t="shared" si="19"/>
        <v/>
      </c>
      <c r="AP25" s="25"/>
      <c r="AQ25" s="44" t="str">
        <f t="shared" si="77"/>
        <v/>
      </c>
      <c r="AR25" s="29" t="str">
        <f t="shared" si="21"/>
        <v/>
      </c>
      <c r="AS25" s="29">
        <f t="shared" si="22"/>
        <v>0</v>
      </c>
      <c r="AT25" s="29">
        <f t="shared" si="23"/>
        <v>0</v>
      </c>
      <c r="AU25" s="22" t="str">
        <f t="shared" si="24"/>
        <v/>
      </c>
      <c r="AV25" s="23"/>
      <c r="AW25" s="44" t="str">
        <f t="shared" si="25"/>
        <v/>
      </c>
      <c r="AX25" s="25"/>
      <c r="AY25" s="44" t="str">
        <f t="shared" si="26"/>
        <v/>
      </c>
      <c r="AZ25" s="47"/>
      <c r="BA25" s="22" t="str">
        <f t="shared" si="27"/>
        <v/>
      </c>
      <c r="BB25" s="23"/>
      <c r="BC25" s="44" t="str">
        <f t="shared" si="28"/>
        <v/>
      </c>
      <c r="BD25" s="25"/>
      <c r="BE25" s="44" t="str">
        <f t="shared" si="29"/>
        <v/>
      </c>
      <c r="BF25" s="47"/>
      <c r="BG25" s="22" t="str">
        <f t="shared" si="30"/>
        <v/>
      </c>
      <c r="BH25" s="23"/>
      <c r="BI25" s="45" t="str">
        <f t="shared" si="31"/>
        <v/>
      </c>
      <c r="BJ25" s="25"/>
      <c r="BK25" s="45" t="str">
        <f t="shared" si="32"/>
        <v/>
      </c>
      <c r="BL25" s="20">
        <v>0.0</v>
      </c>
      <c r="BM25" s="5"/>
      <c r="BN25" s="22" t="str">
        <f t="shared" si="33"/>
        <v/>
      </c>
      <c r="BO25" s="23"/>
      <c r="BP25" s="44" t="str">
        <f t="shared" si="34"/>
        <v/>
      </c>
      <c r="BQ25" s="25"/>
      <c r="BR25" s="44" t="str">
        <f t="shared" si="79"/>
        <v/>
      </c>
      <c r="BS25" s="29" t="str">
        <f t="shared" si="35"/>
        <v/>
      </c>
      <c r="BT25" s="29">
        <f t="shared" si="36"/>
        <v>0</v>
      </c>
      <c r="BU25" s="29">
        <f t="shared" si="37"/>
        <v>0</v>
      </c>
      <c r="BV25" s="22" t="str">
        <f t="shared" si="38"/>
        <v/>
      </c>
      <c r="BW25" s="23"/>
      <c r="BX25" s="44" t="str">
        <f t="shared" si="39"/>
        <v/>
      </c>
      <c r="BY25" s="25"/>
      <c r="BZ25" s="44" t="str">
        <f t="shared" si="40"/>
        <v/>
      </c>
      <c r="CA25" s="47"/>
      <c r="CB25" s="22" t="str">
        <f t="shared" si="41"/>
        <v/>
      </c>
      <c r="CC25" s="23"/>
      <c r="CD25" s="44" t="str">
        <f t="shared" si="42"/>
        <v/>
      </c>
      <c r="CE25" s="25"/>
      <c r="CF25" s="44" t="str">
        <f t="shared" si="43"/>
        <v/>
      </c>
      <c r="CG25" s="47"/>
      <c r="CH25" s="22" t="str">
        <f t="shared" si="44"/>
        <v/>
      </c>
      <c r="CI25" s="23"/>
      <c r="CJ25" s="45" t="str">
        <f t="shared" si="45"/>
        <v/>
      </c>
      <c r="CK25" s="25"/>
      <c r="CL25" s="45" t="str">
        <f t="shared" si="46"/>
        <v/>
      </c>
      <c r="CM25" s="20">
        <v>0.0</v>
      </c>
      <c r="CN25" s="5"/>
      <c r="CO25" s="23"/>
      <c r="CP25" s="44" t="str">
        <f t="shared" si="47"/>
        <v/>
      </c>
      <c r="CQ25" s="25"/>
      <c r="CR25" s="44" t="str">
        <f t="shared" si="78"/>
        <v/>
      </c>
      <c r="CS25" s="29" t="str">
        <f t="shared" si="48"/>
        <v/>
      </c>
      <c r="CT25" s="29">
        <f t="shared" si="49"/>
        <v>0</v>
      </c>
      <c r="CU25" s="29">
        <f t="shared" si="50"/>
        <v>0</v>
      </c>
      <c r="CV25" s="22" t="str">
        <f t="shared" si="51"/>
        <v/>
      </c>
      <c r="CW25" s="23"/>
      <c r="CX25" s="44" t="str">
        <f t="shared" si="52"/>
        <v/>
      </c>
      <c r="CY25" s="25"/>
      <c r="CZ25" s="44" t="str">
        <f t="shared" si="53"/>
        <v/>
      </c>
      <c r="DA25" s="47"/>
      <c r="DB25" s="22" t="str">
        <f t="shared" si="54"/>
        <v/>
      </c>
      <c r="DC25" s="23"/>
      <c r="DD25" s="44" t="str">
        <f t="shared" si="55"/>
        <v/>
      </c>
      <c r="DE25" s="25"/>
      <c r="DF25" s="44" t="str">
        <f t="shared" si="56"/>
        <v/>
      </c>
      <c r="DG25" s="47"/>
      <c r="DH25" s="22" t="str">
        <f t="shared" si="57"/>
        <v/>
      </c>
      <c r="DI25" s="23"/>
      <c r="DJ25" s="45" t="str">
        <f t="shared" si="58"/>
        <v/>
      </c>
      <c r="DK25" s="25"/>
      <c r="DL25" s="45" t="str">
        <f t="shared" si="59"/>
        <v/>
      </c>
      <c r="DM25" s="20">
        <v>0.0</v>
      </c>
      <c r="DN25" s="5"/>
      <c r="DO25" s="23"/>
      <c r="DP25" s="45" t="str">
        <f t="shared" si="60"/>
        <v/>
      </c>
      <c r="DQ25" s="25"/>
      <c r="DR25" s="45" t="str">
        <f t="shared" si="61"/>
        <v/>
      </c>
      <c r="DS25" s="29" t="str">
        <f t="shared" si="62"/>
        <v/>
      </c>
      <c r="DT25" s="29">
        <f t="shared" si="63"/>
        <v>0</v>
      </c>
      <c r="DU25" s="29">
        <f t="shared" si="64"/>
        <v>0</v>
      </c>
      <c r="DV25" s="22" t="str">
        <f t="shared" si="65"/>
        <v/>
      </c>
      <c r="DW25" s="23"/>
      <c r="DX25" s="45" t="str">
        <f t="shared" si="66"/>
        <v/>
      </c>
      <c r="DY25" s="25"/>
      <c r="DZ25" s="45" t="str">
        <f t="shared" si="67"/>
        <v/>
      </c>
      <c r="EA25" s="47"/>
      <c r="EB25" s="22" t="str">
        <f t="shared" si="68"/>
        <v/>
      </c>
      <c r="EC25" s="23"/>
      <c r="ED25" s="45" t="str">
        <f t="shared" si="69"/>
        <v/>
      </c>
      <c r="EE25" s="25"/>
      <c r="EF25" s="45" t="str">
        <f t="shared" si="70"/>
        <v/>
      </c>
      <c r="EG25" s="47"/>
      <c r="EH25" s="22" t="str">
        <f t="shared" si="71"/>
        <v/>
      </c>
      <c r="EI25" s="23"/>
      <c r="EJ25" s="45" t="str">
        <f t="shared" si="72"/>
        <v/>
      </c>
      <c r="EK25" s="25"/>
      <c r="EL25" s="45" t="str">
        <f t="shared" si="73"/>
        <v/>
      </c>
      <c r="EM25" s="20">
        <v>0.0</v>
      </c>
      <c r="EN25" s="5"/>
    </row>
    <row r="26">
      <c r="A26" s="20" t="str">
        <f t="shared" si="1"/>
        <v/>
      </c>
      <c r="B26" s="21"/>
      <c r="C26" s="80"/>
      <c r="D26" s="80"/>
      <c r="E26" s="27" t="str">
        <f t="shared" si="2"/>
        <v/>
      </c>
      <c r="F26" s="20"/>
      <c r="G26" s="20"/>
      <c r="H26" s="20"/>
      <c r="I26" s="23"/>
      <c r="J26" s="5"/>
      <c r="K26" s="22" t="str">
        <f t="shared" si="3"/>
        <v/>
      </c>
      <c r="L26" s="23"/>
      <c r="M26" s="44" t="str">
        <f t="shared" si="4"/>
        <v/>
      </c>
      <c r="N26" s="25"/>
      <c r="O26" s="44" t="str">
        <f t="shared" si="80"/>
        <v/>
      </c>
      <c r="P26" s="29" t="str">
        <f t="shared" si="6"/>
        <v/>
      </c>
      <c r="Q26" s="29">
        <f t="shared" si="7"/>
        <v>0</v>
      </c>
      <c r="R26" s="29">
        <f t="shared" si="8"/>
        <v>0</v>
      </c>
      <c r="S26" s="22" t="str">
        <f t="shared" si="9"/>
        <v/>
      </c>
      <c r="T26" s="23"/>
      <c r="U26" s="44" t="str">
        <f t="shared" si="10"/>
        <v/>
      </c>
      <c r="V26" s="25"/>
      <c r="W26" s="44" t="str">
        <f t="shared" si="11"/>
        <v/>
      </c>
      <c r="X26" s="47"/>
      <c r="Y26" s="22" t="str">
        <f t="shared" si="12"/>
        <v/>
      </c>
      <c r="Z26" s="23"/>
      <c r="AA26" s="44" t="str">
        <f t="shared" si="13"/>
        <v/>
      </c>
      <c r="AB26" s="25"/>
      <c r="AC26" s="44" t="str">
        <f t="shared" si="14"/>
        <v/>
      </c>
      <c r="AD26" s="47"/>
      <c r="AE26" s="22" t="str">
        <f t="shared" si="15"/>
        <v/>
      </c>
      <c r="AF26" s="23"/>
      <c r="AG26" s="45" t="str">
        <f t="shared" si="16"/>
        <v/>
      </c>
      <c r="AH26" s="25"/>
      <c r="AI26" s="45" t="str">
        <f t="shared" si="17"/>
        <v/>
      </c>
      <c r="AJ26" s="20">
        <v>0.0</v>
      </c>
      <c r="AK26" s="5"/>
      <c r="AL26" s="22" t="str">
        <f t="shared" si="18"/>
        <v/>
      </c>
      <c r="AM26" s="22"/>
      <c r="AN26" s="23"/>
      <c r="AO26" s="44" t="str">
        <f t="shared" si="19"/>
        <v/>
      </c>
      <c r="AP26" s="25"/>
      <c r="AQ26" s="44" t="str">
        <f t="shared" si="77"/>
        <v/>
      </c>
      <c r="AR26" s="29" t="str">
        <f t="shared" si="21"/>
        <v/>
      </c>
      <c r="AS26" s="29">
        <f t="shared" si="22"/>
        <v>0</v>
      </c>
      <c r="AT26" s="29">
        <f t="shared" si="23"/>
        <v>0</v>
      </c>
      <c r="AU26" s="22" t="str">
        <f t="shared" si="24"/>
        <v/>
      </c>
      <c r="AV26" s="23"/>
      <c r="AW26" s="44" t="str">
        <f t="shared" si="25"/>
        <v/>
      </c>
      <c r="AX26" s="25"/>
      <c r="AY26" s="44" t="str">
        <f t="shared" si="26"/>
        <v/>
      </c>
      <c r="AZ26" s="47"/>
      <c r="BA26" s="22" t="str">
        <f t="shared" si="27"/>
        <v/>
      </c>
      <c r="BB26" s="23"/>
      <c r="BC26" s="44" t="str">
        <f t="shared" si="28"/>
        <v/>
      </c>
      <c r="BD26" s="25"/>
      <c r="BE26" s="44" t="str">
        <f t="shared" si="29"/>
        <v/>
      </c>
      <c r="BF26" s="47"/>
      <c r="BG26" s="22" t="str">
        <f t="shared" si="30"/>
        <v/>
      </c>
      <c r="BH26" s="23"/>
      <c r="BI26" s="45" t="str">
        <f t="shared" si="31"/>
        <v/>
      </c>
      <c r="BJ26" s="25"/>
      <c r="BK26" s="45" t="str">
        <f t="shared" si="32"/>
        <v/>
      </c>
      <c r="BL26" s="20">
        <v>0.0</v>
      </c>
      <c r="BM26" s="5"/>
      <c r="BN26" s="22" t="str">
        <f t="shared" si="33"/>
        <v/>
      </c>
      <c r="BO26" s="23"/>
      <c r="BP26" s="44" t="str">
        <f t="shared" si="34"/>
        <v/>
      </c>
      <c r="BQ26" s="25"/>
      <c r="BR26" s="44" t="str">
        <f t="shared" si="79"/>
        <v/>
      </c>
      <c r="BS26" s="29" t="str">
        <f t="shared" si="35"/>
        <v/>
      </c>
      <c r="BT26" s="29">
        <f t="shared" si="36"/>
        <v>0</v>
      </c>
      <c r="BU26" s="29">
        <f t="shared" si="37"/>
        <v>0</v>
      </c>
      <c r="BV26" s="22" t="str">
        <f t="shared" si="38"/>
        <v/>
      </c>
      <c r="BW26" s="23"/>
      <c r="BX26" s="44" t="str">
        <f t="shared" si="39"/>
        <v/>
      </c>
      <c r="BY26" s="25"/>
      <c r="BZ26" s="44" t="str">
        <f t="shared" si="40"/>
        <v/>
      </c>
      <c r="CA26" s="47"/>
      <c r="CB26" s="22" t="str">
        <f t="shared" si="41"/>
        <v/>
      </c>
      <c r="CC26" s="23"/>
      <c r="CD26" s="44" t="str">
        <f t="shared" si="42"/>
        <v/>
      </c>
      <c r="CE26" s="25"/>
      <c r="CF26" s="44" t="str">
        <f t="shared" si="43"/>
        <v/>
      </c>
      <c r="CG26" s="47"/>
      <c r="CH26" s="22" t="str">
        <f t="shared" si="44"/>
        <v/>
      </c>
      <c r="CI26" s="23"/>
      <c r="CJ26" s="45" t="str">
        <f t="shared" si="45"/>
        <v/>
      </c>
      <c r="CK26" s="25"/>
      <c r="CL26" s="45" t="str">
        <f t="shared" si="46"/>
        <v/>
      </c>
      <c r="CM26" s="20">
        <v>0.0</v>
      </c>
      <c r="CN26" s="5"/>
      <c r="CO26" s="23"/>
      <c r="CP26" s="44" t="str">
        <f t="shared" si="47"/>
        <v/>
      </c>
      <c r="CQ26" s="25"/>
      <c r="CR26" s="44" t="str">
        <f t="shared" si="78"/>
        <v/>
      </c>
      <c r="CS26" s="29" t="str">
        <f t="shared" si="48"/>
        <v/>
      </c>
      <c r="CT26" s="29">
        <f t="shared" si="49"/>
        <v>0</v>
      </c>
      <c r="CU26" s="29">
        <f t="shared" si="50"/>
        <v>0</v>
      </c>
      <c r="CV26" s="22" t="str">
        <f t="shared" si="51"/>
        <v/>
      </c>
      <c r="CW26" s="23"/>
      <c r="CX26" s="44" t="str">
        <f t="shared" si="52"/>
        <v/>
      </c>
      <c r="CY26" s="25"/>
      <c r="CZ26" s="44" t="str">
        <f t="shared" si="53"/>
        <v/>
      </c>
      <c r="DA26" s="47"/>
      <c r="DB26" s="22" t="str">
        <f t="shared" si="54"/>
        <v/>
      </c>
      <c r="DC26" s="23"/>
      <c r="DD26" s="44" t="str">
        <f t="shared" si="55"/>
        <v/>
      </c>
      <c r="DE26" s="25"/>
      <c r="DF26" s="44" t="str">
        <f t="shared" si="56"/>
        <v/>
      </c>
      <c r="DG26" s="47"/>
      <c r="DH26" s="22" t="str">
        <f t="shared" si="57"/>
        <v/>
      </c>
      <c r="DI26" s="23"/>
      <c r="DJ26" s="45" t="str">
        <f t="shared" si="58"/>
        <v/>
      </c>
      <c r="DK26" s="25"/>
      <c r="DL26" s="45" t="str">
        <f t="shared" si="59"/>
        <v/>
      </c>
      <c r="DM26" s="20">
        <v>0.0</v>
      </c>
      <c r="DN26" s="5"/>
      <c r="DO26" s="23"/>
      <c r="DP26" s="45" t="str">
        <f t="shared" si="60"/>
        <v/>
      </c>
      <c r="DQ26" s="25"/>
      <c r="DR26" s="45" t="str">
        <f t="shared" si="61"/>
        <v/>
      </c>
      <c r="DS26" s="29" t="str">
        <f t="shared" si="62"/>
        <v/>
      </c>
      <c r="DT26" s="29">
        <f t="shared" si="63"/>
        <v>0</v>
      </c>
      <c r="DU26" s="29">
        <f t="shared" si="64"/>
        <v>0</v>
      </c>
      <c r="DV26" s="22" t="str">
        <f t="shared" si="65"/>
        <v/>
      </c>
      <c r="DW26" s="23"/>
      <c r="DX26" s="45" t="str">
        <f t="shared" si="66"/>
        <v/>
      </c>
      <c r="DY26" s="25"/>
      <c r="DZ26" s="45" t="str">
        <f t="shared" si="67"/>
        <v/>
      </c>
      <c r="EA26" s="47"/>
      <c r="EB26" s="22" t="str">
        <f t="shared" si="68"/>
        <v/>
      </c>
      <c r="EC26" s="23"/>
      <c r="ED26" s="45" t="str">
        <f t="shared" si="69"/>
        <v/>
      </c>
      <c r="EE26" s="25"/>
      <c r="EF26" s="45" t="str">
        <f t="shared" si="70"/>
        <v/>
      </c>
      <c r="EG26" s="47"/>
      <c r="EH26" s="22" t="str">
        <f t="shared" si="71"/>
        <v/>
      </c>
      <c r="EI26" s="23"/>
      <c r="EJ26" s="45" t="str">
        <f t="shared" si="72"/>
        <v/>
      </c>
      <c r="EK26" s="25"/>
      <c r="EL26" s="45" t="str">
        <f t="shared" si="73"/>
        <v/>
      </c>
      <c r="EM26" s="20">
        <v>0.0</v>
      </c>
      <c r="EN26" s="5"/>
    </row>
    <row r="27">
      <c r="A27" s="20" t="str">
        <f t="shared" si="1"/>
        <v/>
      </c>
      <c r="B27" s="21"/>
      <c r="C27" s="80"/>
      <c r="D27" s="80"/>
      <c r="E27" s="27" t="str">
        <f t="shared" si="2"/>
        <v/>
      </c>
      <c r="F27" s="20"/>
      <c r="G27" s="20"/>
      <c r="H27" s="20"/>
      <c r="I27" s="23"/>
      <c r="J27" s="5"/>
      <c r="K27" s="22" t="str">
        <f t="shared" si="3"/>
        <v/>
      </c>
      <c r="L27" s="23"/>
      <c r="M27" s="44" t="str">
        <f t="shared" si="4"/>
        <v/>
      </c>
      <c r="N27" s="25"/>
      <c r="O27" s="44" t="str">
        <f t="shared" si="80"/>
        <v/>
      </c>
      <c r="P27" s="29" t="str">
        <f t="shared" si="6"/>
        <v/>
      </c>
      <c r="Q27" s="29">
        <f t="shared" si="7"/>
        <v>0</v>
      </c>
      <c r="R27" s="29">
        <f t="shared" si="8"/>
        <v>0</v>
      </c>
      <c r="S27" s="22" t="str">
        <f t="shared" si="9"/>
        <v/>
      </c>
      <c r="T27" s="23"/>
      <c r="U27" s="44" t="str">
        <f t="shared" si="10"/>
        <v/>
      </c>
      <c r="V27" s="25"/>
      <c r="W27" s="44" t="str">
        <f t="shared" si="11"/>
        <v/>
      </c>
      <c r="X27" s="47"/>
      <c r="Y27" s="22" t="str">
        <f t="shared" si="12"/>
        <v/>
      </c>
      <c r="Z27" s="23"/>
      <c r="AA27" s="44" t="str">
        <f t="shared" si="13"/>
        <v/>
      </c>
      <c r="AB27" s="25"/>
      <c r="AC27" s="44" t="str">
        <f t="shared" si="14"/>
        <v/>
      </c>
      <c r="AD27" s="47"/>
      <c r="AE27" s="22" t="str">
        <f t="shared" si="15"/>
        <v/>
      </c>
      <c r="AF27" s="23"/>
      <c r="AG27" s="45" t="str">
        <f t="shared" si="16"/>
        <v/>
      </c>
      <c r="AH27" s="25"/>
      <c r="AI27" s="45" t="str">
        <f t="shared" si="17"/>
        <v/>
      </c>
      <c r="AJ27" s="20">
        <v>0.0</v>
      </c>
      <c r="AK27" s="5"/>
      <c r="AL27" s="22" t="str">
        <f t="shared" si="18"/>
        <v/>
      </c>
      <c r="AM27" s="22"/>
      <c r="AN27" s="23"/>
      <c r="AO27" s="44" t="str">
        <f t="shared" si="19"/>
        <v/>
      </c>
      <c r="AP27" s="25"/>
      <c r="AQ27" s="44" t="str">
        <f t="shared" si="77"/>
        <v/>
      </c>
      <c r="AR27" s="29" t="str">
        <f t="shared" si="21"/>
        <v/>
      </c>
      <c r="AS27" s="29">
        <f t="shared" si="22"/>
        <v>0</v>
      </c>
      <c r="AT27" s="29">
        <f t="shared" si="23"/>
        <v>0</v>
      </c>
      <c r="AU27" s="22" t="str">
        <f t="shared" si="24"/>
        <v/>
      </c>
      <c r="AV27" s="23"/>
      <c r="AW27" s="44" t="str">
        <f t="shared" si="25"/>
        <v/>
      </c>
      <c r="AX27" s="25"/>
      <c r="AY27" s="44" t="str">
        <f t="shared" si="26"/>
        <v/>
      </c>
      <c r="AZ27" s="47"/>
      <c r="BA27" s="22" t="str">
        <f t="shared" si="27"/>
        <v/>
      </c>
      <c r="BB27" s="23"/>
      <c r="BC27" s="44" t="str">
        <f t="shared" si="28"/>
        <v/>
      </c>
      <c r="BD27" s="25"/>
      <c r="BE27" s="44" t="str">
        <f t="shared" si="29"/>
        <v/>
      </c>
      <c r="BF27" s="47"/>
      <c r="BG27" s="22" t="str">
        <f t="shared" si="30"/>
        <v/>
      </c>
      <c r="BH27" s="23"/>
      <c r="BI27" s="45" t="str">
        <f t="shared" si="31"/>
        <v/>
      </c>
      <c r="BJ27" s="25"/>
      <c r="BK27" s="45" t="str">
        <f t="shared" si="32"/>
        <v/>
      </c>
      <c r="BL27" s="20">
        <v>0.0</v>
      </c>
      <c r="BM27" s="5"/>
      <c r="BN27" s="22" t="str">
        <f t="shared" si="33"/>
        <v/>
      </c>
      <c r="BO27" s="23"/>
      <c r="BP27" s="44" t="str">
        <f t="shared" si="34"/>
        <v/>
      </c>
      <c r="BQ27" s="25"/>
      <c r="BR27" s="44" t="str">
        <f t="shared" si="79"/>
        <v/>
      </c>
      <c r="BS27" s="29" t="str">
        <f t="shared" si="35"/>
        <v/>
      </c>
      <c r="BT27" s="29">
        <f t="shared" si="36"/>
        <v>0</v>
      </c>
      <c r="BU27" s="29">
        <f t="shared" si="37"/>
        <v>0</v>
      </c>
      <c r="BV27" s="22" t="str">
        <f t="shared" si="38"/>
        <v/>
      </c>
      <c r="BW27" s="23"/>
      <c r="BX27" s="44" t="str">
        <f t="shared" si="39"/>
        <v/>
      </c>
      <c r="BY27" s="25"/>
      <c r="BZ27" s="44" t="str">
        <f t="shared" si="40"/>
        <v/>
      </c>
      <c r="CA27" s="47"/>
      <c r="CB27" s="22" t="str">
        <f t="shared" si="41"/>
        <v/>
      </c>
      <c r="CC27" s="23"/>
      <c r="CD27" s="44" t="str">
        <f t="shared" si="42"/>
        <v/>
      </c>
      <c r="CE27" s="25"/>
      <c r="CF27" s="44" t="str">
        <f t="shared" si="43"/>
        <v/>
      </c>
      <c r="CG27" s="47"/>
      <c r="CH27" s="22" t="str">
        <f t="shared" si="44"/>
        <v/>
      </c>
      <c r="CI27" s="23"/>
      <c r="CJ27" s="45" t="str">
        <f t="shared" si="45"/>
        <v/>
      </c>
      <c r="CK27" s="25"/>
      <c r="CL27" s="45" t="str">
        <f t="shared" si="46"/>
        <v/>
      </c>
      <c r="CM27" s="20">
        <v>0.0</v>
      </c>
      <c r="CN27" s="5"/>
      <c r="CO27" s="23"/>
      <c r="CP27" s="44" t="str">
        <f t="shared" si="47"/>
        <v/>
      </c>
      <c r="CQ27" s="25"/>
      <c r="CR27" s="44" t="str">
        <f t="shared" si="78"/>
        <v/>
      </c>
      <c r="CS27" s="29" t="str">
        <f t="shared" si="48"/>
        <v/>
      </c>
      <c r="CT27" s="29">
        <f t="shared" si="49"/>
        <v>0</v>
      </c>
      <c r="CU27" s="29">
        <f t="shared" si="50"/>
        <v>0</v>
      </c>
      <c r="CV27" s="22" t="str">
        <f t="shared" si="51"/>
        <v/>
      </c>
      <c r="CW27" s="23"/>
      <c r="CX27" s="44" t="str">
        <f t="shared" si="52"/>
        <v/>
      </c>
      <c r="CY27" s="25"/>
      <c r="CZ27" s="44" t="str">
        <f t="shared" si="53"/>
        <v/>
      </c>
      <c r="DA27" s="47"/>
      <c r="DB27" s="22" t="str">
        <f t="shared" si="54"/>
        <v/>
      </c>
      <c r="DC27" s="23"/>
      <c r="DD27" s="44" t="str">
        <f t="shared" si="55"/>
        <v/>
      </c>
      <c r="DE27" s="25"/>
      <c r="DF27" s="44" t="str">
        <f t="shared" si="56"/>
        <v/>
      </c>
      <c r="DG27" s="47"/>
      <c r="DH27" s="22" t="str">
        <f t="shared" si="57"/>
        <v/>
      </c>
      <c r="DI27" s="23"/>
      <c r="DJ27" s="45" t="str">
        <f t="shared" si="58"/>
        <v/>
      </c>
      <c r="DK27" s="25"/>
      <c r="DL27" s="45" t="str">
        <f t="shared" si="59"/>
        <v/>
      </c>
      <c r="DM27" s="20">
        <v>0.0</v>
      </c>
      <c r="DN27" s="5"/>
      <c r="DO27" s="23"/>
      <c r="DP27" s="45" t="str">
        <f t="shared" si="60"/>
        <v/>
      </c>
      <c r="DQ27" s="25"/>
      <c r="DR27" s="45" t="str">
        <f t="shared" si="61"/>
        <v/>
      </c>
      <c r="DS27" s="29" t="str">
        <f t="shared" si="62"/>
        <v/>
      </c>
      <c r="DT27" s="29">
        <f t="shared" si="63"/>
        <v>0</v>
      </c>
      <c r="DU27" s="29">
        <f t="shared" si="64"/>
        <v>0</v>
      </c>
      <c r="DV27" s="22" t="str">
        <f t="shared" si="65"/>
        <v/>
      </c>
      <c r="DW27" s="23"/>
      <c r="DX27" s="45" t="str">
        <f t="shared" si="66"/>
        <v/>
      </c>
      <c r="DY27" s="25"/>
      <c r="DZ27" s="45" t="str">
        <f t="shared" si="67"/>
        <v/>
      </c>
      <c r="EA27" s="47"/>
      <c r="EB27" s="22" t="str">
        <f t="shared" si="68"/>
        <v/>
      </c>
      <c r="EC27" s="23"/>
      <c r="ED27" s="45" t="str">
        <f t="shared" si="69"/>
        <v/>
      </c>
      <c r="EE27" s="25"/>
      <c r="EF27" s="45" t="str">
        <f t="shared" si="70"/>
        <v/>
      </c>
      <c r="EG27" s="47"/>
      <c r="EH27" s="22" t="str">
        <f t="shared" si="71"/>
        <v/>
      </c>
      <c r="EI27" s="23"/>
      <c r="EJ27" s="45" t="str">
        <f t="shared" si="72"/>
        <v/>
      </c>
      <c r="EK27" s="25"/>
      <c r="EL27" s="45" t="str">
        <f t="shared" si="73"/>
        <v/>
      </c>
      <c r="EM27" s="20">
        <v>0.0</v>
      </c>
      <c r="EN27" s="5"/>
    </row>
    <row r="28">
      <c r="A28" s="20" t="str">
        <f t="shared" si="1"/>
        <v/>
      </c>
      <c r="B28" s="21"/>
      <c r="C28" s="80"/>
      <c r="D28" s="80"/>
      <c r="E28" s="27" t="str">
        <f t="shared" si="2"/>
        <v/>
      </c>
      <c r="F28" s="20"/>
      <c r="G28" s="20"/>
      <c r="H28" s="20"/>
      <c r="I28" s="23"/>
      <c r="J28" s="5"/>
      <c r="K28" s="22" t="str">
        <f t="shared" si="3"/>
        <v/>
      </c>
      <c r="L28" s="23"/>
      <c r="M28" s="44" t="str">
        <f t="shared" si="4"/>
        <v/>
      </c>
      <c r="N28" s="25"/>
      <c r="O28" s="44" t="str">
        <f t="shared" si="80"/>
        <v/>
      </c>
      <c r="P28" s="29" t="str">
        <f t="shared" si="6"/>
        <v/>
      </c>
      <c r="Q28" s="29">
        <f t="shared" si="7"/>
        <v>0</v>
      </c>
      <c r="R28" s="29">
        <f t="shared" si="8"/>
        <v>0</v>
      </c>
      <c r="S28" s="22" t="str">
        <f t="shared" si="9"/>
        <v/>
      </c>
      <c r="T28" s="23"/>
      <c r="U28" s="44" t="str">
        <f t="shared" si="10"/>
        <v/>
      </c>
      <c r="V28" s="25"/>
      <c r="W28" s="44" t="str">
        <f t="shared" si="11"/>
        <v/>
      </c>
      <c r="X28" s="47"/>
      <c r="Y28" s="22" t="str">
        <f t="shared" si="12"/>
        <v/>
      </c>
      <c r="Z28" s="23"/>
      <c r="AA28" s="44" t="str">
        <f t="shared" si="13"/>
        <v/>
      </c>
      <c r="AB28" s="25"/>
      <c r="AC28" s="44" t="str">
        <f t="shared" si="14"/>
        <v/>
      </c>
      <c r="AD28" s="47"/>
      <c r="AE28" s="22" t="str">
        <f t="shared" si="15"/>
        <v/>
      </c>
      <c r="AF28" s="23"/>
      <c r="AG28" s="45" t="str">
        <f t="shared" si="16"/>
        <v/>
      </c>
      <c r="AH28" s="25"/>
      <c r="AI28" s="45" t="str">
        <f t="shared" si="17"/>
        <v/>
      </c>
      <c r="AJ28" s="20">
        <v>0.0</v>
      </c>
      <c r="AK28" s="5"/>
      <c r="AL28" s="22" t="str">
        <f t="shared" si="18"/>
        <v/>
      </c>
      <c r="AM28" s="22"/>
      <c r="AN28" s="23"/>
      <c r="AO28" s="44" t="str">
        <f t="shared" si="19"/>
        <v/>
      </c>
      <c r="AP28" s="25"/>
      <c r="AQ28" s="44" t="str">
        <f t="shared" si="77"/>
        <v/>
      </c>
      <c r="AR28" s="29" t="str">
        <f t="shared" si="21"/>
        <v/>
      </c>
      <c r="AS28" s="29">
        <f t="shared" si="22"/>
        <v>0</v>
      </c>
      <c r="AT28" s="29">
        <f t="shared" si="23"/>
        <v>0</v>
      </c>
      <c r="AU28" s="22" t="str">
        <f t="shared" si="24"/>
        <v/>
      </c>
      <c r="AV28" s="23"/>
      <c r="AW28" s="44" t="str">
        <f t="shared" si="25"/>
        <v/>
      </c>
      <c r="AX28" s="25"/>
      <c r="AY28" s="44" t="str">
        <f t="shared" si="26"/>
        <v/>
      </c>
      <c r="AZ28" s="47"/>
      <c r="BA28" s="22" t="str">
        <f t="shared" si="27"/>
        <v/>
      </c>
      <c r="BB28" s="23"/>
      <c r="BC28" s="44" t="str">
        <f t="shared" si="28"/>
        <v/>
      </c>
      <c r="BD28" s="25"/>
      <c r="BE28" s="44" t="str">
        <f t="shared" si="29"/>
        <v/>
      </c>
      <c r="BF28" s="47"/>
      <c r="BG28" s="22" t="str">
        <f t="shared" si="30"/>
        <v/>
      </c>
      <c r="BH28" s="23"/>
      <c r="BI28" s="45" t="str">
        <f t="shared" si="31"/>
        <v/>
      </c>
      <c r="BJ28" s="25"/>
      <c r="BK28" s="45" t="str">
        <f t="shared" si="32"/>
        <v/>
      </c>
      <c r="BL28" s="20">
        <v>0.0</v>
      </c>
      <c r="BM28" s="5"/>
      <c r="BN28" s="22" t="str">
        <f t="shared" si="33"/>
        <v/>
      </c>
      <c r="BO28" s="23"/>
      <c r="BP28" s="44" t="str">
        <f t="shared" si="34"/>
        <v/>
      </c>
      <c r="BQ28" s="25"/>
      <c r="BR28" s="44" t="str">
        <f t="shared" si="79"/>
        <v/>
      </c>
      <c r="BS28" s="29" t="str">
        <f t="shared" si="35"/>
        <v/>
      </c>
      <c r="BT28" s="29">
        <f t="shared" si="36"/>
        <v>0</v>
      </c>
      <c r="BU28" s="29">
        <f t="shared" si="37"/>
        <v>0</v>
      </c>
      <c r="BV28" s="22" t="str">
        <f t="shared" si="38"/>
        <v/>
      </c>
      <c r="BW28" s="23"/>
      <c r="BX28" s="44" t="str">
        <f t="shared" si="39"/>
        <v/>
      </c>
      <c r="BY28" s="25"/>
      <c r="BZ28" s="44" t="str">
        <f t="shared" si="40"/>
        <v/>
      </c>
      <c r="CA28" s="47"/>
      <c r="CB28" s="22" t="str">
        <f t="shared" si="41"/>
        <v/>
      </c>
      <c r="CC28" s="23"/>
      <c r="CD28" s="44" t="str">
        <f t="shared" si="42"/>
        <v/>
      </c>
      <c r="CE28" s="25"/>
      <c r="CF28" s="44" t="str">
        <f t="shared" si="43"/>
        <v/>
      </c>
      <c r="CG28" s="47"/>
      <c r="CH28" s="22" t="str">
        <f t="shared" si="44"/>
        <v/>
      </c>
      <c r="CI28" s="23"/>
      <c r="CJ28" s="45" t="str">
        <f t="shared" si="45"/>
        <v/>
      </c>
      <c r="CK28" s="25"/>
      <c r="CL28" s="45" t="str">
        <f t="shared" si="46"/>
        <v/>
      </c>
      <c r="CM28" s="20">
        <v>0.0</v>
      </c>
      <c r="CN28" s="5"/>
      <c r="CO28" s="23"/>
      <c r="CP28" s="44" t="str">
        <f t="shared" si="47"/>
        <v/>
      </c>
      <c r="CQ28" s="25"/>
      <c r="CR28" s="44" t="str">
        <f t="shared" si="78"/>
        <v/>
      </c>
      <c r="CS28" s="29" t="str">
        <f t="shared" si="48"/>
        <v/>
      </c>
      <c r="CT28" s="29">
        <f t="shared" si="49"/>
        <v>0</v>
      </c>
      <c r="CU28" s="29">
        <f t="shared" si="50"/>
        <v>0</v>
      </c>
      <c r="CV28" s="22" t="str">
        <f t="shared" si="51"/>
        <v/>
      </c>
      <c r="CW28" s="23"/>
      <c r="CX28" s="44" t="str">
        <f t="shared" si="52"/>
        <v/>
      </c>
      <c r="CY28" s="25"/>
      <c r="CZ28" s="44" t="str">
        <f t="shared" si="53"/>
        <v/>
      </c>
      <c r="DA28" s="47"/>
      <c r="DB28" s="22" t="str">
        <f t="shared" si="54"/>
        <v/>
      </c>
      <c r="DC28" s="23"/>
      <c r="DD28" s="44" t="str">
        <f t="shared" si="55"/>
        <v/>
      </c>
      <c r="DE28" s="25"/>
      <c r="DF28" s="44" t="str">
        <f t="shared" si="56"/>
        <v/>
      </c>
      <c r="DG28" s="47"/>
      <c r="DH28" s="22" t="str">
        <f t="shared" si="57"/>
        <v/>
      </c>
      <c r="DI28" s="23"/>
      <c r="DJ28" s="45" t="str">
        <f t="shared" si="58"/>
        <v/>
      </c>
      <c r="DK28" s="25"/>
      <c r="DL28" s="45" t="str">
        <f t="shared" si="59"/>
        <v/>
      </c>
      <c r="DM28" s="20">
        <v>0.0</v>
      </c>
      <c r="DN28" s="5"/>
      <c r="DO28" s="23"/>
      <c r="DP28" s="45" t="str">
        <f t="shared" si="60"/>
        <v/>
      </c>
      <c r="DQ28" s="25"/>
      <c r="DR28" s="45" t="str">
        <f t="shared" si="61"/>
        <v/>
      </c>
      <c r="DS28" s="29" t="str">
        <f t="shared" si="62"/>
        <v/>
      </c>
      <c r="DT28" s="29">
        <f t="shared" si="63"/>
        <v>0</v>
      </c>
      <c r="DU28" s="29">
        <f t="shared" si="64"/>
        <v>0</v>
      </c>
      <c r="DV28" s="22" t="str">
        <f t="shared" si="65"/>
        <v/>
      </c>
      <c r="DW28" s="23"/>
      <c r="DX28" s="45" t="str">
        <f t="shared" si="66"/>
        <v/>
      </c>
      <c r="DY28" s="25"/>
      <c r="DZ28" s="45" t="str">
        <f t="shared" si="67"/>
        <v/>
      </c>
      <c r="EA28" s="47"/>
      <c r="EB28" s="22" t="str">
        <f t="shared" si="68"/>
        <v/>
      </c>
      <c r="EC28" s="23"/>
      <c r="ED28" s="45" t="str">
        <f t="shared" si="69"/>
        <v/>
      </c>
      <c r="EE28" s="25"/>
      <c r="EF28" s="45" t="str">
        <f t="shared" si="70"/>
        <v/>
      </c>
      <c r="EG28" s="47"/>
      <c r="EH28" s="22" t="str">
        <f t="shared" si="71"/>
        <v/>
      </c>
      <c r="EI28" s="23"/>
      <c r="EJ28" s="45" t="str">
        <f t="shared" si="72"/>
        <v/>
      </c>
      <c r="EK28" s="25"/>
      <c r="EL28" s="45" t="str">
        <f t="shared" si="73"/>
        <v/>
      </c>
      <c r="EM28" s="20">
        <v>0.0</v>
      </c>
      <c r="EN28" s="5"/>
    </row>
    <row r="29">
      <c r="A29" s="20" t="str">
        <f t="shared" si="1"/>
        <v/>
      </c>
      <c r="B29" s="21"/>
      <c r="C29" s="80"/>
      <c r="D29" s="80"/>
      <c r="E29" s="27" t="str">
        <f t="shared" si="2"/>
        <v/>
      </c>
      <c r="F29" s="20"/>
      <c r="G29" s="20"/>
      <c r="H29" s="20"/>
      <c r="I29" s="23"/>
      <c r="J29" s="5"/>
      <c r="K29" s="22" t="str">
        <f t="shared" si="3"/>
        <v/>
      </c>
      <c r="L29" s="23"/>
      <c r="M29" s="44" t="str">
        <f t="shared" si="4"/>
        <v/>
      </c>
      <c r="N29" s="25"/>
      <c r="O29" s="44" t="str">
        <f t="shared" si="80"/>
        <v/>
      </c>
      <c r="P29" s="29" t="str">
        <f t="shared" si="6"/>
        <v/>
      </c>
      <c r="Q29" s="29">
        <f t="shared" si="7"/>
        <v>0</v>
      </c>
      <c r="R29" s="29">
        <f t="shared" si="8"/>
        <v>0</v>
      </c>
      <c r="S29" s="22" t="str">
        <f t="shared" si="9"/>
        <v/>
      </c>
      <c r="T29" s="23"/>
      <c r="U29" s="44" t="str">
        <f t="shared" si="10"/>
        <v/>
      </c>
      <c r="V29" s="25"/>
      <c r="W29" s="44" t="str">
        <f t="shared" si="11"/>
        <v/>
      </c>
      <c r="X29" s="47"/>
      <c r="Y29" s="22" t="str">
        <f t="shared" si="12"/>
        <v/>
      </c>
      <c r="Z29" s="23"/>
      <c r="AA29" s="44" t="str">
        <f t="shared" si="13"/>
        <v/>
      </c>
      <c r="AB29" s="25"/>
      <c r="AC29" s="44" t="str">
        <f t="shared" si="14"/>
        <v/>
      </c>
      <c r="AD29" s="47"/>
      <c r="AE29" s="22" t="str">
        <f t="shared" si="15"/>
        <v/>
      </c>
      <c r="AF29" s="23"/>
      <c r="AG29" s="45" t="str">
        <f t="shared" si="16"/>
        <v/>
      </c>
      <c r="AH29" s="25"/>
      <c r="AI29" s="45" t="str">
        <f t="shared" si="17"/>
        <v/>
      </c>
      <c r="AJ29" s="20">
        <v>0.0</v>
      </c>
      <c r="AK29" s="5"/>
      <c r="AL29" s="22" t="str">
        <f t="shared" si="18"/>
        <v/>
      </c>
      <c r="AM29" s="22"/>
      <c r="AN29" s="23"/>
      <c r="AO29" s="44" t="str">
        <f t="shared" si="19"/>
        <v/>
      </c>
      <c r="AP29" s="25"/>
      <c r="AQ29" s="44" t="str">
        <f t="shared" si="77"/>
        <v/>
      </c>
      <c r="AR29" s="29" t="str">
        <f t="shared" si="21"/>
        <v/>
      </c>
      <c r="AS29" s="29">
        <f t="shared" si="22"/>
        <v>0</v>
      </c>
      <c r="AT29" s="29">
        <f t="shared" si="23"/>
        <v>0</v>
      </c>
      <c r="AU29" s="22" t="str">
        <f t="shared" si="24"/>
        <v/>
      </c>
      <c r="AV29" s="23"/>
      <c r="AW29" s="44" t="str">
        <f t="shared" si="25"/>
        <v/>
      </c>
      <c r="AX29" s="25"/>
      <c r="AY29" s="44" t="str">
        <f t="shared" si="26"/>
        <v/>
      </c>
      <c r="AZ29" s="47"/>
      <c r="BA29" s="22" t="str">
        <f t="shared" si="27"/>
        <v/>
      </c>
      <c r="BB29" s="23"/>
      <c r="BC29" s="44" t="str">
        <f t="shared" si="28"/>
        <v/>
      </c>
      <c r="BD29" s="25"/>
      <c r="BE29" s="44" t="str">
        <f t="shared" si="29"/>
        <v/>
      </c>
      <c r="BF29" s="47"/>
      <c r="BG29" s="22" t="str">
        <f t="shared" si="30"/>
        <v/>
      </c>
      <c r="BH29" s="23"/>
      <c r="BI29" s="45" t="str">
        <f t="shared" si="31"/>
        <v/>
      </c>
      <c r="BJ29" s="25"/>
      <c r="BK29" s="45" t="str">
        <f t="shared" si="32"/>
        <v/>
      </c>
      <c r="BL29" s="20">
        <v>0.0</v>
      </c>
      <c r="BM29" s="5"/>
      <c r="BN29" s="22" t="str">
        <f t="shared" si="33"/>
        <v/>
      </c>
      <c r="BO29" s="23"/>
      <c r="BP29" s="44" t="str">
        <f t="shared" si="34"/>
        <v/>
      </c>
      <c r="BQ29" s="25"/>
      <c r="BR29" s="44" t="str">
        <f t="shared" si="79"/>
        <v/>
      </c>
      <c r="BS29" s="29" t="str">
        <f t="shared" si="35"/>
        <v/>
      </c>
      <c r="BT29" s="29">
        <f t="shared" si="36"/>
        <v>0</v>
      </c>
      <c r="BU29" s="29">
        <f t="shared" si="37"/>
        <v>0</v>
      </c>
      <c r="BV29" s="22" t="str">
        <f t="shared" si="38"/>
        <v/>
      </c>
      <c r="BW29" s="23"/>
      <c r="BX29" s="44" t="str">
        <f t="shared" si="39"/>
        <v/>
      </c>
      <c r="BY29" s="25"/>
      <c r="BZ29" s="44" t="str">
        <f t="shared" si="40"/>
        <v/>
      </c>
      <c r="CA29" s="47"/>
      <c r="CB29" s="22" t="str">
        <f t="shared" si="41"/>
        <v/>
      </c>
      <c r="CC29" s="23"/>
      <c r="CD29" s="44" t="str">
        <f t="shared" si="42"/>
        <v/>
      </c>
      <c r="CE29" s="25"/>
      <c r="CF29" s="44" t="str">
        <f t="shared" si="43"/>
        <v/>
      </c>
      <c r="CG29" s="47"/>
      <c r="CH29" s="22" t="str">
        <f t="shared" si="44"/>
        <v/>
      </c>
      <c r="CI29" s="23"/>
      <c r="CJ29" s="45" t="str">
        <f t="shared" si="45"/>
        <v/>
      </c>
      <c r="CK29" s="25"/>
      <c r="CL29" s="45" t="str">
        <f t="shared" si="46"/>
        <v/>
      </c>
      <c r="CM29" s="20">
        <v>0.0</v>
      </c>
      <c r="CN29" s="5"/>
      <c r="CO29" s="23"/>
      <c r="CP29" s="44" t="str">
        <f t="shared" si="47"/>
        <v/>
      </c>
      <c r="CQ29" s="25"/>
      <c r="CR29" s="44" t="str">
        <f t="shared" si="78"/>
        <v/>
      </c>
      <c r="CS29" s="29" t="str">
        <f t="shared" si="48"/>
        <v/>
      </c>
      <c r="CT29" s="29">
        <f t="shared" si="49"/>
        <v>0</v>
      </c>
      <c r="CU29" s="29">
        <f t="shared" si="50"/>
        <v>0</v>
      </c>
      <c r="CV29" s="22" t="str">
        <f t="shared" si="51"/>
        <v/>
      </c>
      <c r="CW29" s="23"/>
      <c r="CX29" s="44" t="str">
        <f t="shared" si="52"/>
        <v/>
      </c>
      <c r="CY29" s="25"/>
      <c r="CZ29" s="44" t="str">
        <f t="shared" si="53"/>
        <v/>
      </c>
      <c r="DA29" s="47"/>
      <c r="DB29" s="22" t="str">
        <f t="shared" si="54"/>
        <v/>
      </c>
      <c r="DC29" s="23"/>
      <c r="DD29" s="44" t="str">
        <f t="shared" si="55"/>
        <v/>
      </c>
      <c r="DE29" s="25"/>
      <c r="DF29" s="44" t="str">
        <f t="shared" si="56"/>
        <v/>
      </c>
      <c r="DG29" s="47"/>
      <c r="DH29" s="22" t="str">
        <f t="shared" si="57"/>
        <v/>
      </c>
      <c r="DI29" s="23"/>
      <c r="DJ29" s="45" t="str">
        <f t="shared" si="58"/>
        <v/>
      </c>
      <c r="DK29" s="25"/>
      <c r="DL29" s="45" t="str">
        <f t="shared" si="59"/>
        <v/>
      </c>
      <c r="DM29" s="20">
        <v>0.0</v>
      </c>
      <c r="DN29" s="5"/>
      <c r="DO29" s="23"/>
      <c r="DP29" s="45" t="str">
        <f t="shared" si="60"/>
        <v/>
      </c>
      <c r="DQ29" s="25"/>
      <c r="DR29" s="45" t="str">
        <f t="shared" si="61"/>
        <v/>
      </c>
      <c r="DS29" s="29" t="str">
        <f t="shared" si="62"/>
        <v/>
      </c>
      <c r="DT29" s="29">
        <f t="shared" si="63"/>
        <v>0</v>
      </c>
      <c r="DU29" s="29">
        <f t="shared" si="64"/>
        <v>0</v>
      </c>
      <c r="DV29" s="22" t="str">
        <f t="shared" si="65"/>
        <v/>
      </c>
      <c r="DW29" s="23"/>
      <c r="DX29" s="45" t="str">
        <f t="shared" si="66"/>
        <v/>
      </c>
      <c r="DY29" s="25"/>
      <c r="DZ29" s="45" t="str">
        <f t="shared" si="67"/>
        <v/>
      </c>
      <c r="EA29" s="47"/>
      <c r="EB29" s="22" t="str">
        <f t="shared" si="68"/>
        <v/>
      </c>
      <c r="EC29" s="23"/>
      <c r="ED29" s="45" t="str">
        <f t="shared" si="69"/>
        <v/>
      </c>
      <c r="EE29" s="25"/>
      <c r="EF29" s="45" t="str">
        <f t="shared" si="70"/>
        <v/>
      </c>
      <c r="EG29" s="47"/>
      <c r="EH29" s="22" t="str">
        <f t="shared" si="71"/>
        <v/>
      </c>
      <c r="EI29" s="23"/>
      <c r="EJ29" s="45" t="str">
        <f t="shared" si="72"/>
        <v/>
      </c>
      <c r="EK29" s="25"/>
      <c r="EL29" s="45" t="str">
        <f t="shared" si="73"/>
        <v/>
      </c>
      <c r="EM29" s="20">
        <v>0.0</v>
      </c>
      <c r="EN29" s="5"/>
    </row>
    <row r="30">
      <c r="A30" s="20" t="str">
        <f t="shared" si="1"/>
        <v/>
      </c>
      <c r="B30" s="21"/>
      <c r="C30" s="80"/>
      <c r="D30" s="80"/>
      <c r="E30" s="27" t="str">
        <f t="shared" si="2"/>
        <v/>
      </c>
      <c r="F30" s="20"/>
      <c r="G30" s="20"/>
      <c r="H30" s="20"/>
      <c r="I30" s="23"/>
      <c r="J30" s="5"/>
      <c r="K30" s="22" t="str">
        <f t="shared" si="3"/>
        <v/>
      </c>
      <c r="L30" s="23"/>
      <c r="M30" s="44" t="str">
        <f t="shared" si="4"/>
        <v/>
      </c>
      <c r="N30" s="25"/>
      <c r="O30" s="44" t="str">
        <f t="shared" si="80"/>
        <v/>
      </c>
      <c r="P30" s="29" t="str">
        <f t="shared" si="6"/>
        <v/>
      </c>
      <c r="Q30" s="29">
        <f t="shared" si="7"/>
        <v>0</v>
      </c>
      <c r="R30" s="29">
        <f t="shared" si="8"/>
        <v>0</v>
      </c>
      <c r="S30" s="22" t="str">
        <f t="shared" si="9"/>
        <v/>
      </c>
      <c r="T30" s="23"/>
      <c r="U30" s="44" t="str">
        <f t="shared" si="10"/>
        <v/>
      </c>
      <c r="V30" s="25"/>
      <c r="W30" s="44" t="str">
        <f t="shared" si="11"/>
        <v/>
      </c>
      <c r="X30" s="47"/>
      <c r="Y30" s="22" t="str">
        <f t="shared" si="12"/>
        <v/>
      </c>
      <c r="Z30" s="23"/>
      <c r="AA30" s="44" t="str">
        <f t="shared" si="13"/>
        <v/>
      </c>
      <c r="AB30" s="25"/>
      <c r="AC30" s="44" t="str">
        <f t="shared" si="14"/>
        <v/>
      </c>
      <c r="AD30" s="47"/>
      <c r="AE30" s="22" t="str">
        <f t="shared" si="15"/>
        <v/>
      </c>
      <c r="AF30" s="23"/>
      <c r="AG30" s="45" t="str">
        <f t="shared" si="16"/>
        <v/>
      </c>
      <c r="AH30" s="25"/>
      <c r="AI30" s="45" t="str">
        <f t="shared" si="17"/>
        <v/>
      </c>
      <c r="AJ30" s="20">
        <v>0.0</v>
      </c>
      <c r="AK30" s="5"/>
      <c r="AL30" s="22" t="str">
        <f t="shared" si="18"/>
        <v/>
      </c>
      <c r="AM30" s="22"/>
      <c r="AN30" s="23"/>
      <c r="AO30" s="44" t="str">
        <f t="shared" si="19"/>
        <v/>
      </c>
      <c r="AP30" s="25"/>
      <c r="AQ30" s="44" t="str">
        <f t="shared" si="77"/>
        <v/>
      </c>
      <c r="AR30" s="29" t="str">
        <f t="shared" si="21"/>
        <v/>
      </c>
      <c r="AS30" s="29">
        <f t="shared" si="22"/>
        <v>0</v>
      </c>
      <c r="AT30" s="29">
        <f t="shared" si="23"/>
        <v>0</v>
      </c>
      <c r="AU30" s="22" t="str">
        <f t="shared" si="24"/>
        <v/>
      </c>
      <c r="AV30" s="23"/>
      <c r="AW30" s="44" t="str">
        <f t="shared" si="25"/>
        <v/>
      </c>
      <c r="AX30" s="25"/>
      <c r="AY30" s="44" t="str">
        <f t="shared" si="26"/>
        <v/>
      </c>
      <c r="AZ30" s="47"/>
      <c r="BA30" s="22" t="str">
        <f t="shared" si="27"/>
        <v/>
      </c>
      <c r="BB30" s="23"/>
      <c r="BC30" s="44" t="str">
        <f t="shared" si="28"/>
        <v/>
      </c>
      <c r="BD30" s="25"/>
      <c r="BE30" s="44" t="str">
        <f t="shared" si="29"/>
        <v/>
      </c>
      <c r="BF30" s="47"/>
      <c r="BG30" s="22" t="str">
        <f t="shared" si="30"/>
        <v/>
      </c>
      <c r="BH30" s="23"/>
      <c r="BI30" s="45" t="str">
        <f t="shared" si="31"/>
        <v/>
      </c>
      <c r="BJ30" s="25"/>
      <c r="BK30" s="45" t="str">
        <f t="shared" si="32"/>
        <v/>
      </c>
      <c r="BL30" s="20">
        <v>0.0</v>
      </c>
      <c r="BM30" s="5"/>
      <c r="BN30" s="22" t="str">
        <f t="shared" si="33"/>
        <v/>
      </c>
      <c r="BO30" s="23"/>
      <c r="BP30" s="44" t="str">
        <f t="shared" si="34"/>
        <v/>
      </c>
      <c r="BQ30" s="25"/>
      <c r="BR30" s="44" t="str">
        <f t="shared" si="79"/>
        <v/>
      </c>
      <c r="BS30" s="29" t="str">
        <f t="shared" si="35"/>
        <v/>
      </c>
      <c r="BT30" s="29">
        <f t="shared" si="36"/>
        <v>0</v>
      </c>
      <c r="BU30" s="29">
        <f t="shared" si="37"/>
        <v>0</v>
      </c>
      <c r="BV30" s="22" t="str">
        <f t="shared" si="38"/>
        <v/>
      </c>
      <c r="BW30" s="23"/>
      <c r="BX30" s="44" t="str">
        <f t="shared" si="39"/>
        <v/>
      </c>
      <c r="BY30" s="25"/>
      <c r="BZ30" s="44" t="str">
        <f t="shared" si="40"/>
        <v/>
      </c>
      <c r="CA30" s="47"/>
      <c r="CB30" s="22" t="str">
        <f t="shared" si="41"/>
        <v/>
      </c>
      <c r="CC30" s="23"/>
      <c r="CD30" s="44" t="str">
        <f t="shared" si="42"/>
        <v/>
      </c>
      <c r="CE30" s="25"/>
      <c r="CF30" s="44" t="str">
        <f t="shared" si="43"/>
        <v/>
      </c>
      <c r="CG30" s="47"/>
      <c r="CH30" s="22" t="str">
        <f t="shared" si="44"/>
        <v/>
      </c>
      <c r="CI30" s="23"/>
      <c r="CJ30" s="45" t="str">
        <f t="shared" si="45"/>
        <v/>
      </c>
      <c r="CK30" s="25"/>
      <c r="CL30" s="45" t="str">
        <f t="shared" si="46"/>
        <v/>
      </c>
      <c r="CM30" s="20">
        <v>0.0</v>
      </c>
      <c r="CN30" s="5"/>
      <c r="CO30" s="23"/>
      <c r="CP30" s="44" t="str">
        <f t="shared" si="47"/>
        <v/>
      </c>
      <c r="CQ30" s="25"/>
      <c r="CR30" s="44" t="str">
        <f t="shared" si="78"/>
        <v/>
      </c>
      <c r="CS30" s="29" t="str">
        <f t="shared" si="48"/>
        <v/>
      </c>
      <c r="CT30" s="29">
        <f t="shared" si="49"/>
        <v>0</v>
      </c>
      <c r="CU30" s="29">
        <f t="shared" si="50"/>
        <v>0</v>
      </c>
      <c r="CV30" s="22" t="str">
        <f t="shared" si="51"/>
        <v/>
      </c>
      <c r="CW30" s="23"/>
      <c r="CX30" s="44" t="str">
        <f t="shared" si="52"/>
        <v/>
      </c>
      <c r="CY30" s="25"/>
      <c r="CZ30" s="44" t="str">
        <f t="shared" si="53"/>
        <v/>
      </c>
      <c r="DA30" s="47"/>
      <c r="DB30" s="22" t="str">
        <f t="shared" si="54"/>
        <v/>
      </c>
      <c r="DC30" s="23"/>
      <c r="DD30" s="44" t="str">
        <f t="shared" si="55"/>
        <v/>
      </c>
      <c r="DE30" s="25"/>
      <c r="DF30" s="44" t="str">
        <f t="shared" si="56"/>
        <v/>
      </c>
      <c r="DG30" s="47"/>
      <c r="DH30" s="22" t="str">
        <f t="shared" si="57"/>
        <v/>
      </c>
      <c r="DI30" s="23"/>
      <c r="DJ30" s="45" t="str">
        <f t="shared" si="58"/>
        <v/>
      </c>
      <c r="DK30" s="25"/>
      <c r="DL30" s="45" t="str">
        <f t="shared" si="59"/>
        <v/>
      </c>
      <c r="DM30" s="20">
        <v>0.0</v>
      </c>
      <c r="DN30" s="5"/>
      <c r="DO30" s="23"/>
      <c r="DP30" s="45" t="str">
        <f t="shared" si="60"/>
        <v/>
      </c>
      <c r="DQ30" s="25"/>
      <c r="DR30" s="45" t="str">
        <f t="shared" si="61"/>
        <v/>
      </c>
      <c r="DS30" s="29" t="str">
        <f t="shared" si="62"/>
        <v/>
      </c>
      <c r="DT30" s="29">
        <f t="shared" si="63"/>
        <v>0</v>
      </c>
      <c r="DU30" s="29">
        <f t="shared" si="64"/>
        <v>0</v>
      </c>
      <c r="DV30" s="22" t="str">
        <f t="shared" si="65"/>
        <v/>
      </c>
      <c r="DW30" s="23"/>
      <c r="DX30" s="45" t="str">
        <f t="shared" si="66"/>
        <v/>
      </c>
      <c r="DY30" s="25"/>
      <c r="DZ30" s="45" t="str">
        <f t="shared" si="67"/>
        <v/>
      </c>
      <c r="EA30" s="47"/>
      <c r="EB30" s="22" t="str">
        <f t="shared" si="68"/>
        <v/>
      </c>
      <c r="EC30" s="23"/>
      <c r="ED30" s="45" t="str">
        <f t="shared" si="69"/>
        <v/>
      </c>
      <c r="EE30" s="25"/>
      <c r="EF30" s="45" t="str">
        <f t="shared" si="70"/>
        <v/>
      </c>
      <c r="EG30" s="47"/>
      <c r="EH30" s="22" t="str">
        <f t="shared" si="71"/>
        <v/>
      </c>
      <c r="EI30" s="23"/>
      <c r="EJ30" s="45" t="str">
        <f t="shared" si="72"/>
        <v/>
      </c>
      <c r="EK30" s="25"/>
      <c r="EL30" s="45" t="str">
        <f t="shared" si="73"/>
        <v/>
      </c>
      <c r="EM30" s="20">
        <v>0.0</v>
      </c>
      <c r="EN30" s="5"/>
    </row>
  </sheetData>
  <mergeCells count="63">
    <mergeCell ref="ED1:ED2"/>
    <mergeCell ref="EE1:EE2"/>
    <mergeCell ref="EF1:EF2"/>
    <mergeCell ref="EG1:EG2"/>
    <mergeCell ref="EH1:EH2"/>
    <mergeCell ref="EI1:EM1"/>
    <mergeCell ref="DW1:DW2"/>
    <mergeCell ref="DX1:DX2"/>
    <mergeCell ref="DY1:DY2"/>
    <mergeCell ref="DZ1:DZ2"/>
    <mergeCell ref="EA1:EA2"/>
    <mergeCell ref="EB1:EB2"/>
    <mergeCell ref="EC1:EC2"/>
    <mergeCell ref="A1:E1"/>
    <mergeCell ref="F1:I1"/>
    <mergeCell ref="J1:J2"/>
    <mergeCell ref="K1:R1"/>
    <mergeCell ref="S1:S2"/>
    <mergeCell ref="T1:X1"/>
    <mergeCell ref="Y1:Y2"/>
    <mergeCell ref="Z1:AD1"/>
    <mergeCell ref="AE1:AE2"/>
    <mergeCell ref="AF1:AJ1"/>
    <mergeCell ref="AK1:AK2"/>
    <mergeCell ref="AL1:AS1"/>
    <mergeCell ref="AU1:AU2"/>
    <mergeCell ref="BA1:BA2"/>
    <mergeCell ref="BG1:BG2"/>
    <mergeCell ref="AV1:AZ1"/>
    <mergeCell ref="BB1:BF1"/>
    <mergeCell ref="BH1:BL1"/>
    <mergeCell ref="BN1:BU1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M1"/>
    <mergeCell ref="CO1:CU1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M1"/>
    <mergeCell ref="DO1:DU1"/>
    <mergeCell ref="DV1:DV2"/>
  </mergeCells>
  <dataValidations>
    <dataValidation type="list" allowBlank="1" showErrorMessage="1" sqref="D3:D30">
      <formula1>"Elder Male,Elder Female,Adult Male,Adult Female,Teen Male,Teen Female,Toddler Male,Toddler Female,Baby Male,Baby Female"</formula1>
    </dataValidation>
    <dataValidation type="list" allowBlank="1" showErrorMessage="1" sqref="AM3:AM30">
      <formula1>"Interior,Eksterior"</formula1>
    </dataValidation>
    <dataValidation type="list" allowBlank="1" showErrorMessage="1" sqref="F3:H30">
      <formula1>"1,2,3,4,5"</formula1>
    </dataValidation>
    <dataValidation type="list" allowBlank="1" showErrorMessage="1" sqref="I3:I30 L3:L30 T3:T30 Z3:Z30 AF3:AF30 AN3:AN30 AV3:AV30 BB3:BB30 BH3:BH30 BO3:BO30 BW3:BW30 CC3:CC30 CI3:CI30 CO3:CO30 CW3:CW30 DC3:DC30 DI3:DI30 DO3:DO30 DW3:DW30 EC3:EC30 EI3:EI30">
      <formula1>'List Personnel'!$A$2:$A$56</formula1>
    </dataValidation>
    <dataValidation type="list" allowBlank="1" showErrorMessage="1" sqref="X3:X30 AD3:AD30 AZ3:AZ30 BF3:BF30 CA3:CA30 CG3:CG30 DA3:DA30 DG3:DG30 EA3:EA30 EG3:EG30">
      <formula1>"5%,10%,20%,30%,40%,50%,60%,70%,80%,90%,100%"</formula1>
    </dataValidation>
    <dataValidation type="list" allowBlank="1" showErrorMessage="1" sqref="N3:N30 V3:V30 AB3:AB30 AH3:AH30 AP3:AP30 AX3:AX30 BD3:BD30 BJ3:BJ30 BQ3:BQ30 BY3:BY30 CE3:CE30 CK3:CK30 CQ3:CQ30 CY3:CY30 DE3:DE30 DK3:DK30 DQ3:DQ30 DY3:DY30 EE3:EE30 EK3:EK30">
      <formula1>"Ongoing,Done,Pending,Revision"</formula1>
    </dataValidation>
    <dataValidation type="list" allowBlank="1" showErrorMessage="1" sqref="C3:C30">
      <formula1>"Common,Unique,Cloth"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 outlineLevelCol="1"/>
  <cols>
    <col customWidth="1" min="1" max="1" width="6.88"/>
    <col customWidth="1" min="2" max="2" width="24.38"/>
    <col customWidth="1" min="10" max="10" width="3.38"/>
    <col hidden="1" min="16" max="18" width="12.63"/>
    <col collapsed="1" min="19" max="19" width="12.63"/>
    <col hidden="1" min="20" max="24" width="12.63" outlineLevel="1"/>
    <col collapsed="1" min="25" max="25" width="12.63"/>
    <col hidden="1" min="26" max="30" width="12.63" outlineLevel="1"/>
    <col collapsed="1" min="31" max="31" width="12.63"/>
    <col hidden="1" min="32" max="36" width="12.63" outlineLevel="1"/>
    <col customWidth="1" min="37" max="37" width="4.13"/>
    <col collapsed="1" min="42" max="42" width="12.63"/>
    <col hidden="1" min="43" max="45" width="12.63" outlineLevel="1"/>
    <col collapsed="1" min="46" max="46" width="12.63"/>
    <col hidden="1" min="47" max="51" width="12.63" outlineLevel="1"/>
    <col collapsed="1" min="52" max="52" width="12.63"/>
    <col hidden="1" min="53" max="57" width="12.63" outlineLevel="1"/>
    <col collapsed="1" min="58" max="58" width="12.63"/>
    <col hidden="1" min="59" max="68" width="12.63" outlineLevel="1"/>
    <col customWidth="1" min="69" max="69" width="4.13"/>
    <col collapsed="1" min="73" max="73" width="12.63"/>
    <col hidden="1" min="74" max="76" width="12.63" outlineLevel="1"/>
    <col collapsed="1" min="77" max="77" width="12.63"/>
    <col hidden="1" min="78" max="82" width="12.63" outlineLevel="1"/>
    <col collapsed="1" min="83" max="83" width="12.63"/>
    <col hidden="1" min="84" max="88" width="12.63" outlineLevel="1"/>
    <col collapsed="1" customWidth="1" min="89" max="89" width="13.88"/>
    <col hidden="1" min="90" max="94" width="12.63" outlineLevel="1"/>
  </cols>
  <sheetData>
    <row r="1">
      <c r="A1" s="58" t="s">
        <v>248</v>
      </c>
      <c r="F1" s="8" t="s">
        <v>249</v>
      </c>
      <c r="J1" s="3"/>
      <c r="K1" s="8" t="s">
        <v>250</v>
      </c>
      <c r="S1" s="3" t="s">
        <v>8</v>
      </c>
      <c r="T1" s="3" t="s">
        <v>8</v>
      </c>
      <c r="Y1" s="3" t="s">
        <v>10</v>
      </c>
      <c r="Z1" s="3" t="s">
        <v>10</v>
      </c>
      <c r="AE1" s="8" t="s">
        <v>251</v>
      </c>
      <c r="AF1" s="8" t="s">
        <v>252</v>
      </c>
      <c r="AK1" s="3"/>
      <c r="AL1" s="8" t="s">
        <v>253</v>
      </c>
      <c r="AT1" s="3" t="s">
        <v>8</v>
      </c>
      <c r="AU1" s="3" t="s">
        <v>8</v>
      </c>
      <c r="AZ1" s="3" t="s">
        <v>10</v>
      </c>
      <c r="BA1" s="3" t="s">
        <v>10</v>
      </c>
      <c r="BF1" s="8" t="s">
        <v>254</v>
      </c>
      <c r="BG1" s="8" t="s">
        <v>255</v>
      </c>
      <c r="BL1" s="8" t="s">
        <v>256</v>
      </c>
      <c r="BQ1" s="3"/>
      <c r="BR1" s="8" t="s">
        <v>257</v>
      </c>
      <c r="BY1" s="3" t="s">
        <v>8</v>
      </c>
      <c r="BZ1" s="3" t="s">
        <v>8</v>
      </c>
      <c r="CE1" s="3" t="s">
        <v>10</v>
      </c>
      <c r="CF1" s="3" t="s">
        <v>10</v>
      </c>
      <c r="CK1" s="8" t="s">
        <v>259</v>
      </c>
      <c r="CL1" s="8" t="s">
        <v>260</v>
      </c>
    </row>
    <row r="2">
      <c r="A2" s="3" t="s">
        <v>24</v>
      </c>
      <c r="B2" s="8" t="s">
        <v>261</v>
      </c>
      <c r="C2" s="8" t="s">
        <v>65</v>
      </c>
      <c r="D2" s="8" t="s">
        <v>262</v>
      </c>
      <c r="E2" s="8" t="s">
        <v>26</v>
      </c>
      <c r="F2" s="8" t="s">
        <v>263</v>
      </c>
      <c r="G2" s="8" t="s">
        <v>264</v>
      </c>
      <c r="H2" s="8" t="s">
        <v>265</v>
      </c>
      <c r="I2" s="3" t="s">
        <v>31</v>
      </c>
      <c r="J2" s="3"/>
      <c r="K2" s="3" t="s">
        <v>35</v>
      </c>
      <c r="L2" s="3" t="s">
        <v>36</v>
      </c>
      <c r="M2" s="3" t="s">
        <v>38</v>
      </c>
      <c r="N2" s="3" t="s">
        <v>39</v>
      </c>
      <c r="O2" s="3" t="s">
        <v>40</v>
      </c>
      <c r="P2" s="3" t="s">
        <v>42</v>
      </c>
      <c r="Q2" s="3" t="s">
        <v>44</v>
      </c>
      <c r="R2" s="3" t="s">
        <v>45</v>
      </c>
      <c r="T2" s="3" t="s">
        <v>46</v>
      </c>
      <c r="U2" s="3" t="s">
        <v>38</v>
      </c>
      <c r="V2" s="3" t="s">
        <v>39</v>
      </c>
      <c r="W2" s="3" t="s">
        <v>40</v>
      </c>
      <c r="X2" s="3" t="s">
        <v>47</v>
      </c>
      <c r="Z2" s="3" t="s">
        <v>48</v>
      </c>
      <c r="AA2" s="3" t="s">
        <v>38</v>
      </c>
      <c r="AB2" s="3" t="s">
        <v>39</v>
      </c>
      <c r="AC2" s="3" t="s">
        <v>40</v>
      </c>
      <c r="AD2" s="3" t="s">
        <v>47</v>
      </c>
      <c r="AF2" s="3" t="s">
        <v>49</v>
      </c>
      <c r="AG2" s="3" t="s">
        <v>38</v>
      </c>
      <c r="AH2" s="3" t="s">
        <v>39</v>
      </c>
      <c r="AI2" s="3" t="s">
        <v>40</v>
      </c>
      <c r="AJ2" s="3" t="s">
        <v>51</v>
      </c>
      <c r="AK2" s="3"/>
      <c r="AL2" s="3" t="s">
        <v>35</v>
      </c>
      <c r="AM2" s="3" t="s">
        <v>36</v>
      </c>
      <c r="AN2" s="3" t="s">
        <v>38</v>
      </c>
      <c r="AO2" s="3" t="s">
        <v>39</v>
      </c>
      <c r="AP2" s="3" t="s">
        <v>40</v>
      </c>
      <c r="AQ2" s="3" t="s">
        <v>42</v>
      </c>
      <c r="AR2" s="3" t="s">
        <v>44</v>
      </c>
      <c r="AS2" s="3" t="s">
        <v>45</v>
      </c>
      <c r="AU2" s="3" t="s">
        <v>46</v>
      </c>
      <c r="AV2" s="3" t="s">
        <v>38</v>
      </c>
      <c r="AW2" s="3" t="s">
        <v>39</v>
      </c>
      <c r="AX2" s="3" t="s">
        <v>40</v>
      </c>
      <c r="AY2" s="3" t="s">
        <v>47</v>
      </c>
      <c r="BA2" s="3" t="s">
        <v>48</v>
      </c>
      <c r="BB2" s="3" t="s">
        <v>38</v>
      </c>
      <c r="BC2" s="3" t="s">
        <v>39</v>
      </c>
      <c r="BD2" s="3" t="s">
        <v>40</v>
      </c>
      <c r="BE2" s="3" t="s">
        <v>47</v>
      </c>
      <c r="BG2" s="3" t="s">
        <v>49</v>
      </c>
      <c r="BH2" s="3" t="s">
        <v>38</v>
      </c>
      <c r="BI2" s="3" t="s">
        <v>39</v>
      </c>
      <c r="BJ2" s="3" t="s">
        <v>40</v>
      </c>
      <c r="BK2" s="3" t="s">
        <v>51</v>
      </c>
      <c r="BL2" s="3" t="s">
        <v>49</v>
      </c>
      <c r="BM2" s="3" t="s">
        <v>38</v>
      </c>
      <c r="BN2" s="3" t="s">
        <v>39</v>
      </c>
      <c r="BO2" s="3" t="s">
        <v>40</v>
      </c>
      <c r="BP2" s="3" t="s">
        <v>51</v>
      </c>
      <c r="BQ2" s="3"/>
      <c r="BR2" s="3" t="s">
        <v>36</v>
      </c>
      <c r="BS2" s="3" t="s">
        <v>38</v>
      </c>
      <c r="BT2" s="3" t="s">
        <v>39</v>
      </c>
      <c r="BU2" s="3" t="s">
        <v>40</v>
      </c>
      <c r="BV2" s="3" t="s">
        <v>42</v>
      </c>
      <c r="BW2" s="3" t="s">
        <v>44</v>
      </c>
      <c r="BX2" s="3" t="s">
        <v>45</v>
      </c>
      <c r="BZ2" s="3" t="s">
        <v>46</v>
      </c>
      <c r="CA2" s="3" t="s">
        <v>38</v>
      </c>
      <c r="CB2" s="3" t="s">
        <v>39</v>
      </c>
      <c r="CC2" s="3" t="s">
        <v>40</v>
      </c>
      <c r="CD2" s="3" t="s">
        <v>47</v>
      </c>
      <c r="CF2" s="3" t="s">
        <v>48</v>
      </c>
      <c r="CG2" s="3" t="s">
        <v>38</v>
      </c>
      <c r="CH2" s="3" t="s">
        <v>39</v>
      </c>
      <c r="CI2" s="3" t="s">
        <v>40</v>
      </c>
      <c r="CJ2" s="3" t="s">
        <v>47</v>
      </c>
      <c r="CL2" s="3" t="s">
        <v>49</v>
      </c>
      <c r="CM2" s="3" t="s">
        <v>38</v>
      </c>
      <c r="CN2" s="3" t="s">
        <v>39</v>
      </c>
      <c r="CO2" s="3" t="s">
        <v>40</v>
      </c>
      <c r="CP2" s="3" t="s">
        <v>51</v>
      </c>
    </row>
    <row r="3">
      <c r="A3" s="26">
        <f t="shared" ref="A3:A202" si="1">IF(B3="","",COUNTA($B$3:B3))</f>
        <v>1</v>
      </c>
      <c r="B3" s="27" t="s">
        <v>266</v>
      </c>
      <c r="C3" s="81" t="s">
        <v>267</v>
      </c>
      <c r="D3" s="27"/>
      <c r="E3" s="82"/>
      <c r="F3" s="20"/>
      <c r="G3" s="20"/>
      <c r="H3" s="20"/>
      <c r="I3" s="23"/>
      <c r="J3" s="33"/>
      <c r="K3" s="26" t="str">
        <f t="shared" ref="K3:K202" si="2">F3</f>
        <v/>
      </c>
      <c r="L3" s="23"/>
      <c r="M3" s="45" t="str">
        <f t="shared" ref="M3:M202" si="3">if(L3&lt;&gt;"", if(M3="",NOW(),M3),"")</f>
        <v/>
      </c>
      <c r="N3" s="25"/>
      <c r="O3" s="45" t="str">
        <f t="shared" ref="O3:O202" si="4">if(N3="Done", if(O3="",NOW(),O3),"")</f>
        <v/>
      </c>
      <c r="P3" s="29" t="str">
        <f t="shared" ref="P3:P202" si="5">IF(AND(M3&lt;&gt;"",O3&lt;&gt;""),(O3-M3)*1440,"")</f>
        <v/>
      </c>
      <c r="Q3" s="29">
        <f t="shared" ref="Q3:Q202" si="6">IF(
  INT(M3)=INT(O3),
  IF(
    AND(MOD(M3,1)&lt;TIME(12,0,0), MOD(O3,1)&gt;TIME(12,0,0)),
    60,
    0
  ),
  IF(
    MOD(O3,1)&lt;=TIME(12,0,0),
    (INT(O3)-INT(M3))*960,
    (INT(O3)-INT(M3))*1020
  )
)</f>
        <v>0</v>
      </c>
      <c r="R3" s="29">
        <f t="shared" ref="R3:R202" si="7">(P3-Q3)/60</f>
        <v>0</v>
      </c>
      <c r="S3" s="26" t="str">
        <f t="shared" ref="S3:S202" si="8">W3</f>
        <v/>
      </c>
      <c r="T3" s="23"/>
      <c r="U3" s="45" t="str">
        <f t="shared" ref="U3:U202" si="9">if(T3&lt;&gt;"", if(U3="",NOW(),U3),"")</f>
        <v/>
      </c>
      <c r="V3" s="25"/>
      <c r="W3" s="45" t="str">
        <f t="shared" ref="W3:W202" si="10">if(V3="Done", if(W3="",NOW(),W3),"")</f>
        <v/>
      </c>
      <c r="X3" s="47"/>
      <c r="Y3" s="26" t="str">
        <f t="shared" ref="Y3:Y202" si="11">AB3</f>
        <v/>
      </c>
      <c r="Z3" s="23"/>
      <c r="AA3" s="45" t="str">
        <f t="shared" ref="AA3:AA202" si="12">if(Z3&lt;&gt;"", if(AA3="",NOW(),AA3),"")</f>
        <v/>
      </c>
      <c r="AB3" s="25"/>
      <c r="AC3" s="45" t="str">
        <f t="shared" ref="AC3:AC202" si="13">if(AB3="Done", if(AC3="",NOW(),AC3),"")</f>
        <v/>
      </c>
      <c r="AD3" s="47"/>
      <c r="AE3" s="26"/>
      <c r="AF3" s="23"/>
      <c r="AG3" s="45" t="str">
        <f t="shared" ref="AG3:AG202" si="14">if(AF3&lt;&gt;"", if(AG3="",NOW(),AG3),"")</f>
        <v/>
      </c>
      <c r="AH3" s="25"/>
      <c r="AI3" s="45" t="str">
        <f t="shared" ref="AI3:AI202" si="15">if(AH3="Done", if(AI3="",NOW(),AI3),"")</f>
        <v/>
      </c>
      <c r="AJ3" s="27">
        <v>0.0</v>
      </c>
      <c r="AK3" s="33"/>
      <c r="AL3" s="26" t="str">
        <f t="shared" ref="AL3:AL202" si="16">G3</f>
        <v/>
      </c>
      <c r="AM3" s="23"/>
      <c r="AN3" s="45" t="str">
        <f t="shared" ref="AN3:AN202" si="17">if(AM3&lt;&gt;"", if(AN3="",NOW(),AN3),"")</f>
        <v/>
      </c>
      <c r="AO3" s="25"/>
      <c r="AP3" s="45" t="str">
        <f t="shared" ref="AP3:AP202" si="18">if(AO3="Done", if(AP3="",NOW(),AP3),"")</f>
        <v/>
      </c>
      <c r="AQ3" s="29" t="str">
        <f t="shared" ref="AQ3:AQ202" si="19">IF(AND(AN3&lt;&gt;"",AP3&lt;&gt;""),(AP3-AN3)*1440,"")</f>
        <v/>
      </c>
      <c r="AR3" s="29">
        <f t="shared" ref="AR3:AR202" si="20">IF(
  INT(AN3)=INT(AP3),
  IF(
    AND(MOD(AN3,1)&lt;TIME(12,0,0), MOD(AP3,1)&gt;TIME(12,0,0)),
    60,
    0
  ),
  IF(
    MOD(AP3,1)&lt;=TIME(12,0,0),
    (INT(AP3)-INT(AN3))*960,
    (INT(AP3)-INT(AN3))*1020
  )
)</f>
        <v>0</v>
      </c>
      <c r="AS3" s="29">
        <f t="shared" ref="AS3:AS202" si="21">(AQ3-AR3)/60</f>
        <v>0</v>
      </c>
      <c r="AT3" s="26" t="str">
        <f t="shared" ref="AT3:AT202" si="22">AX3</f>
        <v/>
      </c>
      <c r="AU3" s="23"/>
      <c r="AV3" s="45" t="str">
        <f t="shared" ref="AV3:AV202" si="23">if(AU3&lt;&gt;"", if(AV3="",NOW(),AV3),"")</f>
        <v/>
      </c>
      <c r="AW3" s="25"/>
      <c r="AX3" s="45" t="str">
        <f t="shared" ref="AX3:AX202" si="24">if(AW3="Done", if(AX3="",NOW(),AX3),"")</f>
        <v/>
      </c>
      <c r="AY3" s="47"/>
      <c r="AZ3" s="26" t="str">
        <f t="shared" ref="AZ3:AZ202" si="25">BC3</f>
        <v/>
      </c>
      <c r="BA3" s="23"/>
      <c r="BB3" s="45" t="str">
        <f t="shared" ref="BB3:BB202" si="26">if(BA3&lt;&gt;"", if(BB3="",NOW(),BB3),"")</f>
        <v/>
      </c>
      <c r="BC3" s="25"/>
      <c r="BD3" s="45" t="str">
        <f t="shared" ref="BD3:BD202" si="27">if(BC3="Done", if(BD3="",NOW(),BD3),"")</f>
        <v/>
      </c>
      <c r="BE3" s="47"/>
      <c r="BF3" s="26"/>
      <c r="BG3" s="23"/>
      <c r="BH3" s="45" t="str">
        <f t="shared" ref="BH3:BH202" si="28">if(BG3&lt;&gt;"", if(BH3="",NOW(),BH3),"")</f>
        <v/>
      </c>
      <c r="BI3" s="25"/>
      <c r="BJ3" s="45" t="str">
        <f t="shared" ref="BJ3:BJ202" si="29">if(BI3="Done", if(BJ3="",NOW(),BJ3),"")</f>
        <v/>
      </c>
      <c r="BK3" s="27">
        <v>0.0</v>
      </c>
      <c r="BL3" s="23"/>
      <c r="BM3" s="45" t="str">
        <f t="shared" ref="BM3:BM202" si="30">if(BL3&lt;&gt;"", if(BM3="",NOW(),BM3),"")</f>
        <v/>
      </c>
      <c r="BN3" s="25"/>
      <c r="BO3" s="45" t="str">
        <f t="shared" ref="BO3:BO202" si="31">if(BN3="Done", if(BO3="",NOW(),BO3),"")</f>
        <v/>
      </c>
      <c r="BP3" s="27">
        <v>0.0</v>
      </c>
      <c r="BQ3" s="33"/>
      <c r="BR3" s="23"/>
      <c r="BS3" s="45" t="str">
        <f t="shared" ref="BS3:BS202" si="32">if(BR3&lt;&gt;"", if(BS3="",NOW(),BS3),"")</f>
        <v/>
      </c>
      <c r="BT3" s="25"/>
      <c r="BU3" s="45" t="str">
        <f t="shared" ref="BU3:BU202" si="33">if(BT3="Done", if(BU3="",NOW(),BU3),"")</f>
        <v/>
      </c>
      <c r="BV3" s="29" t="str">
        <f t="shared" ref="BV3:BV202" si="34">IF(AND(BS3&lt;&gt;"",BU3&lt;&gt;""),(BU3-BS3)*1440,"")</f>
        <v/>
      </c>
      <c r="BW3" s="29">
        <f t="shared" ref="BW3:BW202" si="35">IF(
  INT(BS3)=INT(BU3),
  IF(
    AND(MOD(BS3,1)&lt;TIME(12,0,0), MOD(BU3,1)&gt;TIME(12,0,0)),
    60,
    0
  ),
  IF(
    MOD(BU3,1)&lt;=TIME(12,0,0),
    (INT(BU3)-INT(BS3))*960,
    (INT(BU3)-INT(BS3))*1020
  )
)</f>
        <v>0</v>
      </c>
      <c r="BX3" s="29">
        <f t="shared" ref="BX3:BX202" si="36">(BV3-BW3)/60</f>
        <v>0</v>
      </c>
      <c r="BY3" s="26" t="str">
        <f t="shared" ref="BY3:BY202" si="37">CC3</f>
        <v/>
      </c>
      <c r="BZ3" s="23"/>
      <c r="CA3" s="45" t="str">
        <f t="shared" ref="CA3:CA202" si="38">if(BZ3&lt;&gt;"", if(CA3="",NOW(),CA3),"")</f>
        <v/>
      </c>
      <c r="CB3" s="25"/>
      <c r="CC3" s="45" t="str">
        <f t="shared" ref="CC3:CC202" si="39">if(CB3="Done", if(CC3="",NOW(),CC3),"")</f>
        <v/>
      </c>
      <c r="CD3" s="47"/>
      <c r="CE3" s="26" t="str">
        <f t="shared" ref="CE3:CE202" si="40">CH3</f>
        <v/>
      </c>
      <c r="CF3" s="23"/>
      <c r="CG3" s="45" t="str">
        <f t="shared" ref="CG3:CG202" si="41">if(CF3&lt;&gt;"", if(CG3="",NOW(),CG3),"")</f>
        <v/>
      </c>
      <c r="CH3" s="25"/>
      <c r="CI3" s="45" t="str">
        <f t="shared" ref="CI3:CI202" si="42">if(CH3="Done", if(CI3="",NOW(),CI3),"")</f>
        <v/>
      </c>
      <c r="CJ3" s="47"/>
      <c r="CK3" s="26"/>
      <c r="CL3" s="23"/>
      <c r="CM3" s="45" t="str">
        <f t="shared" ref="CM3:CM202" si="43">if(CL3&lt;&gt;"", if(CM3="",NOW(),CM3),"")</f>
        <v/>
      </c>
      <c r="CN3" s="25"/>
      <c r="CO3" s="45" t="str">
        <f t="shared" ref="CO3:CO202" si="44">if(CN3="Done", if(CO3="",NOW(),CO3),"")</f>
        <v/>
      </c>
      <c r="CP3" s="27">
        <v>0.0</v>
      </c>
    </row>
    <row r="4">
      <c r="A4" s="26">
        <f t="shared" si="1"/>
        <v>2</v>
      </c>
      <c r="B4" s="27" t="s">
        <v>281</v>
      </c>
      <c r="C4" s="81" t="s">
        <v>267</v>
      </c>
      <c r="D4" s="27"/>
      <c r="E4" s="82"/>
      <c r="F4" s="20"/>
      <c r="G4" s="20"/>
      <c r="H4" s="20"/>
      <c r="I4" s="23"/>
      <c r="J4" s="33"/>
      <c r="K4" s="26" t="str">
        <f t="shared" si="2"/>
        <v/>
      </c>
      <c r="L4" s="23"/>
      <c r="M4" s="45" t="str">
        <f t="shared" si="3"/>
        <v/>
      </c>
      <c r="N4" s="25"/>
      <c r="O4" s="45" t="str">
        <f t="shared" si="4"/>
        <v/>
      </c>
      <c r="P4" s="29" t="str">
        <f t="shared" si="5"/>
        <v/>
      </c>
      <c r="Q4" s="29">
        <f t="shared" si="6"/>
        <v>0</v>
      </c>
      <c r="R4" s="29">
        <f t="shared" si="7"/>
        <v>0</v>
      </c>
      <c r="S4" s="26" t="str">
        <f t="shared" si="8"/>
        <v/>
      </c>
      <c r="T4" s="23"/>
      <c r="U4" s="45" t="str">
        <f t="shared" si="9"/>
        <v/>
      </c>
      <c r="V4" s="25"/>
      <c r="W4" s="45" t="str">
        <f t="shared" si="10"/>
        <v/>
      </c>
      <c r="X4" s="47"/>
      <c r="Y4" s="26" t="str">
        <f t="shared" si="11"/>
        <v/>
      </c>
      <c r="Z4" s="23"/>
      <c r="AA4" s="45" t="str">
        <f t="shared" si="12"/>
        <v/>
      </c>
      <c r="AB4" s="25"/>
      <c r="AC4" s="45" t="str">
        <f t="shared" si="13"/>
        <v/>
      </c>
      <c r="AD4" s="47"/>
      <c r="AE4" s="26"/>
      <c r="AF4" s="23"/>
      <c r="AG4" s="45" t="str">
        <f t="shared" si="14"/>
        <v/>
      </c>
      <c r="AH4" s="25"/>
      <c r="AI4" s="45" t="str">
        <f t="shared" si="15"/>
        <v/>
      </c>
      <c r="AJ4" s="27">
        <v>0.0</v>
      </c>
      <c r="AK4" s="33"/>
      <c r="AL4" s="26" t="str">
        <f t="shared" si="16"/>
        <v/>
      </c>
      <c r="AM4" s="23"/>
      <c r="AN4" s="45" t="str">
        <f t="shared" si="17"/>
        <v/>
      </c>
      <c r="AO4" s="25"/>
      <c r="AP4" s="45" t="str">
        <f t="shared" si="18"/>
        <v/>
      </c>
      <c r="AQ4" s="29" t="str">
        <f t="shared" si="19"/>
        <v/>
      </c>
      <c r="AR4" s="29">
        <f t="shared" si="20"/>
        <v>0</v>
      </c>
      <c r="AS4" s="29">
        <f t="shared" si="21"/>
        <v>0</v>
      </c>
      <c r="AT4" s="26" t="str">
        <f t="shared" si="22"/>
        <v/>
      </c>
      <c r="AU4" s="23"/>
      <c r="AV4" s="45" t="str">
        <f t="shared" si="23"/>
        <v/>
      </c>
      <c r="AW4" s="25"/>
      <c r="AX4" s="45" t="str">
        <f t="shared" si="24"/>
        <v/>
      </c>
      <c r="AY4" s="47"/>
      <c r="AZ4" s="26" t="str">
        <f t="shared" si="25"/>
        <v/>
      </c>
      <c r="BA4" s="23"/>
      <c r="BB4" s="45" t="str">
        <f t="shared" si="26"/>
        <v/>
      </c>
      <c r="BC4" s="25"/>
      <c r="BD4" s="45" t="str">
        <f t="shared" si="27"/>
        <v/>
      </c>
      <c r="BE4" s="47"/>
      <c r="BF4" s="26"/>
      <c r="BG4" s="23"/>
      <c r="BH4" s="45" t="str">
        <f t="shared" si="28"/>
        <v/>
      </c>
      <c r="BI4" s="25"/>
      <c r="BJ4" s="45" t="str">
        <f t="shared" si="29"/>
        <v/>
      </c>
      <c r="BK4" s="27">
        <v>0.0</v>
      </c>
      <c r="BL4" s="23"/>
      <c r="BM4" s="45" t="str">
        <f t="shared" si="30"/>
        <v/>
      </c>
      <c r="BN4" s="25"/>
      <c r="BO4" s="45" t="str">
        <f t="shared" si="31"/>
        <v/>
      </c>
      <c r="BP4" s="27">
        <v>0.0</v>
      </c>
      <c r="BQ4" s="33"/>
      <c r="BR4" s="23"/>
      <c r="BS4" s="45" t="str">
        <f t="shared" si="32"/>
        <v/>
      </c>
      <c r="BT4" s="25"/>
      <c r="BU4" s="45" t="str">
        <f t="shared" si="33"/>
        <v/>
      </c>
      <c r="BV4" s="29" t="str">
        <f t="shared" si="34"/>
        <v/>
      </c>
      <c r="BW4" s="29">
        <f t="shared" si="35"/>
        <v>0</v>
      </c>
      <c r="BX4" s="29">
        <f t="shared" si="36"/>
        <v>0</v>
      </c>
      <c r="BY4" s="26" t="str">
        <f t="shared" si="37"/>
        <v/>
      </c>
      <c r="BZ4" s="23"/>
      <c r="CA4" s="45" t="str">
        <f t="shared" si="38"/>
        <v/>
      </c>
      <c r="CB4" s="25"/>
      <c r="CC4" s="45" t="str">
        <f t="shared" si="39"/>
        <v/>
      </c>
      <c r="CD4" s="47"/>
      <c r="CE4" s="26" t="str">
        <f t="shared" si="40"/>
        <v/>
      </c>
      <c r="CF4" s="23"/>
      <c r="CG4" s="45" t="str">
        <f t="shared" si="41"/>
        <v/>
      </c>
      <c r="CH4" s="25"/>
      <c r="CI4" s="45" t="str">
        <f t="shared" si="42"/>
        <v/>
      </c>
      <c r="CJ4" s="47"/>
      <c r="CK4" s="26"/>
      <c r="CL4" s="23"/>
      <c r="CM4" s="45" t="str">
        <f t="shared" si="43"/>
        <v/>
      </c>
      <c r="CN4" s="25"/>
      <c r="CO4" s="45" t="str">
        <f t="shared" si="44"/>
        <v/>
      </c>
      <c r="CP4" s="27">
        <v>0.0</v>
      </c>
    </row>
    <row r="5">
      <c r="A5" s="26" t="str">
        <f t="shared" si="1"/>
        <v/>
      </c>
      <c r="B5" s="27"/>
      <c r="C5" s="81"/>
      <c r="D5" s="27"/>
      <c r="E5" s="82"/>
      <c r="F5" s="20"/>
      <c r="G5" s="20"/>
      <c r="H5" s="20"/>
      <c r="I5" s="23"/>
      <c r="J5" s="33"/>
      <c r="K5" s="26" t="str">
        <f t="shared" si="2"/>
        <v/>
      </c>
      <c r="L5" s="23"/>
      <c r="M5" s="45" t="str">
        <f t="shared" si="3"/>
        <v/>
      </c>
      <c r="N5" s="25"/>
      <c r="O5" s="45" t="str">
        <f t="shared" si="4"/>
        <v/>
      </c>
      <c r="P5" s="29" t="str">
        <f t="shared" si="5"/>
        <v/>
      </c>
      <c r="Q5" s="29">
        <f t="shared" si="6"/>
        <v>0</v>
      </c>
      <c r="R5" s="29">
        <f t="shared" si="7"/>
        <v>0</v>
      </c>
      <c r="S5" s="26" t="str">
        <f t="shared" si="8"/>
        <v/>
      </c>
      <c r="T5" s="23"/>
      <c r="U5" s="45" t="str">
        <f t="shared" si="9"/>
        <v/>
      </c>
      <c r="V5" s="25"/>
      <c r="W5" s="45" t="str">
        <f t="shared" si="10"/>
        <v/>
      </c>
      <c r="X5" s="47"/>
      <c r="Y5" s="26" t="str">
        <f t="shared" si="11"/>
        <v/>
      </c>
      <c r="Z5" s="23"/>
      <c r="AA5" s="45" t="str">
        <f t="shared" si="12"/>
        <v/>
      </c>
      <c r="AB5" s="25"/>
      <c r="AC5" s="45" t="str">
        <f t="shared" si="13"/>
        <v/>
      </c>
      <c r="AD5" s="47"/>
      <c r="AE5" s="26"/>
      <c r="AF5" s="23"/>
      <c r="AG5" s="45" t="str">
        <f t="shared" si="14"/>
        <v/>
      </c>
      <c r="AH5" s="25"/>
      <c r="AI5" s="45" t="str">
        <f t="shared" si="15"/>
        <v/>
      </c>
      <c r="AJ5" s="27">
        <v>0.0</v>
      </c>
      <c r="AK5" s="33"/>
      <c r="AL5" s="26" t="str">
        <f t="shared" si="16"/>
        <v/>
      </c>
      <c r="AM5" s="23"/>
      <c r="AN5" s="45" t="str">
        <f t="shared" si="17"/>
        <v/>
      </c>
      <c r="AO5" s="25"/>
      <c r="AP5" s="45" t="str">
        <f t="shared" si="18"/>
        <v/>
      </c>
      <c r="AQ5" s="29" t="str">
        <f t="shared" si="19"/>
        <v/>
      </c>
      <c r="AR5" s="29">
        <f t="shared" si="20"/>
        <v>0</v>
      </c>
      <c r="AS5" s="29">
        <f t="shared" si="21"/>
        <v>0</v>
      </c>
      <c r="AT5" s="26" t="str">
        <f t="shared" si="22"/>
        <v/>
      </c>
      <c r="AU5" s="23"/>
      <c r="AV5" s="45" t="str">
        <f t="shared" si="23"/>
        <v/>
      </c>
      <c r="AW5" s="25"/>
      <c r="AX5" s="45" t="str">
        <f t="shared" si="24"/>
        <v/>
      </c>
      <c r="AY5" s="47"/>
      <c r="AZ5" s="26" t="str">
        <f t="shared" si="25"/>
        <v/>
      </c>
      <c r="BA5" s="23"/>
      <c r="BB5" s="45" t="str">
        <f t="shared" si="26"/>
        <v/>
      </c>
      <c r="BC5" s="25"/>
      <c r="BD5" s="45" t="str">
        <f t="shared" si="27"/>
        <v/>
      </c>
      <c r="BE5" s="47"/>
      <c r="BF5" s="26"/>
      <c r="BG5" s="23"/>
      <c r="BH5" s="45" t="str">
        <f t="shared" si="28"/>
        <v/>
      </c>
      <c r="BI5" s="25"/>
      <c r="BJ5" s="45" t="str">
        <f t="shared" si="29"/>
        <v/>
      </c>
      <c r="BK5" s="27">
        <v>0.0</v>
      </c>
      <c r="BL5" s="23"/>
      <c r="BM5" s="45" t="str">
        <f t="shared" si="30"/>
        <v/>
      </c>
      <c r="BN5" s="25"/>
      <c r="BO5" s="45" t="str">
        <f t="shared" si="31"/>
        <v/>
      </c>
      <c r="BP5" s="27">
        <v>0.0</v>
      </c>
      <c r="BQ5" s="33"/>
      <c r="BR5" s="23"/>
      <c r="BS5" s="45" t="str">
        <f t="shared" si="32"/>
        <v/>
      </c>
      <c r="BT5" s="25"/>
      <c r="BU5" s="45" t="str">
        <f t="shared" si="33"/>
        <v/>
      </c>
      <c r="BV5" s="29" t="str">
        <f t="shared" si="34"/>
        <v/>
      </c>
      <c r="BW5" s="29">
        <f t="shared" si="35"/>
        <v>0</v>
      </c>
      <c r="BX5" s="29">
        <f t="shared" si="36"/>
        <v>0</v>
      </c>
      <c r="BY5" s="26" t="str">
        <f t="shared" si="37"/>
        <v/>
      </c>
      <c r="BZ5" s="23"/>
      <c r="CA5" s="45" t="str">
        <f t="shared" si="38"/>
        <v/>
      </c>
      <c r="CB5" s="25"/>
      <c r="CC5" s="45" t="str">
        <f t="shared" si="39"/>
        <v/>
      </c>
      <c r="CD5" s="47"/>
      <c r="CE5" s="26" t="str">
        <f t="shared" si="40"/>
        <v/>
      </c>
      <c r="CF5" s="23"/>
      <c r="CG5" s="45" t="str">
        <f t="shared" si="41"/>
        <v/>
      </c>
      <c r="CH5" s="25"/>
      <c r="CI5" s="45" t="str">
        <f t="shared" si="42"/>
        <v/>
      </c>
      <c r="CJ5" s="47"/>
      <c r="CK5" s="26"/>
      <c r="CL5" s="23"/>
      <c r="CM5" s="45" t="str">
        <f t="shared" si="43"/>
        <v/>
      </c>
      <c r="CN5" s="25"/>
      <c r="CO5" s="45" t="str">
        <f t="shared" si="44"/>
        <v/>
      </c>
      <c r="CP5" s="27">
        <v>0.0</v>
      </c>
    </row>
    <row r="6">
      <c r="A6" s="26" t="str">
        <f t="shared" si="1"/>
        <v/>
      </c>
      <c r="B6" s="27"/>
      <c r="C6" s="81"/>
      <c r="D6" s="27"/>
      <c r="E6" s="82"/>
      <c r="F6" s="20"/>
      <c r="G6" s="20"/>
      <c r="H6" s="20"/>
      <c r="I6" s="23"/>
      <c r="J6" s="33"/>
      <c r="K6" s="26" t="str">
        <f t="shared" si="2"/>
        <v/>
      </c>
      <c r="L6" s="23"/>
      <c r="M6" s="45" t="str">
        <f t="shared" si="3"/>
        <v/>
      </c>
      <c r="N6" s="25"/>
      <c r="O6" s="45" t="str">
        <f t="shared" si="4"/>
        <v/>
      </c>
      <c r="P6" s="29" t="str">
        <f t="shared" si="5"/>
        <v/>
      </c>
      <c r="Q6" s="29">
        <f t="shared" si="6"/>
        <v>0</v>
      </c>
      <c r="R6" s="29">
        <f t="shared" si="7"/>
        <v>0</v>
      </c>
      <c r="S6" s="26" t="str">
        <f t="shared" si="8"/>
        <v/>
      </c>
      <c r="T6" s="23"/>
      <c r="U6" s="45" t="str">
        <f t="shared" si="9"/>
        <v/>
      </c>
      <c r="V6" s="25"/>
      <c r="W6" s="45" t="str">
        <f t="shared" si="10"/>
        <v/>
      </c>
      <c r="X6" s="47"/>
      <c r="Y6" s="26" t="str">
        <f t="shared" si="11"/>
        <v/>
      </c>
      <c r="Z6" s="23"/>
      <c r="AA6" s="45" t="str">
        <f t="shared" si="12"/>
        <v/>
      </c>
      <c r="AB6" s="25"/>
      <c r="AC6" s="45" t="str">
        <f t="shared" si="13"/>
        <v/>
      </c>
      <c r="AD6" s="47"/>
      <c r="AE6" s="26"/>
      <c r="AF6" s="23"/>
      <c r="AG6" s="45" t="str">
        <f t="shared" si="14"/>
        <v/>
      </c>
      <c r="AH6" s="25"/>
      <c r="AI6" s="45" t="str">
        <f t="shared" si="15"/>
        <v/>
      </c>
      <c r="AJ6" s="27">
        <v>0.0</v>
      </c>
      <c r="AK6" s="33"/>
      <c r="AL6" s="26" t="str">
        <f t="shared" si="16"/>
        <v/>
      </c>
      <c r="AM6" s="23"/>
      <c r="AN6" s="45" t="str">
        <f t="shared" si="17"/>
        <v/>
      </c>
      <c r="AO6" s="25"/>
      <c r="AP6" s="45" t="str">
        <f t="shared" si="18"/>
        <v/>
      </c>
      <c r="AQ6" s="29" t="str">
        <f t="shared" si="19"/>
        <v/>
      </c>
      <c r="AR6" s="29">
        <f t="shared" si="20"/>
        <v>0</v>
      </c>
      <c r="AS6" s="29">
        <f t="shared" si="21"/>
        <v>0</v>
      </c>
      <c r="AT6" s="26" t="str">
        <f t="shared" si="22"/>
        <v/>
      </c>
      <c r="AU6" s="23"/>
      <c r="AV6" s="45" t="str">
        <f t="shared" si="23"/>
        <v/>
      </c>
      <c r="AW6" s="25"/>
      <c r="AX6" s="45" t="str">
        <f t="shared" si="24"/>
        <v/>
      </c>
      <c r="AY6" s="47"/>
      <c r="AZ6" s="26" t="str">
        <f t="shared" si="25"/>
        <v/>
      </c>
      <c r="BA6" s="23"/>
      <c r="BB6" s="45" t="str">
        <f t="shared" si="26"/>
        <v/>
      </c>
      <c r="BC6" s="25"/>
      <c r="BD6" s="45" t="str">
        <f t="shared" si="27"/>
        <v/>
      </c>
      <c r="BE6" s="47"/>
      <c r="BF6" s="26"/>
      <c r="BG6" s="23"/>
      <c r="BH6" s="45" t="str">
        <f t="shared" si="28"/>
        <v/>
      </c>
      <c r="BI6" s="25"/>
      <c r="BJ6" s="45" t="str">
        <f t="shared" si="29"/>
        <v/>
      </c>
      <c r="BK6" s="27">
        <v>0.0</v>
      </c>
      <c r="BL6" s="23"/>
      <c r="BM6" s="45" t="str">
        <f t="shared" si="30"/>
        <v/>
      </c>
      <c r="BN6" s="25"/>
      <c r="BO6" s="45" t="str">
        <f t="shared" si="31"/>
        <v/>
      </c>
      <c r="BP6" s="27">
        <v>0.0</v>
      </c>
      <c r="BQ6" s="33"/>
      <c r="BR6" s="23"/>
      <c r="BS6" s="45" t="str">
        <f t="shared" si="32"/>
        <v/>
      </c>
      <c r="BT6" s="25"/>
      <c r="BU6" s="45" t="str">
        <f t="shared" si="33"/>
        <v/>
      </c>
      <c r="BV6" s="29" t="str">
        <f t="shared" si="34"/>
        <v/>
      </c>
      <c r="BW6" s="29">
        <f t="shared" si="35"/>
        <v>0</v>
      </c>
      <c r="BX6" s="29">
        <f t="shared" si="36"/>
        <v>0</v>
      </c>
      <c r="BY6" s="26" t="str">
        <f t="shared" si="37"/>
        <v/>
      </c>
      <c r="BZ6" s="23"/>
      <c r="CA6" s="45" t="str">
        <f t="shared" si="38"/>
        <v/>
      </c>
      <c r="CB6" s="25"/>
      <c r="CC6" s="45" t="str">
        <f t="shared" si="39"/>
        <v/>
      </c>
      <c r="CD6" s="47"/>
      <c r="CE6" s="26" t="str">
        <f t="shared" si="40"/>
        <v/>
      </c>
      <c r="CF6" s="23"/>
      <c r="CG6" s="45" t="str">
        <f t="shared" si="41"/>
        <v/>
      </c>
      <c r="CH6" s="25"/>
      <c r="CI6" s="45" t="str">
        <f t="shared" si="42"/>
        <v/>
      </c>
      <c r="CJ6" s="47"/>
      <c r="CK6" s="26"/>
      <c r="CL6" s="23"/>
      <c r="CM6" s="45" t="str">
        <f t="shared" si="43"/>
        <v/>
      </c>
      <c r="CN6" s="25"/>
      <c r="CO6" s="45" t="str">
        <f t="shared" si="44"/>
        <v/>
      </c>
      <c r="CP6" s="27">
        <v>0.0</v>
      </c>
    </row>
    <row r="7">
      <c r="A7" s="26" t="str">
        <f t="shared" si="1"/>
        <v/>
      </c>
      <c r="B7" s="27"/>
      <c r="C7" s="81"/>
      <c r="D7" s="27"/>
      <c r="E7" s="82"/>
      <c r="F7" s="20"/>
      <c r="G7" s="20"/>
      <c r="H7" s="20"/>
      <c r="I7" s="23"/>
      <c r="J7" s="33"/>
      <c r="K7" s="26" t="str">
        <f t="shared" si="2"/>
        <v/>
      </c>
      <c r="L7" s="23"/>
      <c r="M7" s="45" t="str">
        <f t="shared" si="3"/>
        <v/>
      </c>
      <c r="N7" s="25"/>
      <c r="O7" s="45" t="str">
        <f t="shared" si="4"/>
        <v/>
      </c>
      <c r="P7" s="29" t="str">
        <f t="shared" si="5"/>
        <v/>
      </c>
      <c r="Q7" s="29">
        <f t="shared" si="6"/>
        <v>0</v>
      </c>
      <c r="R7" s="29">
        <f t="shared" si="7"/>
        <v>0</v>
      </c>
      <c r="S7" s="26" t="str">
        <f t="shared" si="8"/>
        <v/>
      </c>
      <c r="T7" s="23"/>
      <c r="U7" s="45" t="str">
        <f t="shared" si="9"/>
        <v/>
      </c>
      <c r="V7" s="25"/>
      <c r="W7" s="45" t="str">
        <f t="shared" si="10"/>
        <v/>
      </c>
      <c r="X7" s="47"/>
      <c r="Y7" s="26" t="str">
        <f t="shared" si="11"/>
        <v/>
      </c>
      <c r="Z7" s="23"/>
      <c r="AA7" s="45" t="str">
        <f t="shared" si="12"/>
        <v/>
      </c>
      <c r="AB7" s="25"/>
      <c r="AC7" s="45" t="str">
        <f t="shared" si="13"/>
        <v/>
      </c>
      <c r="AD7" s="47"/>
      <c r="AE7" s="26"/>
      <c r="AF7" s="23"/>
      <c r="AG7" s="45" t="str">
        <f t="shared" si="14"/>
        <v/>
      </c>
      <c r="AH7" s="25"/>
      <c r="AI7" s="45" t="str">
        <f t="shared" si="15"/>
        <v/>
      </c>
      <c r="AJ7" s="27">
        <v>0.0</v>
      </c>
      <c r="AK7" s="33"/>
      <c r="AL7" s="26" t="str">
        <f t="shared" si="16"/>
        <v/>
      </c>
      <c r="AM7" s="23"/>
      <c r="AN7" s="45" t="str">
        <f t="shared" si="17"/>
        <v/>
      </c>
      <c r="AO7" s="25"/>
      <c r="AP7" s="45" t="str">
        <f t="shared" si="18"/>
        <v/>
      </c>
      <c r="AQ7" s="29" t="str">
        <f t="shared" si="19"/>
        <v/>
      </c>
      <c r="AR7" s="29">
        <f t="shared" si="20"/>
        <v>0</v>
      </c>
      <c r="AS7" s="29">
        <f t="shared" si="21"/>
        <v>0</v>
      </c>
      <c r="AT7" s="26" t="str">
        <f t="shared" si="22"/>
        <v/>
      </c>
      <c r="AU7" s="23"/>
      <c r="AV7" s="45" t="str">
        <f t="shared" si="23"/>
        <v/>
      </c>
      <c r="AW7" s="25"/>
      <c r="AX7" s="45" t="str">
        <f t="shared" si="24"/>
        <v/>
      </c>
      <c r="AY7" s="47"/>
      <c r="AZ7" s="26" t="str">
        <f t="shared" si="25"/>
        <v/>
      </c>
      <c r="BA7" s="23"/>
      <c r="BB7" s="45" t="str">
        <f t="shared" si="26"/>
        <v/>
      </c>
      <c r="BC7" s="25"/>
      <c r="BD7" s="45" t="str">
        <f t="shared" si="27"/>
        <v/>
      </c>
      <c r="BE7" s="47"/>
      <c r="BF7" s="26"/>
      <c r="BG7" s="23"/>
      <c r="BH7" s="45" t="str">
        <f t="shared" si="28"/>
        <v/>
      </c>
      <c r="BI7" s="25"/>
      <c r="BJ7" s="45" t="str">
        <f t="shared" si="29"/>
        <v/>
      </c>
      <c r="BK7" s="27">
        <v>0.0</v>
      </c>
      <c r="BL7" s="23"/>
      <c r="BM7" s="45" t="str">
        <f t="shared" si="30"/>
        <v/>
      </c>
      <c r="BN7" s="25"/>
      <c r="BO7" s="45" t="str">
        <f t="shared" si="31"/>
        <v/>
      </c>
      <c r="BP7" s="27">
        <v>0.0</v>
      </c>
      <c r="BQ7" s="33"/>
      <c r="BR7" s="23"/>
      <c r="BS7" s="45" t="str">
        <f t="shared" si="32"/>
        <v/>
      </c>
      <c r="BT7" s="25"/>
      <c r="BU7" s="45" t="str">
        <f t="shared" si="33"/>
        <v/>
      </c>
      <c r="BV7" s="29" t="str">
        <f t="shared" si="34"/>
        <v/>
      </c>
      <c r="BW7" s="29">
        <f t="shared" si="35"/>
        <v>0</v>
      </c>
      <c r="BX7" s="29">
        <f t="shared" si="36"/>
        <v>0</v>
      </c>
      <c r="BY7" s="26" t="str">
        <f t="shared" si="37"/>
        <v/>
      </c>
      <c r="BZ7" s="23"/>
      <c r="CA7" s="45" t="str">
        <f t="shared" si="38"/>
        <v/>
      </c>
      <c r="CB7" s="25"/>
      <c r="CC7" s="45" t="str">
        <f t="shared" si="39"/>
        <v/>
      </c>
      <c r="CD7" s="47"/>
      <c r="CE7" s="26" t="str">
        <f t="shared" si="40"/>
        <v/>
      </c>
      <c r="CF7" s="23"/>
      <c r="CG7" s="45" t="str">
        <f t="shared" si="41"/>
        <v/>
      </c>
      <c r="CH7" s="25"/>
      <c r="CI7" s="45" t="str">
        <f t="shared" si="42"/>
        <v/>
      </c>
      <c r="CJ7" s="47"/>
      <c r="CK7" s="26"/>
      <c r="CL7" s="23"/>
      <c r="CM7" s="45" t="str">
        <f t="shared" si="43"/>
        <v/>
      </c>
      <c r="CN7" s="25"/>
      <c r="CO7" s="45" t="str">
        <f t="shared" si="44"/>
        <v/>
      </c>
      <c r="CP7" s="27">
        <v>0.0</v>
      </c>
    </row>
    <row r="8">
      <c r="A8" s="26" t="str">
        <f t="shared" si="1"/>
        <v/>
      </c>
      <c r="B8" s="27"/>
      <c r="C8" s="81"/>
      <c r="D8" s="27"/>
      <c r="E8" s="82"/>
      <c r="F8" s="20"/>
      <c r="G8" s="20"/>
      <c r="H8" s="20"/>
      <c r="I8" s="23"/>
      <c r="J8" s="33"/>
      <c r="K8" s="26" t="str">
        <f t="shared" si="2"/>
        <v/>
      </c>
      <c r="L8" s="23"/>
      <c r="M8" s="45" t="str">
        <f t="shared" si="3"/>
        <v/>
      </c>
      <c r="N8" s="25"/>
      <c r="O8" s="45" t="str">
        <f t="shared" si="4"/>
        <v/>
      </c>
      <c r="P8" s="29" t="str">
        <f t="shared" si="5"/>
        <v/>
      </c>
      <c r="Q8" s="29">
        <f t="shared" si="6"/>
        <v>0</v>
      </c>
      <c r="R8" s="29">
        <f t="shared" si="7"/>
        <v>0</v>
      </c>
      <c r="S8" s="26" t="str">
        <f t="shared" si="8"/>
        <v/>
      </c>
      <c r="T8" s="23"/>
      <c r="U8" s="45" t="str">
        <f t="shared" si="9"/>
        <v/>
      </c>
      <c r="V8" s="25"/>
      <c r="W8" s="45" t="str">
        <f t="shared" si="10"/>
        <v/>
      </c>
      <c r="X8" s="47"/>
      <c r="Y8" s="26" t="str">
        <f t="shared" si="11"/>
        <v/>
      </c>
      <c r="Z8" s="23"/>
      <c r="AA8" s="45" t="str">
        <f t="shared" si="12"/>
        <v/>
      </c>
      <c r="AB8" s="25"/>
      <c r="AC8" s="45" t="str">
        <f t="shared" si="13"/>
        <v/>
      </c>
      <c r="AD8" s="47"/>
      <c r="AE8" s="26"/>
      <c r="AF8" s="23"/>
      <c r="AG8" s="45" t="str">
        <f t="shared" si="14"/>
        <v/>
      </c>
      <c r="AH8" s="25"/>
      <c r="AI8" s="45" t="str">
        <f t="shared" si="15"/>
        <v/>
      </c>
      <c r="AJ8" s="27">
        <v>0.0</v>
      </c>
      <c r="AK8" s="33"/>
      <c r="AL8" s="26" t="str">
        <f t="shared" si="16"/>
        <v/>
      </c>
      <c r="AM8" s="23"/>
      <c r="AN8" s="45" t="str">
        <f t="shared" si="17"/>
        <v/>
      </c>
      <c r="AO8" s="25"/>
      <c r="AP8" s="45" t="str">
        <f t="shared" si="18"/>
        <v/>
      </c>
      <c r="AQ8" s="29" t="str">
        <f t="shared" si="19"/>
        <v/>
      </c>
      <c r="AR8" s="29">
        <f t="shared" si="20"/>
        <v>0</v>
      </c>
      <c r="AS8" s="29">
        <f t="shared" si="21"/>
        <v>0</v>
      </c>
      <c r="AT8" s="26" t="str">
        <f t="shared" si="22"/>
        <v/>
      </c>
      <c r="AU8" s="23"/>
      <c r="AV8" s="45" t="str">
        <f t="shared" si="23"/>
        <v/>
      </c>
      <c r="AW8" s="25"/>
      <c r="AX8" s="45" t="str">
        <f t="shared" si="24"/>
        <v/>
      </c>
      <c r="AY8" s="47"/>
      <c r="AZ8" s="26" t="str">
        <f t="shared" si="25"/>
        <v/>
      </c>
      <c r="BA8" s="23"/>
      <c r="BB8" s="45" t="str">
        <f t="shared" si="26"/>
        <v/>
      </c>
      <c r="BC8" s="25"/>
      <c r="BD8" s="45" t="str">
        <f t="shared" si="27"/>
        <v/>
      </c>
      <c r="BE8" s="47"/>
      <c r="BF8" s="26"/>
      <c r="BG8" s="23"/>
      <c r="BH8" s="45" t="str">
        <f t="shared" si="28"/>
        <v/>
      </c>
      <c r="BI8" s="25"/>
      <c r="BJ8" s="45" t="str">
        <f t="shared" si="29"/>
        <v/>
      </c>
      <c r="BK8" s="27">
        <v>0.0</v>
      </c>
      <c r="BL8" s="23"/>
      <c r="BM8" s="45" t="str">
        <f t="shared" si="30"/>
        <v/>
      </c>
      <c r="BN8" s="25"/>
      <c r="BO8" s="45" t="str">
        <f t="shared" si="31"/>
        <v/>
      </c>
      <c r="BP8" s="27">
        <v>0.0</v>
      </c>
      <c r="BQ8" s="33"/>
      <c r="BR8" s="23"/>
      <c r="BS8" s="45" t="str">
        <f t="shared" si="32"/>
        <v/>
      </c>
      <c r="BT8" s="25"/>
      <c r="BU8" s="45" t="str">
        <f t="shared" si="33"/>
        <v/>
      </c>
      <c r="BV8" s="29" t="str">
        <f t="shared" si="34"/>
        <v/>
      </c>
      <c r="BW8" s="29">
        <f t="shared" si="35"/>
        <v>0</v>
      </c>
      <c r="BX8" s="29">
        <f t="shared" si="36"/>
        <v>0</v>
      </c>
      <c r="BY8" s="26" t="str">
        <f t="shared" si="37"/>
        <v/>
      </c>
      <c r="BZ8" s="23"/>
      <c r="CA8" s="45" t="str">
        <f t="shared" si="38"/>
        <v/>
      </c>
      <c r="CB8" s="25"/>
      <c r="CC8" s="45" t="str">
        <f t="shared" si="39"/>
        <v/>
      </c>
      <c r="CD8" s="47"/>
      <c r="CE8" s="26" t="str">
        <f t="shared" si="40"/>
        <v/>
      </c>
      <c r="CF8" s="23"/>
      <c r="CG8" s="45" t="str">
        <f t="shared" si="41"/>
        <v/>
      </c>
      <c r="CH8" s="25"/>
      <c r="CI8" s="45" t="str">
        <f t="shared" si="42"/>
        <v/>
      </c>
      <c r="CJ8" s="47"/>
      <c r="CK8" s="26"/>
      <c r="CL8" s="23"/>
      <c r="CM8" s="45" t="str">
        <f t="shared" si="43"/>
        <v/>
      </c>
      <c r="CN8" s="25"/>
      <c r="CO8" s="45" t="str">
        <f t="shared" si="44"/>
        <v/>
      </c>
      <c r="CP8" s="27">
        <v>0.0</v>
      </c>
    </row>
    <row r="9">
      <c r="A9" s="26" t="str">
        <f t="shared" si="1"/>
        <v/>
      </c>
      <c r="B9" s="27"/>
      <c r="C9" s="81"/>
      <c r="D9" s="27"/>
      <c r="E9" s="82"/>
      <c r="F9" s="20"/>
      <c r="G9" s="20"/>
      <c r="H9" s="20"/>
      <c r="I9" s="23"/>
      <c r="J9" s="33"/>
      <c r="K9" s="26" t="str">
        <f t="shared" si="2"/>
        <v/>
      </c>
      <c r="L9" s="23"/>
      <c r="M9" s="45" t="str">
        <f t="shared" si="3"/>
        <v/>
      </c>
      <c r="N9" s="25"/>
      <c r="O9" s="45" t="str">
        <f t="shared" si="4"/>
        <v/>
      </c>
      <c r="P9" s="29" t="str">
        <f t="shared" si="5"/>
        <v/>
      </c>
      <c r="Q9" s="29">
        <f t="shared" si="6"/>
        <v>0</v>
      </c>
      <c r="R9" s="29">
        <f t="shared" si="7"/>
        <v>0</v>
      </c>
      <c r="S9" s="26" t="str">
        <f t="shared" si="8"/>
        <v/>
      </c>
      <c r="T9" s="23"/>
      <c r="U9" s="45" t="str">
        <f t="shared" si="9"/>
        <v/>
      </c>
      <c r="V9" s="25"/>
      <c r="W9" s="45" t="str">
        <f t="shared" si="10"/>
        <v/>
      </c>
      <c r="X9" s="47"/>
      <c r="Y9" s="26" t="str">
        <f t="shared" si="11"/>
        <v/>
      </c>
      <c r="Z9" s="23"/>
      <c r="AA9" s="45" t="str">
        <f t="shared" si="12"/>
        <v/>
      </c>
      <c r="AB9" s="25"/>
      <c r="AC9" s="45" t="str">
        <f t="shared" si="13"/>
        <v/>
      </c>
      <c r="AD9" s="47"/>
      <c r="AE9" s="26"/>
      <c r="AF9" s="23"/>
      <c r="AG9" s="45" t="str">
        <f t="shared" si="14"/>
        <v/>
      </c>
      <c r="AH9" s="25"/>
      <c r="AI9" s="45" t="str">
        <f t="shared" si="15"/>
        <v/>
      </c>
      <c r="AJ9" s="27">
        <v>0.0</v>
      </c>
      <c r="AK9" s="33"/>
      <c r="AL9" s="26" t="str">
        <f t="shared" si="16"/>
        <v/>
      </c>
      <c r="AM9" s="23"/>
      <c r="AN9" s="45" t="str">
        <f t="shared" si="17"/>
        <v/>
      </c>
      <c r="AO9" s="25"/>
      <c r="AP9" s="45" t="str">
        <f t="shared" si="18"/>
        <v/>
      </c>
      <c r="AQ9" s="29" t="str">
        <f t="shared" si="19"/>
        <v/>
      </c>
      <c r="AR9" s="29">
        <f t="shared" si="20"/>
        <v>0</v>
      </c>
      <c r="AS9" s="29">
        <f t="shared" si="21"/>
        <v>0</v>
      </c>
      <c r="AT9" s="26" t="str">
        <f t="shared" si="22"/>
        <v/>
      </c>
      <c r="AU9" s="23"/>
      <c r="AV9" s="45" t="str">
        <f t="shared" si="23"/>
        <v/>
      </c>
      <c r="AW9" s="25"/>
      <c r="AX9" s="45" t="str">
        <f t="shared" si="24"/>
        <v/>
      </c>
      <c r="AY9" s="47"/>
      <c r="AZ9" s="26" t="str">
        <f t="shared" si="25"/>
        <v/>
      </c>
      <c r="BA9" s="23"/>
      <c r="BB9" s="45" t="str">
        <f t="shared" si="26"/>
        <v/>
      </c>
      <c r="BC9" s="25"/>
      <c r="BD9" s="45" t="str">
        <f t="shared" si="27"/>
        <v/>
      </c>
      <c r="BE9" s="47"/>
      <c r="BF9" s="26"/>
      <c r="BG9" s="23"/>
      <c r="BH9" s="45" t="str">
        <f t="shared" si="28"/>
        <v/>
      </c>
      <c r="BI9" s="25"/>
      <c r="BJ9" s="45" t="str">
        <f t="shared" si="29"/>
        <v/>
      </c>
      <c r="BK9" s="27">
        <v>0.0</v>
      </c>
      <c r="BL9" s="23"/>
      <c r="BM9" s="45" t="str">
        <f t="shared" si="30"/>
        <v/>
      </c>
      <c r="BN9" s="25"/>
      <c r="BO9" s="45" t="str">
        <f t="shared" si="31"/>
        <v/>
      </c>
      <c r="BP9" s="27">
        <v>0.0</v>
      </c>
      <c r="BQ9" s="33"/>
      <c r="BR9" s="23"/>
      <c r="BS9" s="45" t="str">
        <f t="shared" si="32"/>
        <v/>
      </c>
      <c r="BT9" s="25"/>
      <c r="BU9" s="45" t="str">
        <f t="shared" si="33"/>
        <v/>
      </c>
      <c r="BV9" s="29" t="str">
        <f t="shared" si="34"/>
        <v/>
      </c>
      <c r="BW9" s="29">
        <f t="shared" si="35"/>
        <v>0</v>
      </c>
      <c r="BX9" s="29">
        <f t="shared" si="36"/>
        <v>0</v>
      </c>
      <c r="BY9" s="26" t="str">
        <f t="shared" si="37"/>
        <v/>
      </c>
      <c r="BZ9" s="23"/>
      <c r="CA9" s="45" t="str">
        <f t="shared" si="38"/>
        <v/>
      </c>
      <c r="CB9" s="25"/>
      <c r="CC9" s="45" t="str">
        <f t="shared" si="39"/>
        <v/>
      </c>
      <c r="CD9" s="47"/>
      <c r="CE9" s="26" t="str">
        <f t="shared" si="40"/>
        <v/>
      </c>
      <c r="CF9" s="23"/>
      <c r="CG9" s="45" t="str">
        <f t="shared" si="41"/>
        <v/>
      </c>
      <c r="CH9" s="25"/>
      <c r="CI9" s="45" t="str">
        <f t="shared" si="42"/>
        <v/>
      </c>
      <c r="CJ9" s="47"/>
      <c r="CK9" s="26"/>
      <c r="CL9" s="23"/>
      <c r="CM9" s="45" t="str">
        <f t="shared" si="43"/>
        <v/>
      </c>
      <c r="CN9" s="25"/>
      <c r="CO9" s="45" t="str">
        <f t="shared" si="44"/>
        <v/>
      </c>
      <c r="CP9" s="27">
        <v>0.0</v>
      </c>
    </row>
    <row r="10">
      <c r="A10" s="26" t="str">
        <f t="shared" si="1"/>
        <v/>
      </c>
      <c r="B10" s="27"/>
      <c r="C10" s="81"/>
      <c r="D10" s="27"/>
      <c r="E10" s="82"/>
      <c r="F10" s="20"/>
      <c r="G10" s="20"/>
      <c r="H10" s="20"/>
      <c r="I10" s="23"/>
      <c r="J10" s="33"/>
      <c r="K10" s="26" t="str">
        <f t="shared" si="2"/>
        <v/>
      </c>
      <c r="L10" s="23"/>
      <c r="M10" s="45" t="str">
        <f t="shared" si="3"/>
        <v/>
      </c>
      <c r="N10" s="25"/>
      <c r="O10" s="45" t="str">
        <f t="shared" si="4"/>
        <v/>
      </c>
      <c r="P10" s="29" t="str">
        <f t="shared" si="5"/>
        <v/>
      </c>
      <c r="Q10" s="29">
        <f t="shared" si="6"/>
        <v>0</v>
      </c>
      <c r="R10" s="29">
        <f t="shared" si="7"/>
        <v>0</v>
      </c>
      <c r="S10" s="26" t="str">
        <f t="shared" si="8"/>
        <v/>
      </c>
      <c r="T10" s="23"/>
      <c r="U10" s="45" t="str">
        <f t="shared" si="9"/>
        <v/>
      </c>
      <c r="V10" s="25"/>
      <c r="W10" s="45" t="str">
        <f t="shared" si="10"/>
        <v/>
      </c>
      <c r="X10" s="47"/>
      <c r="Y10" s="26" t="str">
        <f t="shared" si="11"/>
        <v/>
      </c>
      <c r="Z10" s="23"/>
      <c r="AA10" s="45" t="str">
        <f t="shared" si="12"/>
        <v/>
      </c>
      <c r="AB10" s="25"/>
      <c r="AC10" s="45" t="str">
        <f t="shared" si="13"/>
        <v/>
      </c>
      <c r="AD10" s="47"/>
      <c r="AE10" s="26"/>
      <c r="AF10" s="23"/>
      <c r="AG10" s="45" t="str">
        <f t="shared" si="14"/>
        <v/>
      </c>
      <c r="AH10" s="25"/>
      <c r="AI10" s="45" t="str">
        <f t="shared" si="15"/>
        <v/>
      </c>
      <c r="AJ10" s="27">
        <v>0.0</v>
      </c>
      <c r="AK10" s="33"/>
      <c r="AL10" s="26" t="str">
        <f t="shared" si="16"/>
        <v/>
      </c>
      <c r="AM10" s="23"/>
      <c r="AN10" s="45" t="str">
        <f t="shared" si="17"/>
        <v/>
      </c>
      <c r="AO10" s="25"/>
      <c r="AP10" s="45" t="str">
        <f t="shared" si="18"/>
        <v/>
      </c>
      <c r="AQ10" s="29" t="str">
        <f t="shared" si="19"/>
        <v/>
      </c>
      <c r="AR10" s="29">
        <f t="shared" si="20"/>
        <v>0</v>
      </c>
      <c r="AS10" s="29">
        <f t="shared" si="21"/>
        <v>0</v>
      </c>
      <c r="AT10" s="26" t="str">
        <f t="shared" si="22"/>
        <v/>
      </c>
      <c r="AU10" s="23"/>
      <c r="AV10" s="45" t="str">
        <f t="shared" si="23"/>
        <v/>
      </c>
      <c r="AW10" s="25"/>
      <c r="AX10" s="45" t="str">
        <f t="shared" si="24"/>
        <v/>
      </c>
      <c r="AY10" s="47"/>
      <c r="AZ10" s="26" t="str">
        <f t="shared" si="25"/>
        <v/>
      </c>
      <c r="BA10" s="23"/>
      <c r="BB10" s="45" t="str">
        <f t="shared" si="26"/>
        <v/>
      </c>
      <c r="BC10" s="25"/>
      <c r="BD10" s="45" t="str">
        <f t="shared" si="27"/>
        <v/>
      </c>
      <c r="BE10" s="47"/>
      <c r="BF10" s="26"/>
      <c r="BG10" s="23"/>
      <c r="BH10" s="45" t="str">
        <f t="shared" si="28"/>
        <v/>
      </c>
      <c r="BI10" s="25"/>
      <c r="BJ10" s="45" t="str">
        <f t="shared" si="29"/>
        <v/>
      </c>
      <c r="BK10" s="27">
        <v>0.0</v>
      </c>
      <c r="BL10" s="23"/>
      <c r="BM10" s="45" t="str">
        <f t="shared" si="30"/>
        <v/>
      </c>
      <c r="BN10" s="25"/>
      <c r="BO10" s="45" t="str">
        <f t="shared" si="31"/>
        <v/>
      </c>
      <c r="BP10" s="27">
        <v>0.0</v>
      </c>
      <c r="BQ10" s="33"/>
      <c r="BR10" s="23"/>
      <c r="BS10" s="45" t="str">
        <f t="shared" si="32"/>
        <v/>
      </c>
      <c r="BT10" s="25"/>
      <c r="BU10" s="45" t="str">
        <f t="shared" si="33"/>
        <v/>
      </c>
      <c r="BV10" s="29" t="str">
        <f t="shared" si="34"/>
        <v/>
      </c>
      <c r="BW10" s="29">
        <f t="shared" si="35"/>
        <v>0</v>
      </c>
      <c r="BX10" s="29">
        <f t="shared" si="36"/>
        <v>0</v>
      </c>
      <c r="BY10" s="26" t="str">
        <f t="shared" si="37"/>
        <v/>
      </c>
      <c r="BZ10" s="23"/>
      <c r="CA10" s="45" t="str">
        <f t="shared" si="38"/>
        <v/>
      </c>
      <c r="CB10" s="25"/>
      <c r="CC10" s="45" t="str">
        <f t="shared" si="39"/>
        <v/>
      </c>
      <c r="CD10" s="47"/>
      <c r="CE10" s="26" t="str">
        <f t="shared" si="40"/>
        <v/>
      </c>
      <c r="CF10" s="23"/>
      <c r="CG10" s="45" t="str">
        <f t="shared" si="41"/>
        <v/>
      </c>
      <c r="CH10" s="25"/>
      <c r="CI10" s="45" t="str">
        <f t="shared" si="42"/>
        <v/>
      </c>
      <c r="CJ10" s="47"/>
      <c r="CK10" s="26"/>
      <c r="CL10" s="23"/>
      <c r="CM10" s="45" t="str">
        <f t="shared" si="43"/>
        <v/>
      </c>
      <c r="CN10" s="25"/>
      <c r="CO10" s="45" t="str">
        <f t="shared" si="44"/>
        <v/>
      </c>
      <c r="CP10" s="27">
        <v>0.0</v>
      </c>
    </row>
    <row r="11">
      <c r="A11" s="26" t="str">
        <f t="shared" si="1"/>
        <v/>
      </c>
      <c r="B11" s="27"/>
      <c r="C11" s="81"/>
      <c r="D11" s="27"/>
      <c r="E11" s="82"/>
      <c r="F11" s="20"/>
      <c r="G11" s="20"/>
      <c r="H11" s="20"/>
      <c r="I11" s="23"/>
      <c r="J11" s="33"/>
      <c r="K11" s="26" t="str">
        <f t="shared" si="2"/>
        <v/>
      </c>
      <c r="L11" s="23"/>
      <c r="M11" s="45" t="str">
        <f t="shared" si="3"/>
        <v/>
      </c>
      <c r="N11" s="25"/>
      <c r="O11" s="45" t="str">
        <f t="shared" si="4"/>
        <v/>
      </c>
      <c r="P11" s="29" t="str">
        <f t="shared" si="5"/>
        <v/>
      </c>
      <c r="Q11" s="29">
        <f t="shared" si="6"/>
        <v>0</v>
      </c>
      <c r="R11" s="29">
        <f t="shared" si="7"/>
        <v>0</v>
      </c>
      <c r="S11" s="26" t="str">
        <f t="shared" si="8"/>
        <v/>
      </c>
      <c r="T11" s="23"/>
      <c r="U11" s="45" t="str">
        <f t="shared" si="9"/>
        <v/>
      </c>
      <c r="V11" s="25"/>
      <c r="W11" s="45" t="str">
        <f t="shared" si="10"/>
        <v/>
      </c>
      <c r="X11" s="47"/>
      <c r="Y11" s="26" t="str">
        <f t="shared" si="11"/>
        <v/>
      </c>
      <c r="Z11" s="23"/>
      <c r="AA11" s="45" t="str">
        <f t="shared" si="12"/>
        <v/>
      </c>
      <c r="AB11" s="25"/>
      <c r="AC11" s="45" t="str">
        <f t="shared" si="13"/>
        <v/>
      </c>
      <c r="AD11" s="47"/>
      <c r="AE11" s="26"/>
      <c r="AF11" s="23"/>
      <c r="AG11" s="45" t="str">
        <f t="shared" si="14"/>
        <v/>
      </c>
      <c r="AH11" s="25"/>
      <c r="AI11" s="45" t="str">
        <f t="shared" si="15"/>
        <v/>
      </c>
      <c r="AJ11" s="27">
        <v>0.0</v>
      </c>
      <c r="AK11" s="33"/>
      <c r="AL11" s="26" t="str">
        <f t="shared" si="16"/>
        <v/>
      </c>
      <c r="AM11" s="23"/>
      <c r="AN11" s="45" t="str">
        <f t="shared" si="17"/>
        <v/>
      </c>
      <c r="AO11" s="25"/>
      <c r="AP11" s="45" t="str">
        <f t="shared" si="18"/>
        <v/>
      </c>
      <c r="AQ11" s="29" t="str">
        <f t="shared" si="19"/>
        <v/>
      </c>
      <c r="AR11" s="29">
        <f t="shared" si="20"/>
        <v>0</v>
      </c>
      <c r="AS11" s="29">
        <f t="shared" si="21"/>
        <v>0</v>
      </c>
      <c r="AT11" s="26" t="str">
        <f t="shared" si="22"/>
        <v/>
      </c>
      <c r="AU11" s="23"/>
      <c r="AV11" s="45" t="str">
        <f t="shared" si="23"/>
        <v/>
      </c>
      <c r="AW11" s="25"/>
      <c r="AX11" s="45" t="str">
        <f t="shared" si="24"/>
        <v/>
      </c>
      <c r="AY11" s="47"/>
      <c r="AZ11" s="26" t="str">
        <f t="shared" si="25"/>
        <v/>
      </c>
      <c r="BA11" s="23"/>
      <c r="BB11" s="45" t="str">
        <f t="shared" si="26"/>
        <v/>
      </c>
      <c r="BC11" s="25"/>
      <c r="BD11" s="45" t="str">
        <f t="shared" si="27"/>
        <v/>
      </c>
      <c r="BE11" s="47"/>
      <c r="BF11" s="26"/>
      <c r="BG11" s="23"/>
      <c r="BH11" s="45" t="str">
        <f t="shared" si="28"/>
        <v/>
      </c>
      <c r="BI11" s="25"/>
      <c r="BJ11" s="45" t="str">
        <f t="shared" si="29"/>
        <v/>
      </c>
      <c r="BK11" s="27">
        <v>0.0</v>
      </c>
      <c r="BL11" s="23"/>
      <c r="BM11" s="45" t="str">
        <f t="shared" si="30"/>
        <v/>
      </c>
      <c r="BN11" s="25"/>
      <c r="BO11" s="45" t="str">
        <f t="shared" si="31"/>
        <v/>
      </c>
      <c r="BP11" s="27">
        <v>0.0</v>
      </c>
      <c r="BQ11" s="33"/>
      <c r="BR11" s="23"/>
      <c r="BS11" s="45" t="str">
        <f t="shared" si="32"/>
        <v/>
      </c>
      <c r="BT11" s="25"/>
      <c r="BU11" s="45" t="str">
        <f t="shared" si="33"/>
        <v/>
      </c>
      <c r="BV11" s="29" t="str">
        <f t="shared" si="34"/>
        <v/>
      </c>
      <c r="BW11" s="29">
        <f t="shared" si="35"/>
        <v>0</v>
      </c>
      <c r="BX11" s="29">
        <f t="shared" si="36"/>
        <v>0</v>
      </c>
      <c r="BY11" s="26" t="str">
        <f t="shared" si="37"/>
        <v/>
      </c>
      <c r="BZ11" s="23"/>
      <c r="CA11" s="45" t="str">
        <f t="shared" si="38"/>
        <v/>
      </c>
      <c r="CB11" s="25"/>
      <c r="CC11" s="45" t="str">
        <f t="shared" si="39"/>
        <v/>
      </c>
      <c r="CD11" s="47"/>
      <c r="CE11" s="26" t="str">
        <f t="shared" si="40"/>
        <v/>
      </c>
      <c r="CF11" s="23"/>
      <c r="CG11" s="45" t="str">
        <f t="shared" si="41"/>
        <v/>
      </c>
      <c r="CH11" s="25"/>
      <c r="CI11" s="45" t="str">
        <f t="shared" si="42"/>
        <v/>
      </c>
      <c r="CJ11" s="47"/>
      <c r="CK11" s="26"/>
      <c r="CL11" s="23"/>
      <c r="CM11" s="45" t="str">
        <f t="shared" si="43"/>
        <v/>
      </c>
      <c r="CN11" s="25"/>
      <c r="CO11" s="45" t="str">
        <f t="shared" si="44"/>
        <v/>
      </c>
      <c r="CP11" s="27">
        <v>0.0</v>
      </c>
    </row>
    <row r="12">
      <c r="A12" s="26" t="str">
        <f t="shared" si="1"/>
        <v/>
      </c>
      <c r="B12" s="27"/>
      <c r="C12" s="81"/>
      <c r="D12" s="27"/>
      <c r="E12" s="82"/>
      <c r="F12" s="20"/>
      <c r="G12" s="20"/>
      <c r="H12" s="20"/>
      <c r="I12" s="23"/>
      <c r="J12" s="33"/>
      <c r="K12" s="26" t="str">
        <f t="shared" si="2"/>
        <v/>
      </c>
      <c r="L12" s="23"/>
      <c r="M12" s="45" t="str">
        <f t="shared" si="3"/>
        <v/>
      </c>
      <c r="N12" s="25"/>
      <c r="O12" s="45" t="str">
        <f t="shared" si="4"/>
        <v/>
      </c>
      <c r="P12" s="29" t="str">
        <f t="shared" si="5"/>
        <v/>
      </c>
      <c r="Q12" s="29">
        <f t="shared" si="6"/>
        <v>0</v>
      </c>
      <c r="R12" s="29">
        <f t="shared" si="7"/>
        <v>0</v>
      </c>
      <c r="S12" s="26" t="str">
        <f t="shared" si="8"/>
        <v/>
      </c>
      <c r="T12" s="23"/>
      <c r="U12" s="45" t="str">
        <f t="shared" si="9"/>
        <v/>
      </c>
      <c r="V12" s="25"/>
      <c r="W12" s="45" t="str">
        <f t="shared" si="10"/>
        <v/>
      </c>
      <c r="X12" s="47"/>
      <c r="Y12" s="26" t="str">
        <f t="shared" si="11"/>
        <v/>
      </c>
      <c r="Z12" s="23"/>
      <c r="AA12" s="45" t="str">
        <f t="shared" si="12"/>
        <v/>
      </c>
      <c r="AB12" s="25"/>
      <c r="AC12" s="45" t="str">
        <f t="shared" si="13"/>
        <v/>
      </c>
      <c r="AD12" s="47"/>
      <c r="AE12" s="26"/>
      <c r="AF12" s="23"/>
      <c r="AG12" s="45" t="str">
        <f t="shared" si="14"/>
        <v/>
      </c>
      <c r="AH12" s="25"/>
      <c r="AI12" s="45" t="str">
        <f t="shared" si="15"/>
        <v/>
      </c>
      <c r="AJ12" s="27">
        <v>0.0</v>
      </c>
      <c r="AK12" s="33"/>
      <c r="AL12" s="26" t="str">
        <f t="shared" si="16"/>
        <v/>
      </c>
      <c r="AM12" s="23"/>
      <c r="AN12" s="45" t="str">
        <f t="shared" si="17"/>
        <v/>
      </c>
      <c r="AO12" s="25"/>
      <c r="AP12" s="45" t="str">
        <f t="shared" si="18"/>
        <v/>
      </c>
      <c r="AQ12" s="29" t="str">
        <f t="shared" si="19"/>
        <v/>
      </c>
      <c r="AR12" s="29">
        <f t="shared" si="20"/>
        <v>0</v>
      </c>
      <c r="AS12" s="29">
        <f t="shared" si="21"/>
        <v>0</v>
      </c>
      <c r="AT12" s="26" t="str">
        <f t="shared" si="22"/>
        <v/>
      </c>
      <c r="AU12" s="23"/>
      <c r="AV12" s="45" t="str">
        <f t="shared" si="23"/>
        <v/>
      </c>
      <c r="AW12" s="25"/>
      <c r="AX12" s="45" t="str">
        <f t="shared" si="24"/>
        <v/>
      </c>
      <c r="AY12" s="47"/>
      <c r="AZ12" s="26" t="str">
        <f t="shared" si="25"/>
        <v/>
      </c>
      <c r="BA12" s="23"/>
      <c r="BB12" s="45" t="str">
        <f t="shared" si="26"/>
        <v/>
      </c>
      <c r="BC12" s="25"/>
      <c r="BD12" s="45" t="str">
        <f t="shared" si="27"/>
        <v/>
      </c>
      <c r="BE12" s="47"/>
      <c r="BF12" s="26"/>
      <c r="BG12" s="23"/>
      <c r="BH12" s="45" t="str">
        <f t="shared" si="28"/>
        <v/>
      </c>
      <c r="BI12" s="25"/>
      <c r="BJ12" s="45" t="str">
        <f t="shared" si="29"/>
        <v/>
      </c>
      <c r="BK12" s="27">
        <v>0.0</v>
      </c>
      <c r="BL12" s="23"/>
      <c r="BM12" s="45" t="str">
        <f t="shared" si="30"/>
        <v/>
      </c>
      <c r="BN12" s="25"/>
      <c r="BO12" s="45" t="str">
        <f t="shared" si="31"/>
        <v/>
      </c>
      <c r="BP12" s="27">
        <v>0.0</v>
      </c>
      <c r="BQ12" s="33"/>
      <c r="BR12" s="23"/>
      <c r="BS12" s="45" t="str">
        <f t="shared" si="32"/>
        <v/>
      </c>
      <c r="BT12" s="25"/>
      <c r="BU12" s="45" t="str">
        <f t="shared" si="33"/>
        <v/>
      </c>
      <c r="BV12" s="29" t="str">
        <f t="shared" si="34"/>
        <v/>
      </c>
      <c r="BW12" s="29">
        <f t="shared" si="35"/>
        <v>0</v>
      </c>
      <c r="BX12" s="29">
        <f t="shared" si="36"/>
        <v>0</v>
      </c>
      <c r="BY12" s="26" t="str">
        <f t="shared" si="37"/>
        <v/>
      </c>
      <c r="BZ12" s="23"/>
      <c r="CA12" s="45" t="str">
        <f t="shared" si="38"/>
        <v/>
      </c>
      <c r="CB12" s="25"/>
      <c r="CC12" s="45" t="str">
        <f t="shared" si="39"/>
        <v/>
      </c>
      <c r="CD12" s="47"/>
      <c r="CE12" s="26" t="str">
        <f t="shared" si="40"/>
        <v/>
      </c>
      <c r="CF12" s="23"/>
      <c r="CG12" s="45" t="str">
        <f t="shared" si="41"/>
        <v/>
      </c>
      <c r="CH12" s="25"/>
      <c r="CI12" s="45" t="str">
        <f t="shared" si="42"/>
        <v/>
      </c>
      <c r="CJ12" s="47"/>
      <c r="CK12" s="26"/>
      <c r="CL12" s="23"/>
      <c r="CM12" s="45" t="str">
        <f t="shared" si="43"/>
        <v/>
      </c>
      <c r="CN12" s="25"/>
      <c r="CO12" s="45" t="str">
        <f t="shared" si="44"/>
        <v/>
      </c>
      <c r="CP12" s="27">
        <v>0.0</v>
      </c>
    </row>
    <row r="13">
      <c r="A13" s="26" t="str">
        <f t="shared" si="1"/>
        <v/>
      </c>
      <c r="B13" s="27"/>
      <c r="C13" s="81"/>
      <c r="D13" s="27"/>
      <c r="E13" s="82"/>
      <c r="F13" s="20"/>
      <c r="G13" s="20"/>
      <c r="H13" s="20"/>
      <c r="I13" s="23"/>
      <c r="J13" s="33"/>
      <c r="K13" s="26" t="str">
        <f t="shared" si="2"/>
        <v/>
      </c>
      <c r="L13" s="23"/>
      <c r="M13" s="45" t="str">
        <f t="shared" si="3"/>
        <v/>
      </c>
      <c r="N13" s="25"/>
      <c r="O13" s="45" t="str">
        <f t="shared" si="4"/>
        <v/>
      </c>
      <c r="P13" s="29" t="str">
        <f t="shared" si="5"/>
        <v/>
      </c>
      <c r="Q13" s="29">
        <f t="shared" si="6"/>
        <v>0</v>
      </c>
      <c r="R13" s="29">
        <f t="shared" si="7"/>
        <v>0</v>
      </c>
      <c r="S13" s="26" t="str">
        <f t="shared" si="8"/>
        <v/>
      </c>
      <c r="T13" s="23"/>
      <c r="U13" s="45" t="str">
        <f t="shared" si="9"/>
        <v/>
      </c>
      <c r="V13" s="25"/>
      <c r="W13" s="45" t="str">
        <f t="shared" si="10"/>
        <v/>
      </c>
      <c r="X13" s="47"/>
      <c r="Y13" s="26" t="str">
        <f t="shared" si="11"/>
        <v/>
      </c>
      <c r="Z13" s="23"/>
      <c r="AA13" s="45" t="str">
        <f t="shared" si="12"/>
        <v/>
      </c>
      <c r="AB13" s="25"/>
      <c r="AC13" s="45" t="str">
        <f t="shared" si="13"/>
        <v/>
      </c>
      <c r="AD13" s="47"/>
      <c r="AE13" s="26"/>
      <c r="AF13" s="23"/>
      <c r="AG13" s="45" t="str">
        <f t="shared" si="14"/>
        <v/>
      </c>
      <c r="AH13" s="25"/>
      <c r="AI13" s="45" t="str">
        <f t="shared" si="15"/>
        <v/>
      </c>
      <c r="AJ13" s="27">
        <v>0.0</v>
      </c>
      <c r="AK13" s="33"/>
      <c r="AL13" s="26" t="str">
        <f t="shared" si="16"/>
        <v/>
      </c>
      <c r="AM13" s="23"/>
      <c r="AN13" s="45" t="str">
        <f t="shared" si="17"/>
        <v/>
      </c>
      <c r="AO13" s="25"/>
      <c r="AP13" s="45" t="str">
        <f t="shared" si="18"/>
        <v/>
      </c>
      <c r="AQ13" s="29" t="str">
        <f t="shared" si="19"/>
        <v/>
      </c>
      <c r="AR13" s="29">
        <f t="shared" si="20"/>
        <v>0</v>
      </c>
      <c r="AS13" s="29">
        <f t="shared" si="21"/>
        <v>0</v>
      </c>
      <c r="AT13" s="26" t="str">
        <f t="shared" si="22"/>
        <v/>
      </c>
      <c r="AU13" s="23"/>
      <c r="AV13" s="45" t="str">
        <f t="shared" si="23"/>
        <v/>
      </c>
      <c r="AW13" s="25"/>
      <c r="AX13" s="45" t="str">
        <f t="shared" si="24"/>
        <v/>
      </c>
      <c r="AY13" s="47"/>
      <c r="AZ13" s="26" t="str">
        <f t="shared" si="25"/>
        <v/>
      </c>
      <c r="BA13" s="23"/>
      <c r="BB13" s="45" t="str">
        <f t="shared" si="26"/>
        <v/>
      </c>
      <c r="BC13" s="25"/>
      <c r="BD13" s="45" t="str">
        <f t="shared" si="27"/>
        <v/>
      </c>
      <c r="BE13" s="47"/>
      <c r="BF13" s="26"/>
      <c r="BG13" s="23"/>
      <c r="BH13" s="45" t="str">
        <f t="shared" si="28"/>
        <v/>
      </c>
      <c r="BI13" s="25"/>
      <c r="BJ13" s="45" t="str">
        <f t="shared" si="29"/>
        <v/>
      </c>
      <c r="BK13" s="27">
        <v>0.0</v>
      </c>
      <c r="BL13" s="23"/>
      <c r="BM13" s="45" t="str">
        <f t="shared" si="30"/>
        <v/>
      </c>
      <c r="BN13" s="25"/>
      <c r="BO13" s="45" t="str">
        <f t="shared" si="31"/>
        <v/>
      </c>
      <c r="BP13" s="27">
        <v>0.0</v>
      </c>
      <c r="BQ13" s="33"/>
      <c r="BR13" s="23"/>
      <c r="BS13" s="45" t="str">
        <f t="shared" si="32"/>
        <v/>
      </c>
      <c r="BT13" s="25"/>
      <c r="BU13" s="45" t="str">
        <f t="shared" si="33"/>
        <v/>
      </c>
      <c r="BV13" s="29" t="str">
        <f t="shared" si="34"/>
        <v/>
      </c>
      <c r="BW13" s="29">
        <f t="shared" si="35"/>
        <v>0</v>
      </c>
      <c r="BX13" s="29">
        <f t="shared" si="36"/>
        <v>0</v>
      </c>
      <c r="BY13" s="26" t="str">
        <f t="shared" si="37"/>
        <v/>
      </c>
      <c r="BZ13" s="23"/>
      <c r="CA13" s="45" t="str">
        <f t="shared" si="38"/>
        <v/>
      </c>
      <c r="CB13" s="25"/>
      <c r="CC13" s="45" t="str">
        <f t="shared" si="39"/>
        <v/>
      </c>
      <c r="CD13" s="47"/>
      <c r="CE13" s="26" t="str">
        <f t="shared" si="40"/>
        <v/>
      </c>
      <c r="CF13" s="23"/>
      <c r="CG13" s="45" t="str">
        <f t="shared" si="41"/>
        <v/>
      </c>
      <c r="CH13" s="25"/>
      <c r="CI13" s="45" t="str">
        <f t="shared" si="42"/>
        <v/>
      </c>
      <c r="CJ13" s="47"/>
      <c r="CK13" s="26"/>
      <c r="CL13" s="23"/>
      <c r="CM13" s="45" t="str">
        <f t="shared" si="43"/>
        <v/>
      </c>
      <c r="CN13" s="25"/>
      <c r="CO13" s="45" t="str">
        <f t="shared" si="44"/>
        <v/>
      </c>
      <c r="CP13" s="27">
        <v>0.0</v>
      </c>
    </row>
    <row r="14">
      <c r="A14" s="26" t="str">
        <f t="shared" si="1"/>
        <v/>
      </c>
      <c r="B14" s="27"/>
      <c r="C14" s="81"/>
      <c r="D14" s="27"/>
      <c r="E14" s="82"/>
      <c r="F14" s="20"/>
      <c r="G14" s="20"/>
      <c r="H14" s="20"/>
      <c r="I14" s="23"/>
      <c r="J14" s="33"/>
      <c r="K14" s="26" t="str">
        <f t="shared" si="2"/>
        <v/>
      </c>
      <c r="L14" s="23"/>
      <c r="M14" s="45" t="str">
        <f t="shared" si="3"/>
        <v/>
      </c>
      <c r="N14" s="25"/>
      <c r="O14" s="45" t="str">
        <f t="shared" si="4"/>
        <v/>
      </c>
      <c r="P14" s="29" t="str">
        <f t="shared" si="5"/>
        <v/>
      </c>
      <c r="Q14" s="29">
        <f t="shared" si="6"/>
        <v>0</v>
      </c>
      <c r="R14" s="29">
        <f t="shared" si="7"/>
        <v>0</v>
      </c>
      <c r="S14" s="26" t="str">
        <f t="shared" si="8"/>
        <v/>
      </c>
      <c r="T14" s="23"/>
      <c r="U14" s="45" t="str">
        <f t="shared" si="9"/>
        <v/>
      </c>
      <c r="V14" s="25"/>
      <c r="W14" s="45" t="str">
        <f t="shared" si="10"/>
        <v/>
      </c>
      <c r="X14" s="47"/>
      <c r="Y14" s="26" t="str">
        <f t="shared" si="11"/>
        <v/>
      </c>
      <c r="Z14" s="23"/>
      <c r="AA14" s="45" t="str">
        <f t="shared" si="12"/>
        <v/>
      </c>
      <c r="AB14" s="25"/>
      <c r="AC14" s="45" t="str">
        <f t="shared" si="13"/>
        <v/>
      </c>
      <c r="AD14" s="47"/>
      <c r="AE14" s="26"/>
      <c r="AF14" s="23"/>
      <c r="AG14" s="45" t="str">
        <f t="shared" si="14"/>
        <v/>
      </c>
      <c r="AH14" s="25"/>
      <c r="AI14" s="45" t="str">
        <f t="shared" si="15"/>
        <v/>
      </c>
      <c r="AJ14" s="27">
        <v>0.0</v>
      </c>
      <c r="AK14" s="33"/>
      <c r="AL14" s="26" t="str">
        <f t="shared" si="16"/>
        <v/>
      </c>
      <c r="AM14" s="23"/>
      <c r="AN14" s="45" t="str">
        <f t="shared" si="17"/>
        <v/>
      </c>
      <c r="AO14" s="25"/>
      <c r="AP14" s="45" t="str">
        <f t="shared" si="18"/>
        <v/>
      </c>
      <c r="AQ14" s="29" t="str">
        <f t="shared" si="19"/>
        <v/>
      </c>
      <c r="AR14" s="29">
        <f t="shared" si="20"/>
        <v>0</v>
      </c>
      <c r="AS14" s="29">
        <f t="shared" si="21"/>
        <v>0</v>
      </c>
      <c r="AT14" s="26" t="str">
        <f t="shared" si="22"/>
        <v/>
      </c>
      <c r="AU14" s="23"/>
      <c r="AV14" s="45" t="str">
        <f t="shared" si="23"/>
        <v/>
      </c>
      <c r="AW14" s="25"/>
      <c r="AX14" s="45" t="str">
        <f t="shared" si="24"/>
        <v/>
      </c>
      <c r="AY14" s="47"/>
      <c r="AZ14" s="26" t="str">
        <f t="shared" si="25"/>
        <v/>
      </c>
      <c r="BA14" s="23"/>
      <c r="BB14" s="45" t="str">
        <f t="shared" si="26"/>
        <v/>
      </c>
      <c r="BC14" s="25"/>
      <c r="BD14" s="45" t="str">
        <f t="shared" si="27"/>
        <v/>
      </c>
      <c r="BE14" s="47"/>
      <c r="BF14" s="26"/>
      <c r="BG14" s="23"/>
      <c r="BH14" s="45" t="str">
        <f t="shared" si="28"/>
        <v/>
      </c>
      <c r="BI14" s="25"/>
      <c r="BJ14" s="45" t="str">
        <f t="shared" si="29"/>
        <v/>
      </c>
      <c r="BK14" s="27">
        <v>0.0</v>
      </c>
      <c r="BL14" s="23"/>
      <c r="BM14" s="45" t="str">
        <f t="shared" si="30"/>
        <v/>
      </c>
      <c r="BN14" s="25"/>
      <c r="BO14" s="45" t="str">
        <f t="shared" si="31"/>
        <v/>
      </c>
      <c r="BP14" s="27">
        <v>0.0</v>
      </c>
      <c r="BQ14" s="33"/>
      <c r="BR14" s="23"/>
      <c r="BS14" s="45" t="str">
        <f t="shared" si="32"/>
        <v/>
      </c>
      <c r="BT14" s="25"/>
      <c r="BU14" s="45" t="str">
        <f t="shared" si="33"/>
        <v/>
      </c>
      <c r="BV14" s="29" t="str">
        <f t="shared" si="34"/>
        <v/>
      </c>
      <c r="BW14" s="29">
        <f t="shared" si="35"/>
        <v>0</v>
      </c>
      <c r="BX14" s="29">
        <f t="shared" si="36"/>
        <v>0</v>
      </c>
      <c r="BY14" s="26" t="str">
        <f t="shared" si="37"/>
        <v/>
      </c>
      <c r="BZ14" s="23"/>
      <c r="CA14" s="45" t="str">
        <f t="shared" si="38"/>
        <v/>
      </c>
      <c r="CB14" s="25"/>
      <c r="CC14" s="45" t="str">
        <f t="shared" si="39"/>
        <v/>
      </c>
      <c r="CD14" s="47"/>
      <c r="CE14" s="26" t="str">
        <f t="shared" si="40"/>
        <v/>
      </c>
      <c r="CF14" s="23"/>
      <c r="CG14" s="45" t="str">
        <f t="shared" si="41"/>
        <v/>
      </c>
      <c r="CH14" s="25"/>
      <c r="CI14" s="45" t="str">
        <f t="shared" si="42"/>
        <v/>
      </c>
      <c r="CJ14" s="47"/>
      <c r="CK14" s="26"/>
      <c r="CL14" s="23"/>
      <c r="CM14" s="45" t="str">
        <f t="shared" si="43"/>
        <v/>
      </c>
      <c r="CN14" s="25"/>
      <c r="CO14" s="45" t="str">
        <f t="shared" si="44"/>
        <v/>
      </c>
      <c r="CP14" s="27">
        <v>0.0</v>
      </c>
    </row>
    <row r="15">
      <c r="A15" s="26" t="str">
        <f t="shared" si="1"/>
        <v/>
      </c>
      <c r="B15" s="27"/>
      <c r="C15" s="81"/>
      <c r="D15" s="27"/>
      <c r="E15" s="82"/>
      <c r="F15" s="20"/>
      <c r="G15" s="20"/>
      <c r="H15" s="20"/>
      <c r="I15" s="23"/>
      <c r="J15" s="33"/>
      <c r="K15" s="26" t="str">
        <f t="shared" si="2"/>
        <v/>
      </c>
      <c r="L15" s="23"/>
      <c r="M15" s="45" t="str">
        <f t="shared" si="3"/>
        <v/>
      </c>
      <c r="N15" s="25"/>
      <c r="O15" s="45" t="str">
        <f t="shared" si="4"/>
        <v/>
      </c>
      <c r="P15" s="29" t="str">
        <f t="shared" si="5"/>
        <v/>
      </c>
      <c r="Q15" s="29">
        <f t="shared" si="6"/>
        <v>0</v>
      </c>
      <c r="R15" s="29">
        <f t="shared" si="7"/>
        <v>0</v>
      </c>
      <c r="S15" s="26" t="str">
        <f t="shared" si="8"/>
        <v/>
      </c>
      <c r="T15" s="23"/>
      <c r="U15" s="45" t="str">
        <f t="shared" si="9"/>
        <v/>
      </c>
      <c r="V15" s="25"/>
      <c r="W15" s="45" t="str">
        <f t="shared" si="10"/>
        <v/>
      </c>
      <c r="X15" s="47"/>
      <c r="Y15" s="26" t="str">
        <f t="shared" si="11"/>
        <v/>
      </c>
      <c r="Z15" s="23"/>
      <c r="AA15" s="45" t="str">
        <f t="shared" si="12"/>
        <v/>
      </c>
      <c r="AB15" s="25"/>
      <c r="AC15" s="45" t="str">
        <f t="shared" si="13"/>
        <v/>
      </c>
      <c r="AD15" s="47"/>
      <c r="AE15" s="26"/>
      <c r="AF15" s="23"/>
      <c r="AG15" s="45" t="str">
        <f t="shared" si="14"/>
        <v/>
      </c>
      <c r="AH15" s="25"/>
      <c r="AI15" s="45" t="str">
        <f t="shared" si="15"/>
        <v/>
      </c>
      <c r="AJ15" s="27">
        <v>0.0</v>
      </c>
      <c r="AK15" s="33"/>
      <c r="AL15" s="26" t="str">
        <f t="shared" si="16"/>
        <v/>
      </c>
      <c r="AM15" s="23"/>
      <c r="AN15" s="45" t="str">
        <f t="shared" si="17"/>
        <v/>
      </c>
      <c r="AO15" s="25"/>
      <c r="AP15" s="45" t="str">
        <f t="shared" si="18"/>
        <v/>
      </c>
      <c r="AQ15" s="29" t="str">
        <f t="shared" si="19"/>
        <v/>
      </c>
      <c r="AR15" s="29">
        <f t="shared" si="20"/>
        <v>0</v>
      </c>
      <c r="AS15" s="29">
        <f t="shared" si="21"/>
        <v>0</v>
      </c>
      <c r="AT15" s="26" t="str">
        <f t="shared" si="22"/>
        <v/>
      </c>
      <c r="AU15" s="23"/>
      <c r="AV15" s="45" t="str">
        <f t="shared" si="23"/>
        <v/>
      </c>
      <c r="AW15" s="25"/>
      <c r="AX15" s="45" t="str">
        <f t="shared" si="24"/>
        <v/>
      </c>
      <c r="AY15" s="47"/>
      <c r="AZ15" s="26" t="str">
        <f t="shared" si="25"/>
        <v/>
      </c>
      <c r="BA15" s="23"/>
      <c r="BB15" s="45" t="str">
        <f t="shared" si="26"/>
        <v/>
      </c>
      <c r="BC15" s="25"/>
      <c r="BD15" s="45" t="str">
        <f t="shared" si="27"/>
        <v/>
      </c>
      <c r="BE15" s="47"/>
      <c r="BF15" s="26"/>
      <c r="BG15" s="23"/>
      <c r="BH15" s="45" t="str">
        <f t="shared" si="28"/>
        <v/>
      </c>
      <c r="BI15" s="25"/>
      <c r="BJ15" s="45" t="str">
        <f t="shared" si="29"/>
        <v/>
      </c>
      <c r="BK15" s="27">
        <v>0.0</v>
      </c>
      <c r="BL15" s="23"/>
      <c r="BM15" s="45" t="str">
        <f t="shared" si="30"/>
        <v/>
      </c>
      <c r="BN15" s="25"/>
      <c r="BO15" s="45" t="str">
        <f t="shared" si="31"/>
        <v/>
      </c>
      <c r="BP15" s="27">
        <v>0.0</v>
      </c>
      <c r="BQ15" s="33"/>
      <c r="BR15" s="23"/>
      <c r="BS15" s="45" t="str">
        <f t="shared" si="32"/>
        <v/>
      </c>
      <c r="BT15" s="25"/>
      <c r="BU15" s="45" t="str">
        <f t="shared" si="33"/>
        <v/>
      </c>
      <c r="BV15" s="29" t="str">
        <f t="shared" si="34"/>
        <v/>
      </c>
      <c r="BW15" s="29">
        <f t="shared" si="35"/>
        <v>0</v>
      </c>
      <c r="BX15" s="29">
        <f t="shared" si="36"/>
        <v>0</v>
      </c>
      <c r="BY15" s="26" t="str">
        <f t="shared" si="37"/>
        <v/>
      </c>
      <c r="BZ15" s="23"/>
      <c r="CA15" s="45" t="str">
        <f t="shared" si="38"/>
        <v/>
      </c>
      <c r="CB15" s="25"/>
      <c r="CC15" s="45" t="str">
        <f t="shared" si="39"/>
        <v/>
      </c>
      <c r="CD15" s="47"/>
      <c r="CE15" s="26" t="str">
        <f t="shared" si="40"/>
        <v/>
      </c>
      <c r="CF15" s="23"/>
      <c r="CG15" s="45" t="str">
        <f t="shared" si="41"/>
        <v/>
      </c>
      <c r="CH15" s="25"/>
      <c r="CI15" s="45" t="str">
        <f t="shared" si="42"/>
        <v/>
      </c>
      <c r="CJ15" s="47"/>
      <c r="CK15" s="26"/>
      <c r="CL15" s="23"/>
      <c r="CM15" s="45" t="str">
        <f t="shared" si="43"/>
        <v/>
      </c>
      <c r="CN15" s="25"/>
      <c r="CO15" s="45" t="str">
        <f t="shared" si="44"/>
        <v/>
      </c>
      <c r="CP15" s="27">
        <v>0.0</v>
      </c>
    </row>
    <row r="16">
      <c r="A16" s="26" t="str">
        <f t="shared" si="1"/>
        <v/>
      </c>
      <c r="B16" s="27"/>
      <c r="C16" s="81"/>
      <c r="D16" s="27"/>
      <c r="E16" s="82"/>
      <c r="F16" s="20"/>
      <c r="G16" s="20"/>
      <c r="H16" s="20"/>
      <c r="I16" s="23"/>
      <c r="J16" s="33"/>
      <c r="K16" s="26" t="str">
        <f t="shared" si="2"/>
        <v/>
      </c>
      <c r="L16" s="23"/>
      <c r="M16" s="45" t="str">
        <f t="shared" si="3"/>
        <v/>
      </c>
      <c r="N16" s="25"/>
      <c r="O16" s="45" t="str">
        <f t="shared" si="4"/>
        <v/>
      </c>
      <c r="P16" s="29" t="str">
        <f t="shared" si="5"/>
        <v/>
      </c>
      <c r="Q16" s="29">
        <f t="shared" si="6"/>
        <v>0</v>
      </c>
      <c r="R16" s="29">
        <f t="shared" si="7"/>
        <v>0</v>
      </c>
      <c r="S16" s="26" t="str">
        <f t="shared" si="8"/>
        <v/>
      </c>
      <c r="T16" s="23"/>
      <c r="U16" s="45" t="str">
        <f t="shared" si="9"/>
        <v/>
      </c>
      <c r="V16" s="25"/>
      <c r="W16" s="45" t="str">
        <f t="shared" si="10"/>
        <v/>
      </c>
      <c r="X16" s="47"/>
      <c r="Y16" s="26" t="str">
        <f t="shared" si="11"/>
        <v/>
      </c>
      <c r="Z16" s="23"/>
      <c r="AA16" s="45" t="str">
        <f t="shared" si="12"/>
        <v/>
      </c>
      <c r="AB16" s="25"/>
      <c r="AC16" s="45" t="str">
        <f t="shared" si="13"/>
        <v/>
      </c>
      <c r="AD16" s="47"/>
      <c r="AE16" s="26"/>
      <c r="AF16" s="23"/>
      <c r="AG16" s="45" t="str">
        <f t="shared" si="14"/>
        <v/>
      </c>
      <c r="AH16" s="25"/>
      <c r="AI16" s="45" t="str">
        <f t="shared" si="15"/>
        <v/>
      </c>
      <c r="AJ16" s="27">
        <v>0.0</v>
      </c>
      <c r="AK16" s="33"/>
      <c r="AL16" s="26" t="str">
        <f t="shared" si="16"/>
        <v/>
      </c>
      <c r="AM16" s="23"/>
      <c r="AN16" s="45" t="str">
        <f t="shared" si="17"/>
        <v/>
      </c>
      <c r="AO16" s="25"/>
      <c r="AP16" s="45" t="str">
        <f t="shared" si="18"/>
        <v/>
      </c>
      <c r="AQ16" s="29" t="str">
        <f t="shared" si="19"/>
        <v/>
      </c>
      <c r="AR16" s="29">
        <f t="shared" si="20"/>
        <v>0</v>
      </c>
      <c r="AS16" s="29">
        <f t="shared" si="21"/>
        <v>0</v>
      </c>
      <c r="AT16" s="26" t="str">
        <f t="shared" si="22"/>
        <v/>
      </c>
      <c r="AU16" s="23"/>
      <c r="AV16" s="45" t="str">
        <f t="shared" si="23"/>
        <v/>
      </c>
      <c r="AW16" s="25"/>
      <c r="AX16" s="45" t="str">
        <f t="shared" si="24"/>
        <v/>
      </c>
      <c r="AY16" s="47"/>
      <c r="AZ16" s="26" t="str">
        <f t="shared" si="25"/>
        <v/>
      </c>
      <c r="BA16" s="23"/>
      <c r="BB16" s="45" t="str">
        <f t="shared" si="26"/>
        <v/>
      </c>
      <c r="BC16" s="25"/>
      <c r="BD16" s="45" t="str">
        <f t="shared" si="27"/>
        <v/>
      </c>
      <c r="BE16" s="47"/>
      <c r="BF16" s="26"/>
      <c r="BG16" s="23"/>
      <c r="BH16" s="45" t="str">
        <f t="shared" si="28"/>
        <v/>
      </c>
      <c r="BI16" s="25"/>
      <c r="BJ16" s="45" t="str">
        <f t="shared" si="29"/>
        <v/>
      </c>
      <c r="BK16" s="27">
        <v>0.0</v>
      </c>
      <c r="BL16" s="23"/>
      <c r="BM16" s="45" t="str">
        <f t="shared" si="30"/>
        <v/>
      </c>
      <c r="BN16" s="25"/>
      <c r="BO16" s="45" t="str">
        <f t="shared" si="31"/>
        <v/>
      </c>
      <c r="BP16" s="27">
        <v>0.0</v>
      </c>
      <c r="BQ16" s="33"/>
      <c r="BR16" s="23"/>
      <c r="BS16" s="45" t="str">
        <f t="shared" si="32"/>
        <v/>
      </c>
      <c r="BT16" s="25"/>
      <c r="BU16" s="45" t="str">
        <f t="shared" si="33"/>
        <v/>
      </c>
      <c r="BV16" s="29" t="str">
        <f t="shared" si="34"/>
        <v/>
      </c>
      <c r="BW16" s="29">
        <f t="shared" si="35"/>
        <v>0</v>
      </c>
      <c r="BX16" s="29">
        <f t="shared" si="36"/>
        <v>0</v>
      </c>
      <c r="BY16" s="26" t="str">
        <f t="shared" si="37"/>
        <v/>
      </c>
      <c r="BZ16" s="23"/>
      <c r="CA16" s="45" t="str">
        <f t="shared" si="38"/>
        <v/>
      </c>
      <c r="CB16" s="25"/>
      <c r="CC16" s="45" t="str">
        <f t="shared" si="39"/>
        <v/>
      </c>
      <c r="CD16" s="47"/>
      <c r="CE16" s="26" t="str">
        <f t="shared" si="40"/>
        <v/>
      </c>
      <c r="CF16" s="23"/>
      <c r="CG16" s="45" t="str">
        <f t="shared" si="41"/>
        <v/>
      </c>
      <c r="CH16" s="25"/>
      <c r="CI16" s="45" t="str">
        <f t="shared" si="42"/>
        <v/>
      </c>
      <c r="CJ16" s="47"/>
      <c r="CK16" s="26"/>
      <c r="CL16" s="23"/>
      <c r="CM16" s="45" t="str">
        <f t="shared" si="43"/>
        <v/>
      </c>
      <c r="CN16" s="25"/>
      <c r="CO16" s="45" t="str">
        <f t="shared" si="44"/>
        <v/>
      </c>
      <c r="CP16" s="27">
        <v>0.0</v>
      </c>
    </row>
    <row r="17">
      <c r="A17" s="26" t="str">
        <f t="shared" si="1"/>
        <v/>
      </c>
      <c r="B17" s="27"/>
      <c r="C17" s="81"/>
      <c r="D17" s="27"/>
      <c r="E17" s="82"/>
      <c r="F17" s="20"/>
      <c r="G17" s="20"/>
      <c r="H17" s="20"/>
      <c r="I17" s="23"/>
      <c r="J17" s="33"/>
      <c r="K17" s="26" t="str">
        <f t="shared" si="2"/>
        <v/>
      </c>
      <c r="L17" s="23"/>
      <c r="M17" s="45" t="str">
        <f t="shared" si="3"/>
        <v/>
      </c>
      <c r="N17" s="25"/>
      <c r="O17" s="45" t="str">
        <f t="shared" si="4"/>
        <v/>
      </c>
      <c r="P17" s="29" t="str">
        <f t="shared" si="5"/>
        <v/>
      </c>
      <c r="Q17" s="29">
        <f t="shared" si="6"/>
        <v>0</v>
      </c>
      <c r="R17" s="29">
        <f t="shared" si="7"/>
        <v>0</v>
      </c>
      <c r="S17" s="26" t="str">
        <f t="shared" si="8"/>
        <v/>
      </c>
      <c r="T17" s="23"/>
      <c r="U17" s="45" t="str">
        <f t="shared" si="9"/>
        <v/>
      </c>
      <c r="V17" s="25"/>
      <c r="W17" s="45" t="str">
        <f t="shared" si="10"/>
        <v/>
      </c>
      <c r="X17" s="47"/>
      <c r="Y17" s="26" t="str">
        <f t="shared" si="11"/>
        <v/>
      </c>
      <c r="Z17" s="23"/>
      <c r="AA17" s="45" t="str">
        <f t="shared" si="12"/>
        <v/>
      </c>
      <c r="AB17" s="25"/>
      <c r="AC17" s="45" t="str">
        <f t="shared" si="13"/>
        <v/>
      </c>
      <c r="AD17" s="47"/>
      <c r="AE17" s="26"/>
      <c r="AF17" s="23"/>
      <c r="AG17" s="45" t="str">
        <f t="shared" si="14"/>
        <v/>
      </c>
      <c r="AH17" s="25"/>
      <c r="AI17" s="45" t="str">
        <f t="shared" si="15"/>
        <v/>
      </c>
      <c r="AJ17" s="27">
        <v>0.0</v>
      </c>
      <c r="AK17" s="33"/>
      <c r="AL17" s="26" t="str">
        <f t="shared" si="16"/>
        <v/>
      </c>
      <c r="AM17" s="23"/>
      <c r="AN17" s="45" t="str">
        <f t="shared" si="17"/>
        <v/>
      </c>
      <c r="AO17" s="25"/>
      <c r="AP17" s="45" t="str">
        <f t="shared" si="18"/>
        <v/>
      </c>
      <c r="AQ17" s="29" t="str">
        <f t="shared" si="19"/>
        <v/>
      </c>
      <c r="AR17" s="29">
        <f t="shared" si="20"/>
        <v>0</v>
      </c>
      <c r="AS17" s="29">
        <f t="shared" si="21"/>
        <v>0</v>
      </c>
      <c r="AT17" s="26" t="str">
        <f t="shared" si="22"/>
        <v/>
      </c>
      <c r="AU17" s="23"/>
      <c r="AV17" s="45" t="str">
        <f t="shared" si="23"/>
        <v/>
      </c>
      <c r="AW17" s="25"/>
      <c r="AX17" s="45" t="str">
        <f t="shared" si="24"/>
        <v/>
      </c>
      <c r="AY17" s="47"/>
      <c r="AZ17" s="26" t="str">
        <f t="shared" si="25"/>
        <v/>
      </c>
      <c r="BA17" s="23"/>
      <c r="BB17" s="45" t="str">
        <f t="shared" si="26"/>
        <v/>
      </c>
      <c r="BC17" s="25"/>
      <c r="BD17" s="45" t="str">
        <f t="shared" si="27"/>
        <v/>
      </c>
      <c r="BE17" s="47"/>
      <c r="BF17" s="26"/>
      <c r="BG17" s="23"/>
      <c r="BH17" s="45" t="str">
        <f t="shared" si="28"/>
        <v/>
      </c>
      <c r="BI17" s="25"/>
      <c r="BJ17" s="45" t="str">
        <f t="shared" si="29"/>
        <v/>
      </c>
      <c r="BK17" s="27">
        <v>0.0</v>
      </c>
      <c r="BL17" s="23"/>
      <c r="BM17" s="45" t="str">
        <f t="shared" si="30"/>
        <v/>
      </c>
      <c r="BN17" s="25"/>
      <c r="BO17" s="45" t="str">
        <f t="shared" si="31"/>
        <v/>
      </c>
      <c r="BP17" s="27">
        <v>0.0</v>
      </c>
      <c r="BQ17" s="33"/>
      <c r="BR17" s="23"/>
      <c r="BS17" s="45" t="str">
        <f t="shared" si="32"/>
        <v/>
      </c>
      <c r="BT17" s="25"/>
      <c r="BU17" s="45" t="str">
        <f t="shared" si="33"/>
        <v/>
      </c>
      <c r="BV17" s="29" t="str">
        <f t="shared" si="34"/>
        <v/>
      </c>
      <c r="BW17" s="29">
        <f t="shared" si="35"/>
        <v>0</v>
      </c>
      <c r="BX17" s="29">
        <f t="shared" si="36"/>
        <v>0</v>
      </c>
      <c r="BY17" s="26" t="str">
        <f t="shared" si="37"/>
        <v/>
      </c>
      <c r="BZ17" s="23"/>
      <c r="CA17" s="45" t="str">
        <f t="shared" si="38"/>
        <v/>
      </c>
      <c r="CB17" s="25"/>
      <c r="CC17" s="45" t="str">
        <f t="shared" si="39"/>
        <v/>
      </c>
      <c r="CD17" s="47"/>
      <c r="CE17" s="26" t="str">
        <f t="shared" si="40"/>
        <v/>
      </c>
      <c r="CF17" s="23"/>
      <c r="CG17" s="45" t="str">
        <f t="shared" si="41"/>
        <v/>
      </c>
      <c r="CH17" s="25"/>
      <c r="CI17" s="45" t="str">
        <f t="shared" si="42"/>
        <v/>
      </c>
      <c r="CJ17" s="47"/>
      <c r="CK17" s="26"/>
      <c r="CL17" s="23"/>
      <c r="CM17" s="45" t="str">
        <f t="shared" si="43"/>
        <v/>
      </c>
      <c r="CN17" s="25"/>
      <c r="CO17" s="45" t="str">
        <f t="shared" si="44"/>
        <v/>
      </c>
      <c r="CP17" s="27">
        <v>0.0</v>
      </c>
    </row>
    <row r="18">
      <c r="A18" s="26" t="str">
        <f t="shared" si="1"/>
        <v/>
      </c>
      <c r="B18" s="27"/>
      <c r="C18" s="81"/>
      <c r="D18" s="27"/>
      <c r="E18" s="82"/>
      <c r="F18" s="20"/>
      <c r="G18" s="20"/>
      <c r="H18" s="20"/>
      <c r="I18" s="23"/>
      <c r="J18" s="33"/>
      <c r="K18" s="26" t="str">
        <f t="shared" si="2"/>
        <v/>
      </c>
      <c r="L18" s="23"/>
      <c r="M18" s="45" t="str">
        <f t="shared" si="3"/>
        <v/>
      </c>
      <c r="N18" s="25"/>
      <c r="O18" s="45" t="str">
        <f t="shared" si="4"/>
        <v/>
      </c>
      <c r="P18" s="29" t="str">
        <f t="shared" si="5"/>
        <v/>
      </c>
      <c r="Q18" s="29">
        <f t="shared" si="6"/>
        <v>0</v>
      </c>
      <c r="R18" s="29">
        <f t="shared" si="7"/>
        <v>0</v>
      </c>
      <c r="S18" s="26" t="str">
        <f t="shared" si="8"/>
        <v/>
      </c>
      <c r="T18" s="23"/>
      <c r="U18" s="45" t="str">
        <f t="shared" si="9"/>
        <v/>
      </c>
      <c r="V18" s="25"/>
      <c r="W18" s="45" t="str">
        <f t="shared" si="10"/>
        <v/>
      </c>
      <c r="X18" s="47"/>
      <c r="Y18" s="26" t="str">
        <f t="shared" si="11"/>
        <v/>
      </c>
      <c r="Z18" s="23"/>
      <c r="AA18" s="45" t="str">
        <f t="shared" si="12"/>
        <v/>
      </c>
      <c r="AB18" s="25"/>
      <c r="AC18" s="45" t="str">
        <f t="shared" si="13"/>
        <v/>
      </c>
      <c r="AD18" s="47"/>
      <c r="AE18" s="26"/>
      <c r="AF18" s="23"/>
      <c r="AG18" s="45" t="str">
        <f t="shared" si="14"/>
        <v/>
      </c>
      <c r="AH18" s="25"/>
      <c r="AI18" s="45" t="str">
        <f t="shared" si="15"/>
        <v/>
      </c>
      <c r="AJ18" s="27">
        <v>0.0</v>
      </c>
      <c r="AK18" s="33"/>
      <c r="AL18" s="26" t="str">
        <f t="shared" si="16"/>
        <v/>
      </c>
      <c r="AM18" s="23"/>
      <c r="AN18" s="45" t="str">
        <f t="shared" si="17"/>
        <v/>
      </c>
      <c r="AO18" s="25"/>
      <c r="AP18" s="45" t="str">
        <f t="shared" si="18"/>
        <v/>
      </c>
      <c r="AQ18" s="29" t="str">
        <f t="shared" si="19"/>
        <v/>
      </c>
      <c r="AR18" s="29">
        <f t="shared" si="20"/>
        <v>0</v>
      </c>
      <c r="AS18" s="29">
        <f t="shared" si="21"/>
        <v>0</v>
      </c>
      <c r="AT18" s="26" t="str">
        <f t="shared" si="22"/>
        <v/>
      </c>
      <c r="AU18" s="23"/>
      <c r="AV18" s="45" t="str">
        <f t="shared" si="23"/>
        <v/>
      </c>
      <c r="AW18" s="25"/>
      <c r="AX18" s="45" t="str">
        <f t="shared" si="24"/>
        <v/>
      </c>
      <c r="AY18" s="47"/>
      <c r="AZ18" s="26" t="str">
        <f t="shared" si="25"/>
        <v/>
      </c>
      <c r="BA18" s="23"/>
      <c r="BB18" s="45" t="str">
        <f t="shared" si="26"/>
        <v/>
      </c>
      <c r="BC18" s="25"/>
      <c r="BD18" s="45" t="str">
        <f t="shared" si="27"/>
        <v/>
      </c>
      <c r="BE18" s="47"/>
      <c r="BF18" s="26"/>
      <c r="BG18" s="23"/>
      <c r="BH18" s="45" t="str">
        <f t="shared" si="28"/>
        <v/>
      </c>
      <c r="BI18" s="25"/>
      <c r="BJ18" s="45" t="str">
        <f t="shared" si="29"/>
        <v/>
      </c>
      <c r="BK18" s="27">
        <v>0.0</v>
      </c>
      <c r="BL18" s="23"/>
      <c r="BM18" s="45" t="str">
        <f t="shared" si="30"/>
        <v/>
      </c>
      <c r="BN18" s="25"/>
      <c r="BO18" s="45" t="str">
        <f t="shared" si="31"/>
        <v/>
      </c>
      <c r="BP18" s="27">
        <v>0.0</v>
      </c>
      <c r="BQ18" s="33"/>
      <c r="BR18" s="23"/>
      <c r="BS18" s="45" t="str">
        <f t="shared" si="32"/>
        <v/>
      </c>
      <c r="BT18" s="25"/>
      <c r="BU18" s="45" t="str">
        <f t="shared" si="33"/>
        <v/>
      </c>
      <c r="BV18" s="29" t="str">
        <f t="shared" si="34"/>
        <v/>
      </c>
      <c r="BW18" s="29">
        <f t="shared" si="35"/>
        <v>0</v>
      </c>
      <c r="BX18" s="29">
        <f t="shared" si="36"/>
        <v>0</v>
      </c>
      <c r="BY18" s="26" t="str">
        <f t="shared" si="37"/>
        <v/>
      </c>
      <c r="BZ18" s="23"/>
      <c r="CA18" s="45" t="str">
        <f t="shared" si="38"/>
        <v/>
      </c>
      <c r="CB18" s="25"/>
      <c r="CC18" s="45" t="str">
        <f t="shared" si="39"/>
        <v/>
      </c>
      <c r="CD18" s="47"/>
      <c r="CE18" s="26" t="str">
        <f t="shared" si="40"/>
        <v/>
      </c>
      <c r="CF18" s="23"/>
      <c r="CG18" s="45" t="str">
        <f t="shared" si="41"/>
        <v/>
      </c>
      <c r="CH18" s="25"/>
      <c r="CI18" s="45" t="str">
        <f t="shared" si="42"/>
        <v/>
      </c>
      <c r="CJ18" s="47"/>
      <c r="CK18" s="26"/>
      <c r="CL18" s="23"/>
      <c r="CM18" s="45" t="str">
        <f t="shared" si="43"/>
        <v/>
      </c>
      <c r="CN18" s="25"/>
      <c r="CO18" s="45" t="str">
        <f t="shared" si="44"/>
        <v/>
      </c>
      <c r="CP18" s="27">
        <v>0.0</v>
      </c>
    </row>
    <row r="19">
      <c r="A19" s="26" t="str">
        <f t="shared" si="1"/>
        <v/>
      </c>
      <c r="B19" s="27"/>
      <c r="C19" s="81"/>
      <c r="D19" s="27"/>
      <c r="E19" s="82"/>
      <c r="F19" s="20"/>
      <c r="G19" s="20"/>
      <c r="H19" s="20"/>
      <c r="I19" s="23"/>
      <c r="J19" s="33"/>
      <c r="K19" s="26" t="str">
        <f t="shared" si="2"/>
        <v/>
      </c>
      <c r="L19" s="23"/>
      <c r="M19" s="45" t="str">
        <f t="shared" si="3"/>
        <v/>
      </c>
      <c r="N19" s="25"/>
      <c r="O19" s="45" t="str">
        <f t="shared" si="4"/>
        <v/>
      </c>
      <c r="P19" s="29" t="str">
        <f t="shared" si="5"/>
        <v/>
      </c>
      <c r="Q19" s="29">
        <f t="shared" si="6"/>
        <v>0</v>
      </c>
      <c r="R19" s="29">
        <f t="shared" si="7"/>
        <v>0</v>
      </c>
      <c r="S19" s="26" t="str">
        <f t="shared" si="8"/>
        <v/>
      </c>
      <c r="T19" s="23"/>
      <c r="U19" s="45" t="str">
        <f t="shared" si="9"/>
        <v/>
      </c>
      <c r="V19" s="25"/>
      <c r="W19" s="45" t="str">
        <f t="shared" si="10"/>
        <v/>
      </c>
      <c r="X19" s="47"/>
      <c r="Y19" s="26" t="str">
        <f t="shared" si="11"/>
        <v/>
      </c>
      <c r="Z19" s="23"/>
      <c r="AA19" s="45" t="str">
        <f t="shared" si="12"/>
        <v/>
      </c>
      <c r="AB19" s="25"/>
      <c r="AC19" s="45" t="str">
        <f t="shared" si="13"/>
        <v/>
      </c>
      <c r="AD19" s="47"/>
      <c r="AE19" s="26"/>
      <c r="AF19" s="23"/>
      <c r="AG19" s="45" t="str">
        <f t="shared" si="14"/>
        <v/>
      </c>
      <c r="AH19" s="25"/>
      <c r="AI19" s="45" t="str">
        <f t="shared" si="15"/>
        <v/>
      </c>
      <c r="AJ19" s="27">
        <v>0.0</v>
      </c>
      <c r="AK19" s="33"/>
      <c r="AL19" s="26" t="str">
        <f t="shared" si="16"/>
        <v/>
      </c>
      <c r="AM19" s="23"/>
      <c r="AN19" s="45" t="str">
        <f t="shared" si="17"/>
        <v/>
      </c>
      <c r="AO19" s="25"/>
      <c r="AP19" s="45" t="str">
        <f t="shared" si="18"/>
        <v/>
      </c>
      <c r="AQ19" s="29" t="str">
        <f t="shared" si="19"/>
        <v/>
      </c>
      <c r="AR19" s="29">
        <f t="shared" si="20"/>
        <v>0</v>
      </c>
      <c r="AS19" s="29">
        <f t="shared" si="21"/>
        <v>0</v>
      </c>
      <c r="AT19" s="26" t="str">
        <f t="shared" si="22"/>
        <v/>
      </c>
      <c r="AU19" s="23"/>
      <c r="AV19" s="45" t="str">
        <f t="shared" si="23"/>
        <v/>
      </c>
      <c r="AW19" s="25"/>
      <c r="AX19" s="45" t="str">
        <f t="shared" si="24"/>
        <v/>
      </c>
      <c r="AY19" s="47"/>
      <c r="AZ19" s="26" t="str">
        <f t="shared" si="25"/>
        <v/>
      </c>
      <c r="BA19" s="23"/>
      <c r="BB19" s="45" t="str">
        <f t="shared" si="26"/>
        <v/>
      </c>
      <c r="BC19" s="25"/>
      <c r="BD19" s="45" t="str">
        <f t="shared" si="27"/>
        <v/>
      </c>
      <c r="BE19" s="47"/>
      <c r="BF19" s="26"/>
      <c r="BG19" s="23"/>
      <c r="BH19" s="45" t="str">
        <f t="shared" si="28"/>
        <v/>
      </c>
      <c r="BI19" s="25"/>
      <c r="BJ19" s="45" t="str">
        <f t="shared" si="29"/>
        <v/>
      </c>
      <c r="BK19" s="27">
        <v>0.0</v>
      </c>
      <c r="BL19" s="23"/>
      <c r="BM19" s="45" t="str">
        <f t="shared" si="30"/>
        <v/>
      </c>
      <c r="BN19" s="25"/>
      <c r="BO19" s="45" t="str">
        <f t="shared" si="31"/>
        <v/>
      </c>
      <c r="BP19" s="27">
        <v>0.0</v>
      </c>
      <c r="BQ19" s="33"/>
      <c r="BR19" s="23"/>
      <c r="BS19" s="45" t="str">
        <f t="shared" si="32"/>
        <v/>
      </c>
      <c r="BT19" s="25"/>
      <c r="BU19" s="45" t="str">
        <f t="shared" si="33"/>
        <v/>
      </c>
      <c r="BV19" s="29" t="str">
        <f t="shared" si="34"/>
        <v/>
      </c>
      <c r="BW19" s="29">
        <f t="shared" si="35"/>
        <v>0</v>
      </c>
      <c r="BX19" s="29">
        <f t="shared" si="36"/>
        <v>0</v>
      </c>
      <c r="BY19" s="26" t="str">
        <f t="shared" si="37"/>
        <v/>
      </c>
      <c r="BZ19" s="23"/>
      <c r="CA19" s="45" t="str">
        <f t="shared" si="38"/>
        <v/>
      </c>
      <c r="CB19" s="25"/>
      <c r="CC19" s="45" t="str">
        <f t="shared" si="39"/>
        <v/>
      </c>
      <c r="CD19" s="47"/>
      <c r="CE19" s="26" t="str">
        <f t="shared" si="40"/>
        <v/>
      </c>
      <c r="CF19" s="23"/>
      <c r="CG19" s="45" t="str">
        <f t="shared" si="41"/>
        <v/>
      </c>
      <c r="CH19" s="25"/>
      <c r="CI19" s="45" t="str">
        <f t="shared" si="42"/>
        <v/>
      </c>
      <c r="CJ19" s="47"/>
      <c r="CK19" s="26"/>
      <c r="CL19" s="23"/>
      <c r="CM19" s="45" t="str">
        <f t="shared" si="43"/>
        <v/>
      </c>
      <c r="CN19" s="25"/>
      <c r="CO19" s="45" t="str">
        <f t="shared" si="44"/>
        <v/>
      </c>
      <c r="CP19" s="27">
        <v>0.0</v>
      </c>
    </row>
    <row r="20">
      <c r="A20" s="26" t="str">
        <f t="shared" si="1"/>
        <v/>
      </c>
      <c r="B20" s="27"/>
      <c r="C20" s="81"/>
      <c r="D20" s="27"/>
      <c r="E20" s="82"/>
      <c r="F20" s="20"/>
      <c r="G20" s="20"/>
      <c r="H20" s="20"/>
      <c r="I20" s="23"/>
      <c r="J20" s="33"/>
      <c r="K20" s="26" t="str">
        <f t="shared" si="2"/>
        <v/>
      </c>
      <c r="L20" s="23"/>
      <c r="M20" s="45" t="str">
        <f t="shared" si="3"/>
        <v/>
      </c>
      <c r="N20" s="25"/>
      <c r="O20" s="45" t="str">
        <f t="shared" si="4"/>
        <v/>
      </c>
      <c r="P20" s="29" t="str">
        <f t="shared" si="5"/>
        <v/>
      </c>
      <c r="Q20" s="29">
        <f t="shared" si="6"/>
        <v>0</v>
      </c>
      <c r="R20" s="29">
        <f t="shared" si="7"/>
        <v>0</v>
      </c>
      <c r="S20" s="26" t="str">
        <f t="shared" si="8"/>
        <v/>
      </c>
      <c r="T20" s="23"/>
      <c r="U20" s="45" t="str">
        <f t="shared" si="9"/>
        <v/>
      </c>
      <c r="V20" s="25"/>
      <c r="W20" s="45" t="str">
        <f t="shared" si="10"/>
        <v/>
      </c>
      <c r="X20" s="47"/>
      <c r="Y20" s="26" t="str">
        <f t="shared" si="11"/>
        <v/>
      </c>
      <c r="Z20" s="23"/>
      <c r="AA20" s="45" t="str">
        <f t="shared" si="12"/>
        <v/>
      </c>
      <c r="AB20" s="25"/>
      <c r="AC20" s="45" t="str">
        <f t="shared" si="13"/>
        <v/>
      </c>
      <c r="AD20" s="47"/>
      <c r="AE20" s="26"/>
      <c r="AF20" s="23"/>
      <c r="AG20" s="45" t="str">
        <f t="shared" si="14"/>
        <v/>
      </c>
      <c r="AH20" s="25"/>
      <c r="AI20" s="45" t="str">
        <f t="shared" si="15"/>
        <v/>
      </c>
      <c r="AJ20" s="27">
        <v>0.0</v>
      </c>
      <c r="AK20" s="33"/>
      <c r="AL20" s="26" t="str">
        <f t="shared" si="16"/>
        <v/>
      </c>
      <c r="AM20" s="23"/>
      <c r="AN20" s="45" t="str">
        <f t="shared" si="17"/>
        <v/>
      </c>
      <c r="AO20" s="25"/>
      <c r="AP20" s="45" t="str">
        <f t="shared" si="18"/>
        <v/>
      </c>
      <c r="AQ20" s="29" t="str">
        <f t="shared" si="19"/>
        <v/>
      </c>
      <c r="AR20" s="29">
        <f t="shared" si="20"/>
        <v>0</v>
      </c>
      <c r="AS20" s="29">
        <f t="shared" si="21"/>
        <v>0</v>
      </c>
      <c r="AT20" s="26" t="str">
        <f t="shared" si="22"/>
        <v/>
      </c>
      <c r="AU20" s="23"/>
      <c r="AV20" s="45" t="str">
        <f t="shared" si="23"/>
        <v/>
      </c>
      <c r="AW20" s="25"/>
      <c r="AX20" s="45" t="str">
        <f t="shared" si="24"/>
        <v/>
      </c>
      <c r="AY20" s="47"/>
      <c r="AZ20" s="26" t="str">
        <f t="shared" si="25"/>
        <v/>
      </c>
      <c r="BA20" s="23"/>
      <c r="BB20" s="45" t="str">
        <f t="shared" si="26"/>
        <v/>
      </c>
      <c r="BC20" s="25"/>
      <c r="BD20" s="45" t="str">
        <f t="shared" si="27"/>
        <v/>
      </c>
      <c r="BE20" s="47"/>
      <c r="BF20" s="26"/>
      <c r="BG20" s="23"/>
      <c r="BH20" s="45" t="str">
        <f t="shared" si="28"/>
        <v/>
      </c>
      <c r="BI20" s="25"/>
      <c r="BJ20" s="45" t="str">
        <f t="shared" si="29"/>
        <v/>
      </c>
      <c r="BK20" s="27">
        <v>0.0</v>
      </c>
      <c r="BL20" s="23"/>
      <c r="BM20" s="45" t="str">
        <f t="shared" si="30"/>
        <v/>
      </c>
      <c r="BN20" s="25"/>
      <c r="BO20" s="45" t="str">
        <f t="shared" si="31"/>
        <v/>
      </c>
      <c r="BP20" s="27">
        <v>0.0</v>
      </c>
      <c r="BQ20" s="33"/>
      <c r="BR20" s="23"/>
      <c r="BS20" s="45" t="str">
        <f t="shared" si="32"/>
        <v/>
      </c>
      <c r="BT20" s="25"/>
      <c r="BU20" s="45" t="str">
        <f t="shared" si="33"/>
        <v/>
      </c>
      <c r="BV20" s="29" t="str">
        <f t="shared" si="34"/>
        <v/>
      </c>
      <c r="BW20" s="29">
        <f t="shared" si="35"/>
        <v>0</v>
      </c>
      <c r="BX20" s="29">
        <f t="shared" si="36"/>
        <v>0</v>
      </c>
      <c r="BY20" s="26" t="str">
        <f t="shared" si="37"/>
        <v/>
      </c>
      <c r="BZ20" s="23"/>
      <c r="CA20" s="45" t="str">
        <f t="shared" si="38"/>
        <v/>
      </c>
      <c r="CB20" s="25"/>
      <c r="CC20" s="45" t="str">
        <f t="shared" si="39"/>
        <v/>
      </c>
      <c r="CD20" s="47"/>
      <c r="CE20" s="26" t="str">
        <f t="shared" si="40"/>
        <v/>
      </c>
      <c r="CF20" s="23"/>
      <c r="CG20" s="45" t="str">
        <f t="shared" si="41"/>
        <v/>
      </c>
      <c r="CH20" s="25"/>
      <c r="CI20" s="45" t="str">
        <f t="shared" si="42"/>
        <v/>
      </c>
      <c r="CJ20" s="47"/>
      <c r="CK20" s="26"/>
      <c r="CL20" s="23"/>
      <c r="CM20" s="45" t="str">
        <f t="shared" si="43"/>
        <v/>
      </c>
      <c r="CN20" s="25"/>
      <c r="CO20" s="45" t="str">
        <f t="shared" si="44"/>
        <v/>
      </c>
      <c r="CP20" s="27">
        <v>0.0</v>
      </c>
    </row>
    <row r="21">
      <c r="A21" s="26" t="str">
        <f t="shared" si="1"/>
        <v/>
      </c>
      <c r="B21" s="27"/>
      <c r="C21" s="81"/>
      <c r="D21" s="27"/>
      <c r="E21" s="82"/>
      <c r="F21" s="20"/>
      <c r="G21" s="20"/>
      <c r="H21" s="20"/>
      <c r="I21" s="23"/>
      <c r="J21" s="33"/>
      <c r="K21" s="26" t="str">
        <f t="shared" si="2"/>
        <v/>
      </c>
      <c r="L21" s="23"/>
      <c r="M21" s="45" t="str">
        <f t="shared" si="3"/>
        <v/>
      </c>
      <c r="N21" s="25"/>
      <c r="O21" s="45" t="str">
        <f t="shared" si="4"/>
        <v/>
      </c>
      <c r="P21" s="29" t="str">
        <f t="shared" si="5"/>
        <v/>
      </c>
      <c r="Q21" s="29">
        <f t="shared" si="6"/>
        <v>0</v>
      </c>
      <c r="R21" s="29">
        <f t="shared" si="7"/>
        <v>0</v>
      </c>
      <c r="S21" s="26" t="str">
        <f t="shared" si="8"/>
        <v/>
      </c>
      <c r="T21" s="23"/>
      <c r="U21" s="45" t="str">
        <f t="shared" si="9"/>
        <v/>
      </c>
      <c r="V21" s="25"/>
      <c r="W21" s="45" t="str">
        <f t="shared" si="10"/>
        <v/>
      </c>
      <c r="X21" s="47"/>
      <c r="Y21" s="26" t="str">
        <f t="shared" si="11"/>
        <v/>
      </c>
      <c r="Z21" s="23"/>
      <c r="AA21" s="45" t="str">
        <f t="shared" si="12"/>
        <v/>
      </c>
      <c r="AB21" s="25"/>
      <c r="AC21" s="45" t="str">
        <f t="shared" si="13"/>
        <v/>
      </c>
      <c r="AD21" s="47"/>
      <c r="AE21" s="26"/>
      <c r="AF21" s="23"/>
      <c r="AG21" s="45" t="str">
        <f t="shared" si="14"/>
        <v/>
      </c>
      <c r="AH21" s="25"/>
      <c r="AI21" s="45" t="str">
        <f t="shared" si="15"/>
        <v/>
      </c>
      <c r="AJ21" s="27">
        <v>0.0</v>
      </c>
      <c r="AK21" s="33"/>
      <c r="AL21" s="26" t="str">
        <f t="shared" si="16"/>
        <v/>
      </c>
      <c r="AM21" s="23"/>
      <c r="AN21" s="45" t="str">
        <f t="shared" si="17"/>
        <v/>
      </c>
      <c r="AO21" s="25"/>
      <c r="AP21" s="45" t="str">
        <f t="shared" si="18"/>
        <v/>
      </c>
      <c r="AQ21" s="29" t="str">
        <f t="shared" si="19"/>
        <v/>
      </c>
      <c r="AR21" s="29">
        <f t="shared" si="20"/>
        <v>0</v>
      </c>
      <c r="AS21" s="29">
        <f t="shared" si="21"/>
        <v>0</v>
      </c>
      <c r="AT21" s="26" t="str">
        <f t="shared" si="22"/>
        <v/>
      </c>
      <c r="AU21" s="23"/>
      <c r="AV21" s="45" t="str">
        <f t="shared" si="23"/>
        <v/>
      </c>
      <c r="AW21" s="25"/>
      <c r="AX21" s="45" t="str">
        <f t="shared" si="24"/>
        <v/>
      </c>
      <c r="AY21" s="47"/>
      <c r="AZ21" s="26" t="str">
        <f t="shared" si="25"/>
        <v/>
      </c>
      <c r="BA21" s="23"/>
      <c r="BB21" s="45" t="str">
        <f t="shared" si="26"/>
        <v/>
      </c>
      <c r="BC21" s="25"/>
      <c r="BD21" s="45" t="str">
        <f t="shared" si="27"/>
        <v/>
      </c>
      <c r="BE21" s="47"/>
      <c r="BF21" s="26"/>
      <c r="BG21" s="23"/>
      <c r="BH21" s="45" t="str">
        <f t="shared" si="28"/>
        <v/>
      </c>
      <c r="BI21" s="25"/>
      <c r="BJ21" s="45" t="str">
        <f t="shared" si="29"/>
        <v/>
      </c>
      <c r="BK21" s="27">
        <v>0.0</v>
      </c>
      <c r="BL21" s="23"/>
      <c r="BM21" s="45" t="str">
        <f t="shared" si="30"/>
        <v/>
      </c>
      <c r="BN21" s="25"/>
      <c r="BO21" s="45" t="str">
        <f t="shared" si="31"/>
        <v/>
      </c>
      <c r="BP21" s="27">
        <v>0.0</v>
      </c>
      <c r="BQ21" s="33"/>
      <c r="BR21" s="23"/>
      <c r="BS21" s="45" t="str">
        <f t="shared" si="32"/>
        <v/>
      </c>
      <c r="BT21" s="25"/>
      <c r="BU21" s="45" t="str">
        <f t="shared" si="33"/>
        <v/>
      </c>
      <c r="BV21" s="29" t="str">
        <f t="shared" si="34"/>
        <v/>
      </c>
      <c r="BW21" s="29">
        <f t="shared" si="35"/>
        <v>0</v>
      </c>
      <c r="BX21" s="29">
        <f t="shared" si="36"/>
        <v>0</v>
      </c>
      <c r="BY21" s="26" t="str">
        <f t="shared" si="37"/>
        <v/>
      </c>
      <c r="BZ21" s="23"/>
      <c r="CA21" s="45" t="str">
        <f t="shared" si="38"/>
        <v/>
      </c>
      <c r="CB21" s="25"/>
      <c r="CC21" s="45" t="str">
        <f t="shared" si="39"/>
        <v/>
      </c>
      <c r="CD21" s="47"/>
      <c r="CE21" s="26" t="str">
        <f t="shared" si="40"/>
        <v/>
      </c>
      <c r="CF21" s="23"/>
      <c r="CG21" s="45" t="str">
        <f t="shared" si="41"/>
        <v/>
      </c>
      <c r="CH21" s="25"/>
      <c r="CI21" s="45" t="str">
        <f t="shared" si="42"/>
        <v/>
      </c>
      <c r="CJ21" s="47"/>
      <c r="CK21" s="26"/>
      <c r="CL21" s="23"/>
      <c r="CM21" s="45" t="str">
        <f t="shared" si="43"/>
        <v/>
      </c>
      <c r="CN21" s="25"/>
      <c r="CO21" s="45" t="str">
        <f t="shared" si="44"/>
        <v/>
      </c>
      <c r="CP21" s="27">
        <v>0.0</v>
      </c>
    </row>
    <row r="22">
      <c r="A22" s="26" t="str">
        <f t="shared" si="1"/>
        <v/>
      </c>
      <c r="B22" s="27"/>
      <c r="C22" s="81"/>
      <c r="D22" s="27"/>
      <c r="E22" s="82"/>
      <c r="F22" s="20"/>
      <c r="G22" s="20"/>
      <c r="H22" s="20"/>
      <c r="I22" s="23"/>
      <c r="J22" s="33"/>
      <c r="K22" s="26" t="str">
        <f t="shared" si="2"/>
        <v/>
      </c>
      <c r="L22" s="23"/>
      <c r="M22" s="45" t="str">
        <f t="shared" si="3"/>
        <v/>
      </c>
      <c r="N22" s="25"/>
      <c r="O22" s="45" t="str">
        <f t="shared" si="4"/>
        <v/>
      </c>
      <c r="P22" s="29" t="str">
        <f t="shared" si="5"/>
        <v/>
      </c>
      <c r="Q22" s="29">
        <f t="shared" si="6"/>
        <v>0</v>
      </c>
      <c r="R22" s="29">
        <f t="shared" si="7"/>
        <v>0</v>
      </c>
      <c r="S22" s="26" t="str">
        <f t="shared" si="8"/>
        <v/>
      </c>
      <c r="T22" s="23"/>
      <c r="U22" s="45" t="str">
        <f t="shared" si="9"/>
        <v/>
      </c>
      <c r="V22" s="25"/>
      <c r="W22" s="45" t="str">
        <f t="shared" si="10"/>
        <v/>
      </c>
      <c r="X22" s="47"/>
      <c r="Y22" s="26" t="str">
        <f t="shared" si="11"/>
        <v/>
      </c>
      <c r="Z22" s="23"/>
      <c r="AA22" s="45" t="str">
        <f t="shared" si="12"/>
        <v/>
      </c>
      <c r="AB22" s="25"/>
      <c r="AC22" s="45" t="str">
        <f t="shared" si="13"/>
        <v/>
      </c>
      <c r="AD22" s="47"/>
      <c r="AE22" s="26"/>
      <c r="AF22" s="23"/>
      <c r="AG22" s="45" t="str">
        <f t="shared" si="14"/>
        <v/>
      </c>
      <c r="AH22" s="25"/>
      <c r="AI22" s="45" t="str">
        <f t="shared" si="15"/>
        <v/>
      </c>
      <c r="AJ22" s="27">
        <v>0.0</v>
      </c>
      <c r="AK22" s="33"/>
      <c r="AL22" s="26" t="str">
        <f t="shared" si="16"/>
        <v/>
      </c>
      <c r="AM22" s="23"/>
      <c r="AN22" s="45" t="str">
        <f t="shared" si="17"/>
        <v/>
      </c>
      <c r="AO22" s="25"/>
      <c r="AP22" s="45" t="str">
        <f t="shared" si="18"/>
        <v/>
      </c>
      <c r="AQ22" s="29" t="str">
        <f t="shared" si="19"/>
        <v/>
      </c>
      <c r="AR22" s="29">
        <f t="shared" si="20"/>
        <v>0</v>
      </c>
      <c r="AS22" s="29">
        <f t="shared" si="21"/>
        <v>0</v>
      </c>
      <c r="AT22" s="26" t="str">
        <f t="shared" si="22"/>
        <v/>
      </c>
      <c r="AU22" s="23"/>
      <c r="AV22" s="45" t="str">
        <f t="shared" si="23"/>
        <v/>
      </c>
      <c r="AW22" s="25"/>
      <c r="AX22" s="45" t="str">
        <f t="shared" si="24"/>
        <v/>
      </c>
      <c r="AY22" s="47"/>
      <c r="AZ22" s="26" t="str">
        <f t="shared" si="25"/>
        <v/>
      </c>
      <c r="BA22" s="23"/>
      <c r="BB22" s="45" t="str">
        <f t="shared" si="26"/>
        <v/>
      </c>
      <c r="BC22" s="25"/>
      <c r="BD22" s="45" t="str">
        <f t="shared" si="27"/>
        <v/>
      </c>
      <c r="BE22" s="47"/>
      <c r="BF22" s="26"/>
      <c r="BG22" s="23"/>
      <c r="BH22" s="45" t="str">
        <f t="shared" si="28"/>
        <v/>
      </c>
      <c r="BI22" s="25"/>
      <c r="BJ22" s="45" t="str">
        <f t="shared" si="29"/>
        <v/>
      </c>
      <c r="BK22" s="27">
        <v>0.0</v>
      </c>
      <c r="BL22" s="23"/>
      <c r="BM22" s="45" t="str">
        <f t="shared" si="30"/>
        <v/>
      </c>
      <c r="BN22" s="25"/>
      <c r="BO22" s="45" t="str">
        <f t="shared" si="31"/>
        <v/>
      </c>
      <c r="BP22" s="27">
        <v>0.0</v>
      </c>
      <c r="BQ22" s="33"/>
      <c r="BR22" s="23"/>
      <c r="BS22" s="45" t="str">
        <f t="shared" si="32"/>
        <v/>
      </c>
      <c r="BT22" s="25"/>
      <c r="BU22" s="45" t="str">
        <f t="shared" si="33"/>
        <v/>
      </c>
      <c r="BV22" s="29" t="str">
        <f t="shared" si="34"/>
        <v/>
      </c>
      <c r="BW22" s="29">
        <f t="shared" si="35"/>
        <v>0</v>
      </c>
      <c r="BX22" s="29">
        <f t="shared" si="36"/>
        <v>0</v>
      </c>
      <c r="BY22" s="26" t="str">
        <f t="shared" si="37"/>
        <v/>
      </c>
      <c r="BZ22" s="23"/>
      <c r="CA22" s="45" t="str">
        <f t="shared" si="38"/>
        <v/>
      </c>
      <c r="CB22" s="25"/>
      <c r="CC22" s="45" t="str">
        <f t="shared" si="39"/>
        <v/>
      </c>
      <c r="CD22" s="47"/>
      <c r="CE22" s="26" t="str">
        <f t="shared" si="40"/>
        <v/>
      </c>
      <c r="CF22" s="23"/>
      <c r="CG22" s="45" t="str">
        <f t="shared" si="41"/>
        <v/>
      </c>
      <c r="CH22" s="25"/>
      <c r="CI22" s="45" t="str">
        <f t="shared" si="42"/>
        <v/>
      </c>
      <c r="CJ22" s="47"/>
      <c r="CK22" s="26"/>
      <c r="CL22" s="23"/>
      <c r="CM22" s="45" t="str">
        <f t="shared" si="43"/>
        <v/>
      </c>
      <c r="CN22" s="25"/>
      <c r="CO22" s="45" t="str">
        <f t="shared" si="44"/>
        <v/>
      </c>
      <c r="CP22" s="27">
        <v>0.0</v>
      </c>
    </row>
    <row r="23">
      <c r="A23" s="26" t="str">
        <f t="shared" si="1"/>
        <v/>
      </c>
      <c r="B23" s="27"/>
      <c r="C23" s="81"/>
      <c r="D23" s="27"/>
      <c r="E23" s="82"/>
      <c r="F23" s="20"/>
      <c r="G23" s="20"/>
      <c r="H23" s="20"/>
      <c r="I23" s="23"/>
      <c r="J23" s="33"/>
      <c r="K23" s="26" t="str">
        <f t="shared" si="2"/>
        <v/>
      </c>
      <c r="L23" s="23"/>
      <c r="M23" s="45" t="str">
        <f t="shared" si="3"/>
        <v/>
      </c>
      <c r="N23" s="25"/>
      <c r="O23" s="45" t="str">
        <f t="shared" si="4"/>
        <v/>
      </c>
      <c r="P23" s="29" t="str">
        <f t="shared" si="5"/>
        <v/>
      </c>
      <c r="Q23" s="29">
        <f t="shared" si="6"/>
        <v>0</v>
      </c>
      <c r="R23" s="29">
        <f t="shared" si="7"/>
        <v>0</v>
      </c>
      <c r="S23" s="26" t="str">
        <f t="shared" si="8"/>
        <v/>
      </c>
      <c r="T23" s="23"/>
      <c r="U23" s="45" t="str">
        <f t="shared" si="9"/>
        <v/>
      </c>
      <c r="V23" s="25"/>
      <c r="W23" s="45" t="str">
        <f t="shared" si="10"/>
        <v/>
      </c>
      <c r="X23" s="47"/>
      <c r="Y23" s="26" t="str">
        <f t="shared" si="11"/>
        <v/>
      </c>
      <c r="Z23" s="23"/>
      <c r="AA23" s="45" t="str">
        <f t="shared" si="12"/>
        <v/>
      </c>
      <c r="AB23" s="25"/>
      <c r="AC23" s="45" t="str">
        <f t="shared" si="13"/>
        <v/>
      </c>
      <c r="AD23" s="47"/>
      <c r="AE23" s="26"/>
      <c r="AF23" s="23"/>
      <c r="AG23" s="45" t="str">
        <f t="shared" si="14"/>
        <v/>
      </c>
      <c r="AH23" s="25"/>
      <c r="AI23" s="45" t="str">
        <f t="shared" si="15"/>
        <v/>
      </c>
      <c r="AJ23" s="27">
        <v>0.0</v>
      </c>
      <c r="AK23" s="33"/>
      <c r="AL23" s="26" t="str">
        <f t="shared" si="16"/>
        <v/>
      </c>
      <c r="AM23" s="23"/>
      <c r="AN23" s="45" t="str">
        <f t="shared" si="17"/>
        <v/>
      </c>
      <c r="AO23" s="25"/>
      <c r="AP23" s="45" t="str">
        <f t="shared" si="18"/>
        <v/>
      </c>
      <c r="AQ23" s="29" t="str">
        <f t="shared" si="19"/>
        <v/>
      </c>
      <c r="AR23" s="29">
        <f t="shared" si="20"/>
        <v>0</v>
      </c>
      <c r="AS23" s="29">
        <f t="shared" si="21"/>
        <v>0</v>
      </c>
      <c r="AT23" s="26" t="str">
        <f t="shared" si="22"/>
        <v/>
      </c>
      <c r="AU23" s="23"/>
      <c r="AV23" s="45" t="str">
        <f t="shared" si="23"/>
        <v/>
      </c>
      <c r="AW23" s="25"/>
      <c r="AX23" s="45" t="str">
        <f t="shared" si="24"/>
        <v/>
      </c>
      <c r="AY23" s="47"/>
      <c r="AZ23" s="26" t="str">
        <f t="shared" si="25"/>
        <v/>
      </c>
      <c r="BA23" s="23"/>
      <c r="BB23" s="45" t="str">
        <f t="shared" si="26"/>
        <v/>
      </c>
      <c r="BC23" s="25"/>
      <c r="BD23" s="45" t="str">
        <f t="shared" si="27"/>
        <v/>
      </c>
      <c r="BE23" s="47"/>
      <c r="BF23" s="26"/>
      <c r="BG23" s="23"/>
      <c r="BH23" s="45" t="str">
        <f t="shared" si="28"/>
        <v/>
      </c>
      <c r="BI23" s="25"/>
      <c r="BJ23" s="45" t="str">
        <f t="shared" si="29"/>
        <v/>
      </c>
      <c r="BK23" s="27">
        <v>0.0</v>
      </c>
      <c r="BL23" s="23"/>
      <c r="BM23" s="45" t="str">
        <f t="shared" si="30"/>
        <v/>
      </c>
      <c r="BN23" s="25"/>
      <c r="BO23" s="45" t="str">
        <f t="shared" si="31"/>
        <v/>
      </c>
      <c r="BP23" s="27">
        <v>0.0</v>
      </c>
      <c r="BQ23" s="33"/>
      <c r="BR23" s="23"/>
      <c r="BS23" s="45" t="str">
        <f t="shared" si="32"/>
        <v/>
      </c>
      <c r="BT23" s="25"/>
      <c r="BU23" s="45" t="str">
        <f t="shared" si="33"/>
        <v/>
      </c>
      <c r="BV23" s="29" t="str">
        <f t="shared" si="34"/>
        <v/>
      </c>
      <c r="BW23" s="29">
        <f t="shared" si="35"/>
        <v>0</v>
      </c>
      <c r="BX23" s="29">
        <f t="shared" si="36"/>
        <v>0</v>
      </c>
      <c r="BY23" s="26" t="str">
        <f t="shared" si="37"/>
        <v/>
      </c>
      <c r="BZ23" s="23"/>
      <c r="CA23" s="45" t="str">
        <f t="shared" si="38"/>
        <v/>
      </c>
      <c r="CB23" s="25"/>
      <c r="CC23" s="45" t="str">
        <f t="shared" si="39"/>
        <v/>
      </c>
      <c r="CD23" s="47"/>
      <c r="CE23" s="26" t="str">
        <f t="shared" si="40"/>
        <v/>
      </c>
      <c r="CF23" s="23"/>
      <c r="CG23" s="45" t="str">
        <f t="shared" si="41"/>
        <v/>
      </c>
      <c r="CH23" s="25"/>
      <c r="CI23" s="45" t="str">
        <f t="shared" si="42"/>
        <v/>
      </c>
      <c r="CJ23" s="47"/>
      <c r="CK23" s="26"/>
      <c r="CL23" s="23"/>
      <c r="CM23" s="45" t="str">
        <f t="shared" si="43"/>
        <v/>
      </c>
      <c r="CN23" s="25"/>
      <c r="CO23" s="45" t="str">
        <f t="shared" si="44"/>
        <v/>
      </c>
      <c r="CP23" s="27">
        <v>0.0</v>
      </c>
    </row>
    <row r="24">
      <c r="A24" s="26" t="str">
        <f t="shared" si="1"/>
        <v/>
      </c>
      <c r="B24" s="27"/>
      <c r="C24" s="81"/>
      <c r="D24" s="27"/>
      <c r="E24" s="82"/>
      <c r="F24" s="20"/>
      <c r="G24" s="20"/>
      <c r="H24" s="20"/>
      <c r="I24" s="23"/>
      <c r="J24" s="33"/>
      <c r="K24" s="26" t="str">
        <f t="shared" si="2"/>
        <v/>
      </c>
      <c r="L24" s="23"/>
      <c r="M24" s="45" t="str">
        <f t="shared" si="3"/>
        <v/>
      </c>
      <c r="N24" s="25"/>
      <c r="O24" s="45" t="str">
        <f t="shared" si="4"/>
        <v/>
      </c>
      <c r="P24" s="29" t="str">
        <f t="shared" si="5"/>
        <v/>
      </c>
      <c r="Q24" s="29">
        <f t="shared" si="6"/>
        <v>0</v>
      </c>
      <c r="R24" s="29">
        <f t="shared" si="7"/>
        <v>0</v>
      </c>
      <c r="S24" s="26" t="str">
        <f t="shared" si="8"/>
        <v/>
      </c>
      <c r="T24" s="23"/>
      <c r="U24" s="45" t="str">
        <f t="shared" si="9"/>
        <v/>
      </c>
      <c r="V24" s="25"/>
      <c r="W24" s="45" t="str">
        <f t="shared" si="10"/>
        <v/>
      </c>
      <c r="X24" s="47"/>
      <c r="Y24" s="26" t="str">
        <f t="shared" si="11"/>
        <v/>
      </c>
      <c r="Z24" s="23"/>
      <c r="AA24" s="45" t="str">
        <f t="shared" si="12"/>
        <v/>
      </c>
      <c r="AB24" s="25"/>
      <c r="AC24" s="45" t="str">
        <f t="shared" si="13"/>
        <v/>
      </c>
      <c r="AD24" s="47"/>
      <c r="AE24" s="26"/>
      <c r="AF24" s="23"/>
      <c r="AG24" s="45" t="str">
        <f t="shared" si="14"/>
        <v/>
      </c>
      <c r="AH24" s="25"/>
      <c r="AI24" s="45" t="str">
        <f t="shared" si="15"/>
        <v/>
      </c>
      <c r="AJ24" s="27">
        <v>0.0</v>
      </c>
      <c r="AK24" s="33"/>
      <c r="AL24" s="26" t="str">
        <f t="shared" si="16"/>
        <v/>
      </c>
      <c r="AM24" s="23"/>
      <c r="AN24" s="45" t="str">
        <f t="shared" si="17"/>
        <v/>
      </c>
      <c r="AO24" s="25"/>
      <c r="AP24" s="45" t="str">
        <f t="shared" si="18"/>
        <v/>
      </c>
      <c r="AQ24" s="29" t="str">
        <f t="shared" si="19"/>
        <v/>
      </c>
      <c r="AR24" s="29">
        <f t="shared" si="20"/>
        <v>0</v>
      </c>
      <c r="AS24" s="29">
        <f t="shared" si="21"/>
        <v>0</v>
      </c>
      <c r="AT24" s="26" t="str">
        <f t="shared" si="22"/>
        <v/>
      </c>
      <c r="AU24" s="23"/>
      <c r="AV24" s="45" t="str">
        <f t="shared" si="23"/>
        <v/>
      </c>
      <c r="AW24" s="25"/>
      <c r="AX24" s="45" t="str">
        <f t="shared" si="24"/>
        <v/>
      </c>
      <c r="AY24" s="47"/>
      <c r="AZ24" s="26" t="str">
        <f t="shared" si="25"/>
        <v/>
      </c>
      <c r="BA24" s="23"/>
      <c r="BB24" s="45" t="str">
        <f t="shared" si="26"/>
        <v/>
      </c>
      <c r="BC24" s="25"/>
      <c r="BD24" s="45" t="str">
        <f t="shared" si="27"/>
        <v/>
      </c>
      <c r="BE24" s="47"/>
      <c r="BF24" s="26"/>
      <c r="BG24" s="23"/>
      <c r="BH24" s="45" t="str">
        <f t="shared" si="28"/>
        <v/>
      </c>
      <c r="BI24" s="25"/>
      <c r="BJ24" s="45" t="str">
        <f t="shared" si="29"/>
        <v/>
      </c>
      <c r="BK24" s="27">
        <v>0.0</v>
      </c>
      <c r="BL24" s="23"/>
      <c r="BM24" s="45" t="str">
        <f t="shared" si="30"/>
        <v/>
      </c>
      <c r="BN24" s="25"/>
      <c r="BO24" s="45" t="str">
        <f t="shared" si="31"/>
        <v/>
      </c>
      <c r="BP24" s="27">
        <v>0.0</v>
      </c>
      <c r="BQ24" s="33"/>
      <c r="BR24" s="23"/>
      <c r="BS24" s="45" t="str">
        <f t="shared" si="32"/>
        <v/>
      </c>
      <c r="BT24" s="25"/>
      <c r="BU24" s="45" t="str">
        <f t="shared" si="33"/>
        <v/>
      </c>
      <c r="BV24" s="29" t="str">
        <f t="shared" si="34"/>
        <v/>
      </c>
      <c r="BW24" s="29">
        <f t="shared" si="35"/>
        <v>0</v>
      </c>
      <c r="BX24" s="29">
        <f t="shared" si="36"/>
        <v>0</v>
      </c>
      <c r="BY24" s="26" t="str">
        <f t="shared" si="37"/>
        <v/>
      </c>
      <c r="BZ24" s="23"/>
      <c r="CA24" s="45" t="str">
        <f t="shared" si="38"/>
        <v/>
      </c>
      <c r="CB24" s="25"/>
      <c r="CC24" s="45" t="str">
        <f t="shared" si="39"/>
        <v/>
      </c>
      <c r="CD24" s="47"/>
      <c r="CE24" s="26" t="str">
        <f t="shared" si="40"/>
        <v/>
      </c>
      <c r="CF24" s="23"/>
      <c r="CG24" s="45" t="str">
        <f t="shared" si="41"/>
        <v/>
      </c>
      <c r="CH24" s="25"/>
      <c r="CI24" s="45" t="str">
        <f t="shared" si="42"/>
        <v/>
      </c>
      <c r="CJ24" s="47"/>
      <c r="CK24" s="26"/>
      <c r="CL24" s="23"/>
      <c r="CM24" s="45" t="str">
        <f t="shared" si="43"/>
        <v/>
      </c>
      <c r="CN24" s="25"/>
      <c r="CO24" s="45" t="str">
        <f t="shared" si="44"/>
        <v/>
      </c>
      <c r="CP24" s="27">
        <v>0.0</v>
      </c>
    </row>
    <row r="25">
      <c r="A25" s="26" t="str">
        <f t="shared" si="1"/>
        <v/>
      </c>
      <c r="B25" s="27"/>
      <c r="C25" s="81"/>
      <c r="D25" s="27"/>
      <c r="E25" s="82"/>
      <c r="F25" s="20"/>
      <c r="G25" s="20"/>
      <c r="H25" s="20"/>
      <c r="I25" s="23"/>
      <c r="J25" s="33"/>
      <c r="K25" s="26" t="str">
        <f t="shared" si="2"/>
        <v/>
      </c>
      <c r="L25" s="23"/>
      <c r="M25" s="45" t="str">
        <f t="shared" si="3"/>
        <v/>
      </c>
      <c r="N25" s="25"/>
      <c r="O25" s="45" t="str">
        <f t="shared" si="4"/>
        <v/>
      </c>
      <c r="P25" s="29" t="str">
        <f t="shared" si="5"/>
        <v/>
      </c>
      <c r="Q25" s="29">
        <f t="shared" si="6"/>
        <v>0</v>
      </c>
      <c r="R25" s="29">
        <f t="shared" si="7"/>
        <v>0</v>
      </c>
      <c r="S25" s="26" t="str">
        <f t="shared" si="8"/>
        <v/>
      </c>
      <c r="T25" s="23"/>
      <c r="U25" s="45" t="str">
        <f t="shared" si="9"/>
        <v/>
      </c>
      <c r="V25" s="25"/>
      <c r="W25" s="45" t="str">
        <f t="shared" si="10"/>
        <v/>
      </c>
      <c r="X25" s="47"/>
      <c r="Y25" s="26" t="str">
        <f t="shared" si="11"/>
        <v/>
      </c>
      <c r="Z25" s="23"/>
      <c r="AA25" s="45" t="str">
        <f t="shared" si="12"/>
        <v/>
      </c>
      <c r="AB25" s="25"/>
      <c r="AC25" s="45" t="str">
        <f t="shared" si="13"/>
        <v/>
      </c>
      <c r="AD25" s="47"/>
      <c r="AE25" s="26"/>
      <c r="AF25" s="23"/>
      <c r="AG25" s="45" t="str">
        <f t="shared" si="14"/>
        <v/>
      </c>
      <c r="AH25" s="25"/>
      <c r="AI25" s="45" t="str">
        <f t="shared" si="15"/>
        <v/>
      </c>
      <c r="AJ25" s="27">
        <v>0.0</v>
      </c>
      <c r="AK25" s="33"/>
      <c r="AL25" s="26" t="str">
        <f t="shared" si="16"/>
        <v/>
      </c>
      <c r="AM25" s="23"/>
      <c r="AN25" s="45" t="str">
        <f t="shared" si="17"/>
        <v/>
      </c>
      <c r="AO25" s="25"/>
      <c r="AP25" s="45" t="str">
        <f t="shared" si="18"/>
        <v/>
      </c>
      <c r="AQ25" s="29" t="str">
        <f t="shared" si="19"/>
        <v/>
      </c>
      <c r="AR25" s="29">
        <f t="shared" si="20"/>
        <v>0</v>
      </c>
      <c r="AS25" s="29">
        <f t="shared" si="21"/>
        <v>0</v>
      </c>
      <c r="AT25" s="26" t="str">
        <f t="shared" si="22"/>
        <v/>
      </c>
      <c r="AU25" s="23"/>
      <c r="AV25" s="45" t="str">
        <f t="shared" si="23"/>
        <v/>
      </c>
      <c r="AW25" s="25"/>
      <c r="AX25" s="45" t="str">
        <f t="shared" si="24"/>
        <v/>
      </c>
      <c r="AY25" s="47"/>
      <c r="AZ25" s="26" t="str">
        <f t="shared" si="25"/>
        <v/>
      </c>
      <c r="BA25" s="23"/>
      <c r="BB25" s="45" t="str">
        <f t="shared" si="26"/>
        <v/>
      </c>
      <c r="BC25" s="25"/>
      <c r="BD25" s="45" t="str">
        <f t="shared" si="27"/>
        <v/>
      </c>
      <c r="BE25" s="47"/>
      <c r="BF25" s="26"/>
      <c r="BG25" s="23"/>
      <c r="BH25" s="45" t="str">
        <f t="shared" si="28"/>
        <v/>
      </c>
      <c r="BI25" s="25"/>
      <c r="BJ25" s="45" t="str">
        <f t="shared" si="29"/>
        <v/>
      </c>
      <c r="BK25" s="27">
        <v>0.0</v>
      </c>
      <c r="BL25" s="23"/>
      <c r="BM25" s="45" t="str">
        <f t="shared" si="30"/>
        <v/>
      </c>
      <c r="BN25" s="25"/>
      <c r="BO25" s="45" t="str">
        <f t="shared" si="31"/>
        <v/>
      </c>
      <c r="BP25" s="27">
        <v>0.0</v>
      </c>
      <c r="BQ25" s="33"/>
      <c r="BR25" s="23"/>
      <c r="BS25" s="45" t="str">
        <f t="shared" si="32"/>
        <v/>
      </c>
      <c r="BT25" s="25"/>
      <c r="BU25" s="45" t="str">
        <f t="shared" si="33"/>
        <v/>
      </c>
      <c r="BV25" s="29" t="str">
        <f t="shared" si="34"/>
        <v/>
      </c>
      <c r="BW25" s="29">
        <f t="shared" si="35"/>
        <v>0</v>
      </c>
      <c r="BX25" s="29">
        <f t="shared" si="36"/>
        <v>0</v>
      </c>
      <c r="BY25" s="26" t="str">
        <f t="shared" si="37"/>
        <v/>
      </c>
      <c r="BZ25" s="23"/>
      <c r="CA25" s="45" t="str">
        <f t="shared" si="38"/>
        <v/>
      </c>
      <c r="CB25" s="25"/>
      <c r="CC25" s="45" t="str">
        <f t="shared" si="39"/>
        <v/>
      </c>
      <c r="CD25" s="47"/>
      <c r="CE25" s="26" t="str">
        <f t="shared" si="40"/>
        <v/>
      </c>
      <c r="CF25" s="23"/>
      <c r="CG25" s="45" t="str">
        <f t="shared" si="41"/>
        <v/>
      </c>
      <c r="CH25" s="25"/>
      <c r="CI25" s="45" t="str">
        <f t="shared" si="42"/>
        <v/>
      </c>
      <c r="CJ25" s="47"/>
      <c r="CK25" s="26"/>
      <c r="CL25" s="23"/>
      <c r="CM25" s="45" t="str">
        <f t="shared" si="43"/>
        <v/>
      </c>
      <c r="CN25" s="25"/>
      <c r="CO25" s="45" t="str">
        <f t="shared" si="44"/>
        <v/>
      </c>
      <c r="CP25" s="27">
        <v>0.0</v>
      </c>
    </row>
    <row r="26">
      <c r="A26" s="26" t="str">
        <f t="shared" si="1"/>
        <v/>
      </c>
      <c r="B26" s="27"/>
      <c r="C26" s="81"/>
      <c r="D26" s="27"/>
      <c r="E26" s="82"/>
      <c r="F26" s="20"/>
      <c r="G26" s="20"/>
      <c r="H26" s="20"/>
      <c r="I26" s="23"/>
      <c r="J26" s="33"/>
      <c r="K26" s="26" t="str">
        <f t="shared" si="2"/>
        <v/>
      </c>
      <c r="L26" s="23"/>
      <c r="M26" s="45" t="str">
        <f t="shared" si="3"/>
        <v/>
      </c>
      <c r="N26" s="25"/>
      <c r="O26" s="45" t="str">
        <f t="shared" si="4"/>
        <v/>
      </c>
      <c r="P26" s="29" t="str">
        <f t="shared" si="5"/>
        <v/>
      </c>
      <c r="Q26" s="29">
        <f t="shared" si="6"/>
        <v>0</v>
      </c>
      <c r="R26" s="29">
        <f t="shared" si="7"/>
        <v>0</v>
      </c>
      <c r="S26" s="26" t="str">
        <f t="shared" si="8"/>
        <v/>
      </c>
      <c r="T26" s="23"/>
      <c r="U26" s="45" t="str">
        <f t="shared" si="9"/>
        <v/>
      </c>
      <c r="V26" s="25"/>
      <c r="W26" s="45" t="str">
        <f t="shared" si="10"/>
        <v/>
      </c>
      <c r="X26" s="47"/>
      <c r="Y26" s="26" t="str">
        <f t="shared" si="11"/>
        <v/>
      </c>
      <c r="Z26" s="23"/>
      <c r="AA26" s="45" t="str">
        <f t="shared" si="12"/>
        <v/>
      </c>
      <c r="AB26" s="25"/>
      <c r="AC26" s="45" t="str">
        <f t="shared" si="13"/>
        <v/>
      </c>
      <c r="AD26" s="47"/>
      <c r="AE26" s="26"/>
      <c r="AF26" s="23"/>
      <c r="AG26" s="45" t="str">
        <f t="shared" si="14"/>
        <v/>
      </c>
      <c r="AH26" s="25"/>
      <c r="AI26" s="45" t="str">
        <f t="shared" si="15"/>
        <v/>
      </c>
      <c r="AJ26" s="27">
        <v>0.0</v>
      </c>
      <c r="AK26" s="33"/>
      <c r="AL26" s="26" t="str">
        <f t="shared" si="16"/>
        <v/>
      </c>
      <c r="AM26" s="23"/>
      <c r="AN26" s="45" t="str">
        <f t="shared" si="17"/>
        <v/>
      </c>
      <c r="AO26" s="25"/>
      <c r="AP26" s="45" t="str">
        <f t="shared" si="18"/>
        <v/>
      </c>
      <c r="AQ26" s="29" t="str">
        <f t="shared" si="19"/>
        <v/>
      </c>
      <c r="AR26" s="29">
        <f t="shared" si="20"/>
        <v>0</v>
      </c>
      <c r="AS26" s="29">
        <f t="shared" si="21"/>
        <v>0</v>
      </c>
      <c r="AT26" s="26" t="str">
        <f t="shared" si="22"/>
        <v/>
      </c>
      <c r="AU26" s="23"/>
      <c r="AV26" s="45" t="str">
        <f t="shared" si="23"/>
        <v/>
      </c>
      <c r="AW26" s="25"/>
      <c r="AX26" s="45" t="str">
        <f t="shared" si="24"/>
        <v/>
      </c>
      <c r="AY26" s="47"/>
      <c r="AZ26" s="26" t="str">
        <f t="shared" si="25"/>
        <v/>
      </c>
      <c r="BA26" s="23"/>
      <c r="BB26" s="45" t="str">
        <f t="shared" si="26"/>
        <v/>
      </c>
      <c r="BC26" s="25"/>
      <c r="BD26" s="45" t="str">
        <f t="shared" si="27"/>
        <v/>
      </c>
      <c r="BE26" s="47"/>
      <c r="BF26" s="26"/>
      <c r="BG26" s="23"/>
      <c r="BH26" s="45" t="str">
        <f t="shared" si="28"/>
        <v/>
      </c>
      <c r="BI26" s="25"/>
      <c r="BJ26" s="45" t="str">
        <f t="shared" si="29"/>
        <v/>
      </c>
      <c r="BK26" s="27">
        <v>0.0</v>
      </c>
      <c r="BL26" s="23"/>
      <c r="BM26" s="45" t="str">
        <f t="shared" si="30"/>
        <v/>
      </c>
      <c r="BN26" s="25"/>
      <c r="BO26" s="45" t="str">
        <f t="shared" si="31"/>
        <v/>
      </c>
      <c r="BP26" s="27">
        <v>0.0</v>
      </c>
      <c r="BQ26" s="33"/>
      <c r="BR26" s="23"/>
      <c r="BS26" s="45" t="str">
        <f t="shared" si="32"/>
        <v/>
      </c>
      <c r="BT26" s="25"/>
      <c r="BU26" s="45" t="str">
        <f t="shared" si="33"/>
        <v/>
      </c>
      <c r="BV26" s="29" t="str">
        <f t="shared" si="34"/>
        <v/>
      </c>
      <c r="BW26" s="29">
        <f t="shared" si="35"/>
        <v>0</v>
      </c>
      <c r="BX26" s="29">
        <f t="shared" si="36"/>
        <v>0</v>
      </c>
      <c r="BY26" s="26" t="str">
        <f t="shared" si="37"/>
        <v/>
      </c>
      <c r="BZ26" s="23"/>
      <c r="CA26" s="45" t="str">
        <f t="shared" si="38"/>
        <v/>
      </c>
      <c r="CB26" s="25"/>
      <c r="CC26" s="45" t="str">
        <f t="shared" si="39"/>
        <v/>
      </c>
      <c r="CD26" s="47"/>
      <c r="CE26" s="26" t="str">
        <f t="shared" si="40"/>
        <v/>
      </c>
      <c r="CF26" s="23"/>
      <c r="CG26" s="45" t="str">
        <f t="shared" si="41"/>
        <v/>
      </c>
      <c r="CH26" s="25"/>
      <c r="CI26" s="45" t="str">
        <f t="shared" si="42"/>
        <v/>
      </c>
      <c r="CJ26" s="47"/>
      <c r="CK26" s="26"/>
      <c r="CL26" s="23"/>
      <c r="CM26" s="45" t="str">
        <f t="shared" si="43"/>
        <v/>
      </c>
      <c r="CN26" s="25"/>
      <c r="CO26" s="45" t="str">
        <f t="shared" si="44"/>
        <v/>
      </c>
      <c r="CP26" s="27">
        <v>0.0</v>
      </c>
    </row>
    <row r="27">
      <c r="A27" s="26" t="str">
        <f t="shared" si="1"/>
        <v/>
      </c>
      <c r="B27" s="27"/>
      <c r="C27" s="81"/>
      <c r="D27" s="27"/>
      <c r="E27" s="82"/>
      <c r="F27" s="20"/>
      <c r="G27" s="20"/>
      <c r="H27" s="20"/>
      <c r="I27" s="23"/>
      <c r="J27" s="33"/>
      <c r="K27" s="26" t="str">
        <f t="shared" si="2"/>
        <v/>
      </c>
      <c r="L27" s="23"/>
      <c r="M27" s="45" t="str">
        <f t="shared" si="3"/>
        <v/>
      </c>
      <c r="N27" s="25"/>
      <c r="O27" s="45" t="str">
        <f t="shared" si="4"/>
        <v/>
      </c>
      <c r="P27" s="29" t="str">
        <f t="shared" si="5"/>
        <v/>
      </c>
      <c r="Q27" s="29">
        <f t="shared" si="6"/>
        <v>0</v>
      </c>
      <c r="R27" s="29">
        <f t="shared" si="7"/>
        <v>0</v>
      </c>
      <c r="S27" s="26" t="str">
        <f t="shared" si="8"/>
        <v/>
      </c>
      <c r="T27" s="23"/>
      <c r="U27" s="45" t="str">
        <f t="shared" si="9"/>
        <v/>
      </c>
      <c r="V27" s="25"/>
      <c r="W27" s="45" t="str">
        <f t="shared" si="10"/>
        <v/>
      </c>
      <c r="X27" s="47"/>
      <c r="Y27" s="26" t="str">
        <f t="shared" si="11"/>
        <v/>
      </c>
      <c r="Z27" s="23"/>
      <c r="AA27" s="45" t="str">
        <f t="shared" si="12"/>
        <v/>
      </c>
      <c r="AB27" s="25"/>
      <c r="AC27" s="45" t="str">
        <f t="shared" si="13"/>
        <v/>
      </c>
      <c r="AD27" s="47"/>
      <c r="AE27" s="26"/>
      <c r="AF27" s="23"/>
      <c r="AG27" s="45" t="str">
        <f t="shared" si="14"/>
        <v/>
      </c>
      <c r="AH27" s="25"/>
      <c r="AI27" s="45" t="str">
        <f t="shared" si="15"/>
        <v/>
      </c>
      <c r="AJ27" s="27">
        <v>0.0</v>
      </c>
      <c r="AK27" s="33"/>
      <c r="AL27" s="26" t="str">
        <f t="shared" si="16"/>
        <v/>
      </c>
      <c r="AM27" s="23"/>
      <c r="AN27" s="45" t="str">
        <f t="shared" si="17"/>
        <v/>
      </c>
      <c r="AO27" s="25"/>
      <c r="AP27" s="45" t="str">
        <f t="shared" si="18"/>
        <v/>
      </c>
      <c r="AQ27" s="29" t="str">
        <f t="shared" si="19"/>
        <v/>
      </c>
      <c r="AR27" s="29">
        <f t="shared" si="20"/>
        <v>0</v>
      </c>
      <c r="AS27" s="29">
        <f t="shared" si="21"/>
        <v>0</v>
      </c>
      <c r="AT27" s="26" t="str">
        <f t="shared" si="22"/>
        <v/>
      </c>
      <c r="AU27" s="23"/>
      <c r="AV27" s="45" t="str">
        <f t="shared" si="23"/>
        <v/>
      </c>
      <c r="AW27" s="25"/>
      <c r="AX27" s="45" t="str">
        <f t="shared" si="24"/>
        <v/>
      </c>
      <c r="AY27" s="47"/>
      <c r="AZ27" s="26" t="str">
        <f t="shared" si="25"/>
        <v/>
      </c>
      <c r="BA27" s="23"/>
      <c r="BB27" s="45" t="str">
        <f t="shared" si="26"/>
        <v/>
      </c>
      <c r="BC27" s="25"/>
      <c r="BD27" s="45" t="str">
        <f t="shared" si="27"/>
        <v/>
      </c>
      <c r="BE27" s="47"/>
      <c r="BF27" s="26"/>
      <c r="BG27" s="23"/>
      <c r="BH27" s="45" t="str">
        <f t="shared" si="28"/>
        <v/>
      </c>
      <c r="BI27" s="25"/>
      <c r="BJ27" s="45" t="str">
        <f t="shared" si="29"/>
        <v/>
      </c>
      <c r="BK27" s="27">
        <v>0.0</v>
      </c>
      <c r="BL27" s="23"/>
      <c r="BM27" s="45" t="str">
        <f t="shared" si="30"/>
        <v/>
      </c>
      <c r="BN27" s="25"/>
      <c r="BO27" s="45" t="str">
        <f t="shared" si="31"/>
        <v/>
      </c>
      <c r="BP27" s="27">
        <v>0.0</v>
      </c>
      <c r="BQ27" s="33"/>
      <c r="BR27" s="23"/>
      <c r="BS27" s="45" t="str">
        <f t="shared" si="32"/>
        <v/>
      </c>
      <c r="BT27" s="25"/>
      <c r="BU27" s="45" t="str">
        <f t="shared" si="33"/>
        <v/>
      </c>
      <c r="BV27" s="29" t="str">
        <f t="shared" si="34"/>
        <v/>
      </c>
      <c r="BW27" s="29">
        <f t="shared" si="35"/>
        <v>0</v>
      </c>
      <c r="BX27" s="29">
        <f t="shared" si="36"/>
        <v>0</v>
      </c>
      <c r="BY27" s="26" t="str">
        <f t="shared" si="37"/>
        <v/>
      </c>
      <c r="BZ27" s="23"/>
      <c r="CA27" s="45" t="str">
        <f t="shared" si="38"/>
        <v/>
      </c>
      <c r="CB27" s="25"/>
      <c r="CC27" s="45" t="str">
        <f t="shared" si="39"/>
        <v/>
      </c>
      <c r="CD27" s="47"/>
      <c r="CE27" s="26" t="str">
        <f t="shared" si="40"/>
        <v/>
      </c>
      <c r="CF27" s="23"/>
      <c r="CG27" s="45" t="str">
        <f t="shared" si="41"/>
        <v/>
      </c>
      <c r="CH27" s="25"/>
      <c r="CI27" s="45" t="str">
        <f t="shared" si="42"/>
        <v/>
      </c>
      <c r="CJ27" s="47"/>
      <c r="CK27" s="26"/>
      <c r="CL27" s="23"/>
      <c r="CM27" s="45" t="str">
        <f t="shared" si="43"/>
        <v/>
      </c>
      <c r="CN27" s="25"/>
      <c r="CO27" s="45" t="str">
        <f t="shared" si="44"/>
        <v/>
      </c>
      <c r="CP27" s="27">
        <v>0.0</v>
      </c>
    </row>
    <row r="28">
      <c r="A28" s="26" t="str">
        <f t="shared" si="1"/>
        <v/>
      </c>
      <c r="B28" s="26"/>
      <c r="C28" s="81"/>
      <c r="D28" s="27"/>
      <c r="E28" s="82"/>
      <c r="F28" s="20"/>
      <c r="G28" s="20"/>
      <c r="H28" s="20"/>
      <c r="I28" s="23"/>
      <c r="J28" s="33"/>
      <c r="K28" s="26" t="str">
        <f t="shared" si="2"/>
        <v/>
      </c>
      <c r="L28" s="23"/>
      <c r="M28" s="45" t="str">
        <f t="shared" si="3"/>
        <v/>
      </c>
      <c r="N28" s="25"/>
      <c r="O28" s="45" t="str">
        <f t="shared" si="4"/>
        <v/>
      </c>
      <c r="P28" s="29" t="str">
        <f t="shared" si="5"/>
        <v/>
      </c>
      <c r="Q28" s="29">
        <f t="shared" si="6"/>
        <v>0</v>
      </c>
      <c r="R28" s="29">
        <f t="shared" si="7"/>
        <v>0</v>
      </c>
      <c r="S28" s="26" t="str">
        <f t="shared" si="8"/>
        <v/>
      </c>
      <c r="T28" s="23"/>
      <c r="U28" s="45" t="str">
        <f t="shared" si="9"/>
        <v/>
      </c>
      <c r="V28" s="25"/>
      <c r="W28" s="45" t="str">
        <f t="shared" si="10"/>
        <v/>
      </c>
      <c r="X28" s="47"/>
      <c r="Y28" s="26" t="str">
        <f t="shared" si="11"/>
        <v/>
      </c>
      <c r="Z28" s="23"/>
      <c r="AA28" s="45" t="str">
        <f t="shared" si="12"/>
        <v/>
      </c>
      <c r="AB28" s="25"/>
      <c r="AC28" s="45" t="str">
        <f t="shared" si="13"/>
        <v/>
      </c>
      <c r="AD28" s="47"/>
      <c r="AE28" s="26"/>
      <c r="AF28" s="23"/>
      <c r="AG28" s="45" t="str">
        <f t="shared" si="14"/>
        <v/>
      </c>
      <c r="AH28" s="25"/>
      <c r="AI28" s="45" t="str">
        <f t="shared" si="15"/>
        <v/>
      </c>
      <c r="AJ28" s="27">
        <v>0.0</v>
      </c>
      <c r="AK28" s="33"/>
      <c r="AL28" s="26" t="str">
        <f t="shared" si="16"/>
        <v/>
      </c>
      <c r="AM28" s="23"/>
      <c r="AN28" s="45" t="str">
        <f t="shared" si="17"/>
        <v/>
      </c>
      <c r="AO28" s="25"/>
      <c r="AP28" s="45" t="str">
        <f t="shared" si="18"/>
        <v/>
      </c>
      <c r="AQ28" s="29" t="str">
        <f t="shared" si="19"/>
        <v/>
      </c>
      <c r="AR28" s="29">
        <f t="shared" si="20"/>
        <v>0</v>
      </c>
      <c r="AS28" s="29">
        <f t="shared" si="21"/>
        <v>0</v>
      </c>
      <c r="AT28" s="26" t="str">
        <f t="shared" si="22"/>
        <v/>
      </c>
      <c r="AU28" s="23"/>
      <c r="AV28" s="45" t="str">
        <f t="shared" si="23"/>
        <v/>
      </c>
      <c r="AW28" s="25"/>
      <c r="AX28" s="45" t="str">
        <f t="shared" si="24"/>
        <v/>
      </c>
      <c r="AY28" s="47"/>
      <c r="AZ28" s="26" t="str">
        <f t="shared" si="25"/>
        <v/>
      </c>
      <c r="BA28" s="23"/>
      <c r="BB28" s="45" t="str">
        <f t="shared" si="26"/>
        <v/>
      </c>
      <c r="BC28" s="25"/>
      <c r="BD28" s="45" t="str">
        <f t="shared" si="27"/>
        <v/>
      </c>
      <c r="BE28" s="47"/>
      <c r="BF28" s="26"/>
      <c r="BG28" s="23"/>
      <c r="BH28" s="45" t="str">
        <f t="shared" si="28"/>
        <v/>
      </c>
      <c r="BI28" s="25"/>
      <c r="BJ28" s="45" t="str">
        <f t="shared" si="29"/>
        <v/>
      </c>
      <c r="BK28" s="27">
        <v>0.0</v>
      </c>
      <c r="BL28" s="23"/>
      <c r="BM28" s="45" t="str">
        <f t="shared" si="30"/>
        <v/>
      </c>
      <c r="BN28" s="25"/>
      <c r="BO28" s="45" t="str">
        <f t="shared" si="31"/>
        <v/>
      </c>
      <c r="BP28" s="27">
        <v>0.0</v>
      </c>
      <c r="BQ28" s="33"/>
      <c r="BR28" s="23"/>
      <c r="BS28" s="45" t="str">
        <f t="shared" si="32"/>
        <v/>
      </c>
      <c r="BT28" s="25"/>
      <c r="BU28" s="45" t="str">
        <f t="shared" si="33"/>
        <v/>
      </c>
      <c r="BV28" s="29" t="str">
        <f t="shared" si="34"/>
        <v/>
      </c>
      <c r="BW28" s="29">
        <f t="shared" si="35"/>
        <v>0</v>
      </c>
      <c r="BX28" s="29">
        <f t="shared" si="36"/>
        <v>0</v>
      </c>
      <c r="BY28" s="26" t="str">
        <f t="shared" si="37"/>
        <v/>
      </c>
      <c r="BZ28" s="23"/>
      <c r="CA28" s="45" t="str">
        <f t="shared" si="38"/>
        <v/>
      </c>
      <c r="CB28" s="25"/>
      <c r="CC28" s="45" t="str">
        <f t="shared" si="39"/>
        <v/>
      </c>
      <c r="CD28" s="47"/>
      <c r="CE28" s="26" t="str">
        <f t="shared" si="40"/>
        <v/>
      </c>
      <c r="CF28" s="23"/>
      <c r="CG28" s="45" t="str">
        <f t="shared" si="41"/>
        <v/>
      </c>
      <c r="CH28" s="25"/>
      <c r="CI28" s="45" t="str">
        <f t="shared" si="42"/>
        <v/>
      </c>
      <c r="CJ28" s="47"/>
      <c r="CK28" s="26"/>
      <c r="CL28" s="23"/>
      <c r="CM28" s="45" t="str">
        <f t="shared" si="43"/>
        <v/>
      </c>
      <c r="CN28" s="25"/>
      <c r="CO28" s="45" t="str">
        <f t="shared" si="44"/>
        <v/>
      </c>
      <c r="CP28" s="27">
        <v>0.0</v>
      </c>
    </row>
    <row r="29">
      <c r="A29" s="26" t="str">
        <f t="shared" si="1"/>
        <v/>
      </c>
      <c r="B29" s="26"/>
      <c r="C29" s="81"/>
      <c r="D29" s="27"/>
      <c r="E29" s="82"/>
      <c r="F29" s="20"/>
      <c r="G29" s="20"/>
      <c r="H29" s="20"/>
      <c r="I29" s="23"/>
      <c r="J29" s="33"/>
      <c r="K29" s="26" t="str">
        <f t="shared" si="2"/>
        <v/>
      </c>
      <c r="L29" s="23"/>
      <c r="M29" s="45" t="str">
        <f t="shared" si="3"/>
        <v/>
      </c>
      <c r="N29" s="25"/>
      <c r="O29" s="45" t="str">
        <f t="shared" si="4"/>
        <v/>
      </c>
      <c r="P29" s="29" t="str">
        <f t="shared" si="5"/>
        <v/>
      </c>
      <c r="Q29" s="29">
        <f t="shared" si="6"/>
        <v>0</v>
      </c>
      <c r="R29" s="29">
        <f t="shared" si="7"/>
        <v>0</v>
      </c>
      <c r="S29" s="26" t="str">
        <f t="shared" si="8"/>
        <v/>
      </c>
      <c r="T29" s="23"/>
      <c r="U29" s="45" t="str">
        <f t="shared" si="9"/>
        <v/>
      </c>
      <c r="V29" s="25"/>
      <c r="W29" s="45" t="str">
        <f t="shared" si="10"/>
        <v/>
      </c>
      <c r="X29" s="47"/>
      <c r="Y29" s="26" t="str">
        <f t="shared" si="11"/>
        <v/>
      </c>
      <c r="Z29" s="23"/>
      <c r="AA29" s="45" t="str">
        <f t="shared" si="12"/>
        <v/>
      </c>
      <c r="AB29" s="25"/>
      <c r="AC29" s="45" t="str">
        <f t="shared" si="13"/>
        <v/>
      </c>
      <c r="AD29" s="47"/>
      <c r="AE29" s="26"/>
      <c r="AF29" s="23"/>
      <c r="AG29" s="45" t="str">
        <f t="shared" si="14"/>
        <v/>
      </c>
      <c r="AH29" s="25"/>
      <c r="AI29" s="45" t="str">
        <f t="shared" si="15"/>
        <v/>
      </c>
      <c r="AJ29" s="27">
        <v>0.0</v>
      </c>
      <c r="AK29" s="33"/>
      <c r="AL29" s="26" t="str">
        <f t="shared" si="16"/>
        <v/>
      </c>
      <c r="AM29" s="23"/>
      <c r="AN29" s="45" t="str">
        <f t="shared" si="17"/>
        <v/>
      </c>
      <c r="AO29" s="25"/>
      <c r="AP29" s="45" t="str">
        <f t="shared" si="18"/>
        <v/>
      </c>
      <c r="AQ29" s="29" t="str">
        <f t="shared" si="19"/>
        <v/>
      </c>
      <c r="AR29" s="29">
        <f t="shared" si="20"/>
        <v>0</v>
      </c>
      <c r="AS29" s="29">
        <f t="shared" si="21"/>
        <v>0</v>
      </c>
      <c r="AT29" s="26" t="str">
        <f t="shared" si="22"/>
        <v/>
      </c>
      <c r="AU29" s="23"/>
      <c r="AV29" s="45" t="str">
        <f t="shared" si="23"/>
        <v/>
      </c>
      <c r="AW29" s="25"/>
      <c r="AX29" s="45" t="str">
        <f t="shared" si="24"/>
        <v/>
      </c>
      <c r="AY29" s="47"/>
      <c r="AZ29" s="26" t="str">
        <f t="shared" si="25"/>
        <v/>
      </c>
      <c r="BA29" s="23"/>
      <c r="BB29" s="45" t="str">
        <f t="shared" si="26"/>
        <v/>
      </c>
      <c r="BC29" s="25"/>
      <c r="BD29" s="45" t="str">
        <f t="shared" si="27"/>
        <v/>
      </c>
      <c r="BE29" s="47"/>
      <c r="BF29" s="26"/>
      <c r="BG29" s="23"/>
      <c r="BH29" s="45" t="str">
        <f t="shared" si="28"/>
        <v/>
      </c>
      <c r="BI29" s="25"/>
      <c r="BJ29" s="45" t="str">
        <f t="shared" si="29"/>
        <v/>
      </c>
      <c r="BK29" s="27">
        <v>0.0</v>
      </c>
      <c r="BL29" s="23"/>
      <c r="BM29" s="45" t="str">
        <f t="shared" si="30"/>
        <v/>
      </c>
      <c r="BN29" s="25"/>
      <c r="BO29" s="45" t="str">
        <f t="shared" si="31"/>
        <v/>
      </c>
      <c r="BP29" s="27">
        <v>0.0</v>
      </c>
      <c r="BQ29" s="33"/>
      <c r="BR29" s="23"/>
      <c r="BS29" s="45" t="str">
        <f t="shared" si="32"/>
        <v/>
      </c>
      <c r="BT29" s="25"/>
      <c r="BU29" s="45" t="str">
        <f t="shared" si="33"/>
        <v/>
      </c>
      <c r="BV29" s="29" t="str">
        <f t="shared" si="34"/>
        <v/>
      </c>
      <c r="BW29" s="29">
        <f t="shared" si="35"/>
        <v>0</v>
      </c>
      <c r="BX29" s="29">
        <f t="shared" si="36"/>
        <v>0</v>
      </c>
      <c r="BY29" s="26" t="str">
        <f t="shared" si="37"/>
        <v/>
      </c>
      <c r="BZ29" s="23"/>
      <c r="CA29" s="45" t="str">
        <f t="shared" si="38"/>
        <v/>
      </c>
      <c r="CB29" s="25"/>
      <c r="CC29" s="45" t="str">
        <f t="shared" si="39"/>
        <v/>
      </c>
      <c r="CD29" s="47"/>
      <c r="CE29" s="26" t="str">
        <f t="shared" si="40"/>
        <v/>
      </c>
      <c r="CF29" s="23"/>
      <c r="CG29" s="45" t="str">
        <f t="shared" si="41"/>
        <v/>
      </c>
      <c r="CH29" s="25"/>
      <c r="CI29" s="45" t="str">
        <f t="shared" si="42"/>
        <v/>
      </c>
      <c r="CJ29" s="47"/>
      <c r="CK29" s="26"/>
      <c r="CL29" s="23"/>
      <c r="CM29" s="45" t="str">
        <f t="shared" si="43"/>
        <v/>
      </c>
      <c r="CN29" s="25"/>
      <c r="CO29" s="45" t="str">
        <f t="shared" si="44"/>
        <v/>
      </c>
      <c r="CP29" s="27">
        <v>0.0</v>
      </c>
    </row>
    <row r="30">
      <c r="A30" s="26" t="str">
        <f t="shared" si="1"/>
        <v/>
      </c>
      <c r="B30" s="26"/>
      <c r="C30" s="81"/>
      <c r="D30" s="27"/>
      <c r="E30" s="82"/>
      <c r="F30" s="20"/>
      <c r="G30" s="20"/>
      <c r="H30" s="20"/>
      <c r="I30" s="23"/>
      <c r="J30" s="33"/>
      <c r="K30" s="26" t="str">
        <f t="shared" si="2"/>
        <v/>
      </c>
      <c r="L30" s="23"/>
      <c r="M30" s="45" t="str">
        <f t="shared" si="3"/>
        <v/>
      </c>
      <c r="N30" s="25"/>
      <c r="O30" s="45" t="str">
        <f t="shared" si="4"/>
        <v/>
      </c>
      <c r="P30" s="29" t="str">
        <f t="shared" si="5"/>
        <v/>
      </c>
      <c r="Q30" s="29">
        <f t="shared" si="6"/>
        <v>0</v>
      </c>
      <c r="R30" s="29">
        <f t="shared" si="7"/>
        <v>0</v>
      </c>
      <c r="S30" s="26" t="str">
        <f t="shared" si="8"/>
        <v/>
      </c>
      <c r="T30" s="23"/>
      <c r="U30" s="45" t="str">
        <f t="shared" si="9"/>
        <v/>
      </c>
      <c r="V30" s="25"/>
      <c r="W30" s="45" t="str">
        <f t="shared" si="10"/>
        <v/>
      </c>
      <c r="X30" s="47"/>
      <c r="Y30" s="26" t="str">
        <f t="shared" si="11"/>
        <v/>
      </c>
      <c r="Z30" s="23"/>
      <c r="AA30" s="45" t="str">
        <f t="shared" si="12"/>
        <v/>
      </c>
      <c r="AB30" s="25"/>
      <c r="AC30" s="45" t="str">
        <f t="shared" si="13"/>
        <v/>
      </c>
      <c r="AD30" s="47"/>
      <c r="AE30" s="26"/>
      <c r="AF30" s="23"/>
      <c r="AG30" s="45" t="str">
        <f t="shared" si="14"/>
        <v/>
      </c>
      <c r="AH30" s="25"/>
      <c r="AI30" s="45" t="str">
        <f t="shared" si="15"/>
        <v/>
      </c>
      <c r="AJ30" s="27">
        <v>0.0</v>
      </c>
      <c r="AK30" s="33"/>
      <c r="AL30" s="26" t="str">
        <f t="shared" si="16"/>
        <v/>
      </c>
      <c r="AM30" s="23"/>
      <c r="AN30" s="45" t="str">
        <f t="shared" si="17"/>
        <v/>
      </c>
      <c r="AO30" s="25"/>
      <c r="AP30" s="45" t="str">
        <f t="shared" si="18"/>
        <v/>
      </c>
      <c r="AQ30" s="29" t="str">
        <f t="shared" si="19"/>
        <v/>
      </c>
      <c r="AR30" s="29">
        <f t="shared" si="20"/>
        <v>0</v>
      </c>
      <c r="AS30" s="29">
        <f t="shared" si="21"/>
        <v>0</v>
      </c>
      <c r="AT30" s="26" t="str">
        <f t="shared" si="22"/>
        <v/>
      </c>
      <c r="AU30" s="23"/>
      <c r="AV30" s="45" t="str">
        <f t="shared" si="23"/>
        <v/>
      </c>
      <c r="AW30" s="25"/>
      <c r="AX30" s="45" t="str">
        <f t="shared" si="24"/>
        <v/>
      </c>
      <c r="AY30" s="47"/>
      <c r="AZ30" s="26" t="str">
        <f t="shared" si="25"/>
        <v/>
      </c>
      <c r="BA30" s="23"/>
      <c r="BB30" s="45" t="str">
        <f t="shared" si="26"/>
        <v/>
      </c>
      <c r="BC30" s="25"/>
      <c r="BD30" s="45" t="str">
        <f t="shared" si="27"/>
        <v/>
      </c>
      <c r="BE30" s="47"/>
      <c r="BF30" s="26"/>
      <c r="BG30" s="23"/>
      <c r="BH30" s="45" t="str">
        <f t="shared" si="28"/>
        <v/>
      </c>
      <c r="BI30" s="25"/>
      <c r="BJ30" s="45" t="str">
        <f t="shared" si="29"/>
        <v/>
      </c>
      <c r="BK30" s="27">
        <v>0.0</v>
      </c>
      <c r="BL30" s="23"/>
      <c r="BM30" s="45" t="str">
        <f t="shared" si="30"/>
        <v/>
      </c>
      <c r="BN30" s="25"/>
      <c r="BO30" s="45" t="str">
        <f t="shared" si="31"/>
        <v/>
      </c>
      <c r="BP30" s="27">
        <v>0.0</v>
      </c>
      <c r="BQ30" s="33"/>
      <c r="BR30" s="23"/>
      <c r="BS30" s="45" t="str">
        <f t="shared" si="32"/>
        <v/>
      </c>
      <c r="BT30" s="25"/>
      <c r="BU30" s="45" t="str">
        <f t="shared" si="33"/>
        <v/>
      </c>
      <c r="BV30" s="29" t="str">
        <f t="shared" si="34"/>
        <v/>
      </c>
      <c r="BW30" s="29">
        <f t="shared" si="35"/>
        <v>0</v>
      </c>
      <c r="BX30" s="29">
        <f t="shared" si="36"/>
        <v>0</v>
      </c>
      <c r="BY30" s="26" t="str">
        <f t="shared" si="37"/>
        <v/>
      </c>
      <c r="BZ30" s="23"/>
      <c r="CA30" s="45" t="str">
        <f t="shared" si="38"/>
        <v/>
      </c>
      <c r="CB30" s="25"/>
      <c r="CC30" s="45" t="str">
        <f t="shared" si="39"/>
        <v/>
      </c>
      <c r="CD30" s="47"/>
      <c r="CE30" s="26" t="str">
        <f t="shared" si="40"/>
        <v/>
      </c>
      <c r="CF30" s="23"/>
      <c r="CG30" s="45" t="str">
        <f t="shared" si="41"/>
        <v/>
      </c>
      <c r="CH30" s="25"/>
      <c r="CI30" s="45" t="str">
        <f t="shared" si="42"/>
        <v/>
      </c>
      <c r="CJ30" s="47"/>
      <c r="CK30" s="26"/>
      <c r="CL30" s="23"/>
      <c r="CM30" s="45" t="str">
        <f t="shared" si="43"/>
        <v/>
      </c>
      <c r="CN30" s="25"/>
      <c r="CO30" s="45" t="str">
        <f t="shared" si="44"/>
        <v/>
      </c>
      <c r="CP30" s="27">
        <v>0.0</v>
      </c>
    </row>
    <row r="31">
      <c r="A31" s="26" t="str">
        <f t="shared" si="1"/>
        <v/>
      </c>
      <c r="B31" s="26"/>
      <c r="C31" s="81"/>
      <c r="D31" s="27"/>
      <c r="E31" s="82"/>
      <c r="F31" s="20"/>
      <c r="G31" s="20"/>
      <c r="H31" s="20"/>
      <c r="I31" s="23"/>
      <c r="J31" s="33"/>
      <c r="K31" s="26" t="str">
        <f t="shared" si="2"/>
        <v/>
      </c>
      <c r="L31" s="23"/>
      <c r="M31" s="45" t="str">
        <f t="shared" si="3"/>
        <v/>
      </c>
      <c r="N31" s="25"/>
      <c r="O31" s="45" t="str">
        <f t="shared" si="4"/>
        <v/>
      </c>
      <c r="P31" s="29" t="str">
        <f t="shared" si="5"/>
        <v/>
      </c>
      <c r="Q31" s="29">
        <f t="shared" si="6"/>
        <v>0</v>
      </c>
      <c r="R31" s="29">
        <f t="shared" si="7"/>
        <v>0</v>
      </c>
      <c r="S31" s="26" t="str">
        <f t="shared" si="8"/>
        <v/>
      </c>
      <c r="T31" s="23"/>
      <c r="U31" s="45" t="str">
        <f t="shared" si="9"/>
        <v/>
      </c>
      <c r="V31" s="25"/>
      <c r="W31" s="45" t="str">
        <f t="shared" si="10"/>
        <v/>
      </c>
      <c r="X31" s="47"/>
      <c r="Y31" s="26" t="str">
        <f t="shared" si="11"/>
        <v/>
      </c>
      <c r="Z31" s="23"/>
      <c r="AA31" s="45" t="str">
        <f t="shared" si="12"/>
        <v/>
      </c>
      <c r="AB31" s="25"/>
      <c r="AC31" s="45" t="str">
        <f t="shared" si="13"/>
        <v/>
      </c>
      <c r="AD31" s="47"/>
      <c r="AE31" s="26"/>
      <c r="AF31" s="23"/>
      <c r="AG31" s="45" t="str">
        <f t="shared" si="14"/>
        <v/>
      </c>
      <c r="AH31" s="25"/>
      <c r="AI31" s="45" t="str">
        <f t="shared" si="15"/>
        <v/>
      </c>
      <c r="AJ31" s="27">
        <v>0.0</v>
      </c>
      <c r="AK31" s="33"/>
      <c r="AL31" s="26" t="str">
        <f t="shared" si="16"/>
        <v/>
      </c>
      <c r="AM31" s="23"/>
      <c r="AN31" s="45" t="str">
        <f t="shared" si="17"/>
        <v/>
      </c>
      <c r="AO31" s="25"/>
      <c r="AP31" s="45" t="str">
        <f t="shared" si="18"/>
        <v/>
      </c>
      <c r="AQ31" s="29" t="str">
        <f t="shared" si="19"/>
        <v/>
      </c>
      <c r="AR31" s="29">
        <f t="shared" si="20"/>
        <v>0</v>
      </c>
      <c r="AS31" s="29">
        <f t="shared" si="21"/>
        <v>0</v>
      </c>
      <c r="AT31" s="26" t="str">
        <f t="shared" si="22"/>
        <v/>
      </c>
      <c r="AU31" s="23"/>
      <c r="AV31" s="45" t="str">
        <f t="shared" si="23"/>
        <v/>
      </c>
      <c r="AW31" s="25"/>
      <c r="AX31" s="45" t="str">
        <f t="shared" si="24"/>
        <v/>
      </c>
      <c r="AY31" s="47"/>
      <c r="AZ31" s="26" t="str">
        <f t="shared" si="25"/>
        <v/>
      </c>
      <c r="BA31" s="23"/>
      <c r="BB31" s="45" t="str">
        <f t="shared" si="26"/>
        <v/>
      </c>
      <c r="BC31" s="25"/>
      <c r="BD31" s="45" t="str">
        <f t="shared" si="27"/>
        <v/>
      </c>
      <c r="BE31" s="47"/>
      <c r="BF31" s="26"/>
      <c r="BG31" s="23"/>
      <c r="BH31" s="45" t="str">
        <f t="shared" si="28"/>
        <v/>
      </c>
      <c r="BI31" s="25"/>
      <c r="BJ31" s="45" t="str">
        <f t="shared" si="29"/>
        <v/>
      </c>
      <c r="BK31" s="27">
        <v>0.0</v>
      </c>
      <c r="BL31" s="23"/>
      <c r="BM31" s="45" t="str">
        <f t="shared" si="30"/>
        <v/>
      </c>
      <c r="BN31" s="25"/>
      <c r="BO31" s="45" t="str">
        <f t="shared" si="31"/>
        <v/>
      </c>
      <c r="BP31" s="27">
        <v>0.0</v>
      </c>
      <c r="BQ31" s="33"/>
      <c r="BR31" s="23"/>
      <c r="BS31" s="45" t="str">
        <f t="shared" si="32"/>
        <v/>
      </c>
      <c r="BT31" s="25"/>
      <c r="BU31" s="45" t="str">
        <f t="shared" si="33"/>
        <v/>
      </c>
      <c r="BV31" s="29" t="str">
        <f t="shared" si="34"/>
        <v/>
      </c>
      <c r="BW31" s="29">
        <f t="shared" si="35"/>
        <v>0</v>
      </c>
      <c r="BX31" s="29">
        <f t="shared" si="36"/>
        <v>0</v>
      </c>
      <c r="BY31" s="26" t="str">
        <f t="shared" si="37"/>
        <v/>
      </c>
      <c r="BZ31" s="23"/>
      <c r="CA31" s="45" t="str">
        <f t="shared" si="38"/>
        <v/>
      </c>
      <c r="CB31" s="25"/>
      <c r="CC31" s="45" t="str">
        <f t="shared" si="39"/>
        <v/>
      </c>
      <c r="CD31" s="47"/>
      <c r="CE31" s="26" t="str">
        <f t="shared" si="40"/>
        <v/>
      </c>
      <c r="CF31" s="23"/>
      <c r="CG31" s="45" t="str">
        <f t="shared" si="41"/>
        <v/>
      </c>
      <c r="CH31" s="25"/>
      <c r="CI31" s="45" t="str">
        <f t="shared" si="42"/>
        <v/>
      </c>
      <c r="CJ31" s="47"/>
      <c r="CK31" s="26"/>
      <c r="CL31" s="23"/>
      <c r="CM31" s="45" t="str">
        <f t="shared" si="43"/>
        <v/>
      </c>
      <c r="CN31" s="25"/>
      <c r="CO31" s="45" t="str">
        <f t="shared" si="44"/>
        <v/>
      </c>
      <c r="CP31" s="27">
        <v>0.0</v>
      </c>
    </row>
    <row r="32">
      <c r="A32" s="26" t="str">
        <f t="shared" si="1"/>
        <v/>
      </c>
      <c r="B32" s="26"/>
      <c r="C32" s="81"/>
      <c r="D32" s="27"/>
      <c r="E32" s="82"/>
      <c r="F32" s="20"/>
      <c r="G32" s="20"/>
      <c r="H32" s="20"/>
      <c r="I32" s="23"/>
      <c r="J32" s="33"/>
      <c r="K32" s="26" t="str">
        <f t="shared" si="2"/>
        <v/>
      </c>
      <c r="L32" s="23"/>
      <c r="M32" s="45" t="str">
        <f t="shared" si="3"/>
        <v/>
      </c>
      <c r="N32" s="25"/>
      <c r="O32" s="45" t="str">
        <f t="shared" si="4"/>
        <v/>
      </c>
      <c r="P32" s="29" t="str">
        <f t="shared" si="5"/>
        <v/>
      </c>
      <c r="Q32" s="29">
        <f t="shared" si="6"/>
        <v>0</v>
      </c>
      <c r="R32" s="29">
        <f t="shared" si="7"/>
        <v>0</v>
      </c>
      <c r="S32" s="26" t="str">
        <f t="shared" si="8"/>
        <v/>
      </c>
      <c r="T32" s="23"/>
      <c r="U32" s="45" t="str">
        <f t="shared" si="9"/>
        <v/>
      </c>
      <c r="V32" s="25"/>
      <c r="W32" s="45" t="str">
        <f t="shared" si="10"/>
        <v/>
      </c>
      <c r="X32" s="47"/>
      <c r="Y32" s="26" t="str">
        <f t="shared" si="11"/>
        <v/>
      </c>
      <c r="Z32" s="23"/>
      <c r="AA32" s="45" t="str">
        <f t="shared" si="12"/>
        <v/>
      </c>
      <c r="AB32" s="25"/>
      <c r="AC32" s="45" t="str">
        <f t="shared" si="13"/>
        <v/>
      </c>
      <c r="AD32" s="47"/>
      <c r="AE32" s="26"/>
      <c r="AF32" s="23"/>
      <c r="AG32" s="45" t="str">
        <f t="shared" si="14"/>
        <v/>
      </c>
      <c r="AH32" s="25"/>
      <c r="AI32" s="45" t="str">
        <f t="shared" si="15"/>
        <v/>
      </c>
      <c r="AJ32" s="27">
        <v>0.0</v>
      </c>
      <c r="AK32" s="33"/>
      <c r="AL32" s="26" t="str">
        <f t="shared" si="16"/>
        <v/>
      </c>
      <c r="AM32" s="23"/>
      <c r="AN32" s="45" t="str">
        <f t="shared" si="17"/>
        <v/>
      </c>
      <c r="AO32" s="25"/>
      <c r="AP32" s="45" t="str">
        <f t="shared" si="18"/>
        <v/>
      </c>
      <c r="AQ32" s="29" t="str">
        <f t="shared" si="19"/>
        <v/>
      </c>
      <c r="AR32" s="29">
        <f t="shared" si="20"/>
        <v>0</v>
      </c>
      <c r="AS32" s="29">
        <f t="shared" si="21"/>
        <v>0</v>
      </c>
      <c r="AT32" s="26" t="str">
        <f t="shared" si="22"/>
        <v/>
      </c>
      <c r="AU32" s="23"/>
      <c r="AV32" s="45" t="str">
        <f t="shared" si="23"/>
        <v/>
      </c>
      <c r="AW32" s="25"/>
      <c r="AX32" s="45" t="str">
        <f t="shared" si="24"/>
        <v/>
      </c>
      <c r="AY32" s="47"/>
      <c r="AZ32" s="26" t="str">
        <f t="shared" si="25"/>
        <v/>
      </c>
      <c r="BA32" s="23"/>
      <c r="BB32" s="45" t="str">
        <f t="shared" si="26"/>
        <v/>
      </c>
      <c r="BC32" s="25"/>
      <c r="BD32" s="45" t="str">
        <f t="shared" si="27"/>
        <v/>
      </c>
      <c r="BE32" s="47"/>
      <c r="BF32" s="26"/>
      <c r="BG32" s="23"/>
      <c r="BH32" s="45" t="str">
        <f t="shared" si="28"/>
        <v/>
      </c>
      <c r="BI32" s="25"/>
      <c r="BJ32" s="45" t="str">
        <f t="shared" si="29"/>
        <v/>
      </c>
      <c r="BK32" s="27">
        <v>0.0</v>
      </c>
      <c r="BL32" s="23"/>
      <c r="BM32" s="45" t="str">
        <f t="shared" si="30"/>
        <v/>
      </c>
      <c r="BN32" s="25"/>
      <c r="BO32" s="45" t="str">
        <f t="shared" si="31"/>
        <v/>
      </c>
      <c r="BP32" s="27">
        <v>0.0</v>
      </c>
      <c r="BQ32" s="33"/>
      <c r="BR32" s="23"/>
      <c r="BS32" s="45" t="str">
        <f t="shared" si="32"/>
        <v/>
      </c>
      <c r="BT32" s="25"/>
      <c r="BU32" s="45" t="str">
        <f t="shared" si="33"/>
        <v/>
      </c>
      <c r="BV32" s="29" t="str">
        <f t="shared" si="34"/>
        <v/>
      </c>
      <c r="BW32" s="29">
        <f t="shared" si="35"/>
        <v>0</v>
      </c>
      <c r="BX32" s="29">
        <f t="shared" si="36"/>
        <v>0</v>
      </c>
      <c r="BY32" s="26" t="str">
        <f t="shared" si="37"/>
        <v/>
      </c>
      <c r="BZ32" s="23"/>
      <c r="CA32" s="45" t="str">
        <f t="shared" si="38"/>
        <v/>
      </c>
      <c r="CB32" s="25"/>
      <c r="CC32" s="45" t="str">
        <f t="shared" si="39"/>
        <v/>
      </c>
      <c r="CD32" s="47"/>
      <c r="CE32" s="26" t="str">
        <f t="shared" si="40"/>
        <v/>
      </c>
      <c r="CF32" s="23"/>
      <c r="CG32" s="45" t="str">
        <f t="shared" si="41"/>
        <v/>
      </c>
      <c r="CH32" s="25"/>
      <c r="CI32" s="45" t="str">
        <f t="shared" si="42"/>
        <v/>
      </c>
      <c r="CJ32" s="47"/>
      <c r="CK32" s="26"/>
      <c r="CL32" s="23"/>
      <c r="CM32" s="45" t="str">
        <f t="shared" si="43"/>
        <v/>
      </c>
      <c r="CN32" s="25"/>
      <c r="CO32" s="45" t="str">
        <f t="shared" si="44"/>
        <v/>
      </c>
      <c r="CP32" s="27">
        <v>0.0</v>
      </c>
    </row>
    <row r="33">
      <c r="A33" s="26" t="str">
        <f t="shared" si="1"/>
        <v/>
      </c>
      <c r="B33" s="26"/>
      <c r="C33" s="81"/>
      <c r="D33" s="27"/>
      <c r="E33" s="82"/>
      <c r="F33" s="20"/>
      <c r="G33" s="20"/>
      <c r="H33" s="20"/>
      <c r="I33" s="23"/>
      <c r="J33" s="33"/>
      <c r="K33" s="26" t="str">
        <f t="shared" si="2"/>
        <v/>
      </c>
      <c r="L33" s="23"/>
      <c r="M33" s="45" t="str">
        <f t="shared" si="3"/>
        <v/>
      </c>
      <c r="N33" s="25"/>
      <c r="O33" s="45" t="str">
        <f t="shared" si="4"/>
        <v/>
      </c>
      <c r="P33" s="29" t="str">
        <f t="shared" si="5"/>
        <v/>
      </c>
      <c r="Q33" s="29">
        <f t="shared" si="6"/>
        <v>0</v>
      </c>
      <c r="R33" s="29">
        <f t="shared" si="7"/>
        <v>0</v>
      </c>
      <c r="S33" s="26" t="str">
        <f t="shared" si="8"/>
        <v/>
      </c>
      <c r="T33" s="23"/>
      <c r="U33" s="45" t="str">
        <f t="shared" si="9"/>
        <v/>
      </c>
      <c r="V33" s="25"/>
      <c r="W33" s="45" t="str">
        <f t="shared" si="10"/>
        <v/>
      </c>
      <c r="X33" s="47"/>
      <c r="Y33" s="26" t="str">
        <f t="shared" si="11"/>
        <v/>
      </c>
      <c r="Z33" s="23"/>
      <c r="AA33" s="45" t="str">
        <f t="shared" si="12"/>
        <v/>
      </c>
      <c r="AB33" s="25"/>
      <c r="AC33" s="45" t="str">
        <f t="shared" si="13"/>
        <v/>
      </c>
      <c r="AD33" s="47"/>
      <c r="AE33" s="26"/>
      <c r="AF33" s="23"/>
      <c r="AG33" s="45" t="str">
        <f t="shared" si="14"/>
        <v/>
      </c>
      <c r="AH33" s="25"/>
      <c r="AI33" s="45" t="str">
        <f t="shared" si="15"/>
        <v/>
      </c>
      <c r="AJ33" s="27">
        <v>0.0</v>
      </c>
      <c r="AK33" s="33"/>
      <c r="AL33" s="26" t="str">
        <f t="shared" si="16"/>
        <v/>
      </c>
      <c r="AM33" s="23"/>
      <c r="AN33" s="45" t="str">
        <f t="shared" si="17"/>
        <v/>
      </c>
      <c r="AO33" s="25"/>
      <c r="AP33" s="45" t="str">
        <f t="shared" si="18"/>
        <v/>
      </c>
      <c r="AQ33" s="29" t="str">
        <f t="shared" si="19"/>
        <v/>
      </c>
      <c r="AR33" s="29">
        <f t="shared" si="20"/>
        <v>0</v>
      </c>
      <c r="AS33" s="29">
        <f t="shared" si="21"/>
        <v>0</v>
      </c>
      <c r="AT33" s="26" t="str">
        <f t="shared" si="22"/>
        <v/>
      </c>
      <c r="AU33" s="23"/>
      <c r="AV33" s="45" t="str">
        <f t="shared" si="23"/>
        <v/>
      </c>
      <c r="AW33" s="25"/>
      <c r="AX33" s="45" t="str">
        <f t="shared" si="24"/>
        <v/>
      </c>
      <c r="AY33" s="47"/>
      <c r="AZ33" s="26" t="str">
        <f t="shared" si="25"/>
        <v/>
      </c>
      <c r="BA33" s="23"/>
      <c r="BB33" s="45" t="str">
        <f t="shared" si="26"/>
        <v/>
      </c>
      <c r="BC33" s="25"/>
      <c r="BD33" s="45" t="str">
        <f t="shared" si="27"/>
        <v/>
      </c>
      <c r="BE33" s="47"/>
      <c r="BF33" s="26"/>
      <c r="BG33" s="23"/>
      <c r="BH33" s="45" t="str">
        <f t="shared" si="28"/>
        <v/>
      </c>
      <c r="BI33" s="25"/>
      <c r="BJ33" s="45" t="str">
        <f t="shared" si="29"/>
        <v/>
      </c>
      <c r="BK33" s="27">
        <v>0.0</v>
      </c>
      <c r="BL33" s="23"/>
      <c r="BM33" s="45" t="str">
        <f t="shared" si="30"/>
        <v/>
      </c>
      <c r="BN33" s="25"/>
      <c r="BO33" s="45" t="str">
        <f t="shared" si="31"/>
        <v/>
      </c>
      <c r="BP33" s="27">
        <v>0.0</v>
      </c>
      <c r="BQ33" s="33"/>
      <c r="BR33" s="23"/>
      <c r="BS33" s="45" t="str">
        <f t="shared" si="32"/>
        <v/>
      </c>
      <c r="BT33" s="25"/>
      <c r="BU33" s="45" t="str">
        <f t="shared" si="33"/>
        <v/>
      </c>
      <c r="BV33" s="29" t="str">
        <f t="shared" si="34"/>
        <v/>
      </c>
      <c r="BW33" s="29">
        <f t="shared" si="35"/>
        <v>0</v>
      </c>
      <c r="BX33" s="29">
        <f t="shared" si="36"/>
        <v>0</v>
      </c>
      <c r="BY33" s="26" t="str">
        <f t="shared" si="37"/>
        <v/>
      </c>
      <c r="BZ33" s="23"/>
      <c r="CA33" s="45" t="str">
        <f t="shared" si="38"/>
        <v/>
      </c>
      <c r="CB33" s="25"/>
      <c r="CC33" s="45" t="str">
        <f t="shared" si="39"/>
        <v/>
      </c>
      <c r="CD33" s="47"/>
      <c r="CE33" s="26" t="str">
        <f t="shared" si="40"/>
        <v/>
      </c>
      <c r="CF33" s="23"/>
      <c r="CG33" s="45" t="str">
        <f t="shared" si="41"/>
        <v/>
      </c>
      <c r="CH33" s="25"/>
      <c r="CI33" s="45" t="str">
        <f t="shared" si="42"/>
        <v/>
      </c>
      <c r="CJ33" s="47"/>
      <c r="CK33" s="26"/>
      <c r="CL33" s="23"/>
      <c r="CM33" s="45" t="str">
        <f t="shared" si="43"/>
        <v/>
      </c>
      <c r="CN33" s="25"/>
      <c r="CO33" s="45" t="str">
        <f t="shared" si="44"/>
        <v/>
      </c>
      <c r="CP33" s="27">
        <v>0.0</v>
      </c>
    </row>
    <row r="34">
      <c r="A34" s="26" t="str">
        <f t="shared" si="1"/>
        <v/>
      </c>
      <c r="B34" s="26"/>
      <c r="C34" s="81"/>
      <c r="D34" s="27"/>
      <c r="E34" s="82"/>
      <c r="F34" s="20"/>
      <c r="G34" s="20"/>
      <c r="H34" s="20"/>
      <c r="I34" s="23"/>
      <c r="J34" s="33"/>
      <c r="K34" s="26" t="str">
        <f t="shared" si="2"/>
        <v/>
      </c>
      <c r="L34" s="23"/>
      <c r="M34" s="45" t="str">
        <f t="shared" si="3"/>
        <v/>
      </c>
      <c r="N34" s="25"/>
      <c r="O34" s="45" t="str">
        <f t="shared" si="4"/>
        <v/>
      </c>
      <c r="P34" s="29" t="str">
        <f t="shared" si="5"/>
        <v/>
      </c>
      <c r="Q34" s="29">
        <f t="shared" si="6"/>
        <v>0</v>
      </c>
      <c r="R34" s="29">
        <f t="shared" si="7"/>
        <v>0</v>
      </c>
      <c r="S34" s="26" t="str">
        <f t="shared" si="8"/>
        <v/>
      </c>
      <c r="T34" s="23"/>
      <c r="U34" s="45" t="str">
        <f t="shared" si="9"/>
        <v/>
      </c>
      <c r="V34" s="25"/>
      <c r="W34" s="45" t="str">
        <f t="shared" si="10"/>
        <v/>
      </c>
      <c r="X34" s="47"/>
      <c r="Y34" s="26" t="str">
        <f t="shared" si="11"/>
        <v/>
      </c>
      <c r="Z34" s="23"/>
      <c r="AA34" s="45" t="str">
        <f t="shared" si="12"/>
        <v/>
      </c>
      <c r="AB34" s="25"/>
      <c r="AC34" s="45" t="str">
        <f t="shared" si="13"/>
        <v/>
      </c>
      <c r="AD34" s="47"/>
      <c r="AE34" s="26"/>
      <c r="AF34" s="23"/>
      <c r="AG34" s="45" t="str">
        <f t="shared" si="14"/>
        <v/>
      </c>
      <c r="AH34" s="25"/>
      <c r="AI34" s="45" t="str">
        <f t="shared" si="15"/>
        <v/>
      </c>
      <c r="AJ34" s="27">
        <v>0.0</v>
      </c>
      <c r="AK34" s="33"/>
      <c r="AL34" s="26" t="str">
        <f t="shared" si="16"/>
        <v/>
      </c>
      <c r="AM34" s="23"/>
      <c r="AN34" s="45" t="str">
        <f t="shared" si="17"/>
        <v/>
      </c>
      <c r="AO34" s="25"/>
      <c r="AP34" s="45" t="str">
        <f t="shared" si="18"/>
        <v/>
      </c>
      <c r="AQ34" s="29" t="str">
        <f t="shared" si="19"/>
        <v/>
      </c>
      <c r="AR34" s="29">
        <f t="shared" si="20"/>
        <v>0</v>
      </c>
      <c r="AS34" s="29">
        <f t="shared" si="21"/>
        <v>0</v>
      </c>
      <c r="AT34" s="26" t="str">
        <f t="shared" si="22"/>
        <v/>
      </c>
      <c r="AU34" s="23"/>
      <c r="AV34" s="45" t="str">
        <f t="shared" si="23"/>
        <v/>
      </c>
      <c r="AW34" s="25"/>
      <c r="AX34" s="45" t="str">
        <f t="shared" si="24"/>
        <v/>
      </c>
      <c r="AY34" s="47"/>
      <c r="AZ34" s="26" t="str">
        <f t="shared" si="25"/>
        <v/>
      </c>
      <c r="BA34" s="23"/>
      <c r="BB34" s="45" t="str">
        <f t="shared" si="26"/>
        <v/>
      </c>
      <c r="BC34" s="25"/>
      <c r="BD34" s="45" t="str">
        <f t="shared" si="27"/>
        <v/>
      </c>
      <c r="BE34" s="47"/>
      <c r="BF34" s="26"/>
      <c r="BG34" s="23"/>
      <c r="BH34" s="45" t="str">
        <f t="shared" si="28"/>
        <v/>
      </c>
      <c r="BI34" s="25"/>
      <c r="BJ34" s="45" t="str">
        <f t="shared" si="29"/>
        <v/>
      </c>
      <c r="BK34" s="27">
        <v>0.0</v>
      </c>
      <c r="BL34" s="23"/>
      <c r="BM34" s="45" t="str">
        <f t="shared" si="30"/>
        <v/>
      </c>
      <c r="BN34" s="25"/>
      <c r="BO34" s="45" t="str">
        <f t="shared" si="31"/>
        <v/>
      </c>
      <c r="BP34" s="27">
        <v>0.0</v>
      </c>
      <c r="BQ34" s="33"/>
      <c r="BR34" s="23"/>
      <c r="BS34" s="45" t="str">
        <f t="shared" si="32"/>
        <v/>
      </c>
      <c r="BT34" s="25"/>
      <c r="BU34" s="45" t="str">
        <f t="shared" si="33"/>
        <v/>
      </c>
      <c r="BV34" s="29" t="str">
        <f t="shared" si="34"/>
        <v/>
      </c>
      <c r="BW34" s="29">
        <f t="shared" si="35"/>
        <v>0</v>
      </c>
      <c r="BX34" s="29">
        <f t="shared" si="36"/>
        <v>0</v>
      </c>
      <c r="BY34" s="26" t="str">
        <f t="shared" si="37"/>
        <v/>
      </c>
      <c r="BZ34" s="23"/>
      <c r="CA34" s="45" t="str">
        <f t="shared" si="38"/>
        <v/>
      </c>
      <c r="CB34" s="25"/>
      <c r="CC34" s="45" t="str">
        <f t="shared" si="39"/>
        <v/>
      </c>
      <c r="CD34" s="47"/>
      <c r="CE34" s="26" t="str">
        <f t="shared" si="40"/>
        <v/>
      </c>
      <c r="CF34" s="23"/>
      <c r="CG34" s="45" t="str">
        <f t="shared" si="41"/>
        <v/>
      </c>
      <c r="CH34" s="25"/>
      <c r="CI34" s="45" t="str">
        <f t="shared" si="42"/>
        <v/>
      </c>
      <c r="CJ34" s="47"/>
      <c r="CK34" s="26"/>
      <c r="CL34" s="23"/>
      <c r="CM34" s="45" t="str">
        <f t="shared" si="43"/>
        <v/>
      </c>
      <c r="CN34" s="25"/>
      <c r="CO34" s="45" t="str">
        <f t="shared" si="44"/>
        <v/>
      </c>
      <c r="CP34" s="27">
        <v>0.0</v>
      </c>
    </row>
    <row r="35">
      <c r="A35" s="26" t="str">
        <f t="shared" si="1"/>
        <v/>
      </c>
      <c r="B35" s="26"/>
      <c r="C35" s="81"/>
      <c r="D35" s="27"/>
      <c r="E35" s="82"/>
      <c r="F35" s="20"/>
      <c r="G35" s="20"/>
      <c r="H35" s="20"/>
      <c r="I35" s="23"/>
      <c r="J35" s="33"/>
      <c r="K35" s="26" t="str">
        <f t="shared" si="2"/>
        <v/>
      </c>
      <c r="L35" s="23"/>
      <c r="M35" s="45" t="str">
        <f t="shared" si="3"/>
        <v/>
      </c>
      <c r="N35" s="25"/>
      <c r="O35" s="45" t="str">
        <f t="shared" si="4"/>
        <v/>
      </c>
      <c r="P35" s="29" t="str">
        <f t="shared" si="5"/>
        <v/>
      </c>
      <c r="Q35" s="29">
        <f t="shared" si="6"/>
        <v>0</v>
      </c>
      <c r="R35" s="29">
        <f t="shared" si="7"/>
        <v>0</v>
      </c>
      <c r="S35" s="26" t="str">
        <f t="shared" si="8"/>
        <v/>
      </c>
      <c r="T35" s="23"/>
      <c r="U35" s="45" t="str">
        <f t="shared" si="9"/>
        <v/>
      </c>
      <c r="V35" s="25"/>
      <c r="W35" s="45" t="str">
        <f t="shared" si="10"/>
        <v/>
      </c>
      <c r="X35" s="47"/>
      <c r="Y35" s="26" t="str">
        <f t="shared" si="11"/>
        <v/>
      </c>
      <c r="Z35" s="23"/>
      <c r="AA35" s="45" t="str">
        <f t="shared" si="12"/>
        <v/>
      </c>
      <c r="AB35" s="25"/>
      <c r="AC35" s="45" t="str">
        <f t="shared" si="13"/>
        <v/>
      </c>
      <c r="AD35" s="47"/>
      <c r="AE35" s="26"/>
      <c r="AF35" s="23"/>
      <c r="AG35" s="45" t="str">
        <f t="shared" si="14"/>
        <v/>
      </c>
      <c r="AH35" s="25"/>
      <c r="AI35" s="45" t="str">
        <f t="shared" si="15"/>
        <v/>
      </c>
      <c r="AJ35" s="27">
        <v>0.0</v>
      </c>
      <c r="AK35" s="33"/>
      <c r="AL35" s="26" t="str">
        <f t="shared" si="16"/>
        <v/>
      </c>
      <c r="AM35" s="23"/>
      <c r="AN35" s="45" t="str">
        <f t="shared" si="17"/>
        <v/>
      </c>
      <c r="AO35" s="25"/>
      <c r="AP35" s="45" t="str">
        <f t="shared" si="18"/>
        <v/>
      </c>
      <c r="AQ35" s="29" t="str">
        <f t="shared" si="19"/>
        <v/>
      </c>
      <c r="AR35" s="29">
        <f t="shared" si="20"/>
        <v>0</v>
      </c>
      <c r="AS35" s="29">
        <f t="shared" si="21"/>
        <v>0</v>
      </c>
      <c r="AT35" s="26" t="str">
        <f t="shared" si="22"/>
        <v/>
      </c>
      <c r="AU35" s="23"/>
      <c r="AV35" s="45" t="str">
        <f t="shared" si="23"/>
        <v/>
      </c>
      <c r="AW35" s="25"/>
      <c r="AX35" s="45" t="str">
        <f t="shared" si="24"/>
        <v/>
      </c>
      <c r="AY35" s="47"/>
      <c r="AZ35" s="26" t="str">
        <f t="shared" si="25"/>
        <v/>
      </c>
      <c r="BA35" s="23"/>
      <c r="BB35" s="45" t="str">
        <f t="shared" si="26"/>
        <v/>
      </c>
      <c r="BC35" s="25"/>
      <c r="BD35" s="45" t="str">
        <f t="shared" si="27"/>
        <v/>
      </c>
      <c r="BE35" s="47"/>
      <c r="BF35" s="26"/>
      <c r="BG35" s="23"/>
      <c r="BH35" s="45" t="str">
        <f t="shared" si="28"/>
        <v/>
      </c>
      <c r="BI35" s="25"/>
      <c r="BJ35" s="45" t="str">
        <f t="shared" si="29"/>
        <v/>
      </c>
      <c r="BK35" s="27">
        <v>0.0</v>
      </c>
      <c r="BL35" s="23"/>
      <c r="BM35" s="45" t="str">
        <f t="shared" si="30"/>
        <v/>
      </c>
      <c r="BN35" s="25"/>
      <c r="BO35" s="45" t="str">
        <f t="shared" si="31"/>
        <v/>
      </c>
      <c r="BP35" s="27">
        <v>0.0</v>
      </c>
      <c r="BQ35" s="33"/>
      <c r="BR35" s="23"/>
      <c r="BS35" s="45" t="str">
        <f t="shared" si="32"/>
        <v/>
      </c>
      <c r="BT35" s="25"/>
      <c r="BU35" s="45" t="str">
        <f t="shared" si="33"/>
        <v/>
      </c>
      <c r="BV35" s="29" t="str">
        <f t="shared" si="34"/>
        <v/>
      </c>
      <c r="BW35" s="29">
        <f t="shared" si="35"/>
        <v>0</v>
      </c>
      <c r="BX35" s="29">
        <f t="shared" si="36"/>
        <v>0</v>
      </c>
      <c r="BY35" s="26" t="str">
        <f t="shared" si="37"/>
        <v/>
      </c>
      <c r="BZ35" s="23"/>
      <c r="CA35" s="45" t="str">
        <f t="shared" si="38"/>
        <v/>
      </c>
      <c r="CB35" s="25"/>
      <c r="CC35" s="45" t="str">
        <f t="shared" si="39"/>
        <v/>
      </c>
      <c r="CD35" s="47"/>
      <c r="CE35" s="26" t="str">
        <f t="shared" si="40"/>
        <v/>
      </c>
      <c r="CF35" s="23"/>
      <c r="CG35" s="45" t="str">
        <f t="shared" si="41"/>
        <v/>
      </c>
      <c r="CH35" s="25"/>
      <c r="CI35" s="45" t="str">
        <f t="shared" si="42"/>
        <v/>
      </c>
      <c r="CJ35" s="47"/>
      <c r="CK35" s="26"/>
      <c r="CL35" s="23"/>
      <c r="CM35" s="45" t="str">
        <f t="shared" si="43"/>
        <v/>
      </c>
      <c r="CN35" s="25"/>
      <c r="CO35" s="45" t="str">
        <f t="shared" si="44"/>
        <v/>
      </c>
      <c r="CP35" s="27">
        <v>0.0</v>
      </c>
    </row>
    <row r="36">
      <c r="A36" s="26" t="str">
        <f t="shared" si="1"/>
        <v/>
      </c>
      <c r="B36" s="26"/>
      <c r="C36" s="81"/>
      <c r="D36" s="27"/>
      <c r="E36" s="82"/>
      <c r="F36" s="20"/>
      <c r="G36" s="20"/>
      <c r="H36" s="20"/>
      <c r="I36" s="23"/>
      <c r="J36" s="33"/>
      <c r="K36" s="26" t="str">
        <f t="shared" si="2"/>
        <v/>
      </c>
      <c r="L36" s="23"/>
      <c r="M36" s="45" t="str">
        <f t="shared" si="3"/>
        <v/>
      </c>
      <c r="N36" s="25"/>
      <c r="O36" s="45" t="str">
        <f t="shared" si="4"/>
        <v/>
      </c>
      <c r="P36" s="29" t="str">
        <f t="shared" si="5"/>
        <v/>
      </c>
      <c r="Q36" s="29">
        <f t="shared" si="6"/>
        <v>0</v>
      </c>
      <c r="R36" s="29">
        <f t="shared" si="7"/>
        <v>0</v>
      </c>
      <c r="S36" s="26" t="str">
        <f t="shared" si="8"/>
        <v/>
      </c>
      <c r="T36" s="23"/>
      <c r="U36" s="45" t="str">
        <f t="shared" si="9"/>
        <v/>
      </c>
      <c r="V36" s="25"/>
      <c r="W36" s="45" t="str">
        <f t="shared" si="10"/>
        <v/>
      </c>
      <c r="X36" s="47"/>
      <c r="Y36" s="26" t="str">
        <f t="shared" si="11"/>
        <v/>
      </c>
      <c r="Z36" s="23"/>
      <c r="AA36" s="45" t="str">
        <f t="shared" si="12"/>
        <v/>
      </c>
      <c r="AB36" s="25"/>
      <c r="AC36" s="45" t="str">
        <f t="shared" si="13"/>
        <v/>
      </c>
      <c r="AD36" s="47"/>
      <c r="AE36" s="26"/>
      <c r="AF36" s="23"/>
      <c r="AG36" s="45" t="str">
        <f t="shared" si="14"/>
        <v/>
      </c>
      <c r="AH36" s="25"/>
      <c r="AI36" s="45" t="str">
        <f t="shared" si="15"/>
        <v/>
      </c>
      <c r="AJ36" s="27">
        <v>0.0</v>
      </c>
      <c r="AK36" s="33"/>
      <c r="AL36" s="26" t="str">
        <f t="shared" si="16"/>
        <v/>
      </c>
      <c r="AM36" s="23"/>
      <c r="AN36" s="45" t="str">
        <f t="shared" si="17"/>
        <v/>
      </c>
      <c r="AO36" s="25"/>
      <c r="AP36" s="45" t="str">
        <f t="shared" si="18"/>
        <v/>
      </c>
      <c r="AQ36" s="29" t="str">
        <f t="shared" si="19"/>
        <v/>
      </c>
      <c r="AR36" s="29">
        <f t="shared" si="20"/>
        <v>0</v>
      </c>
      <c r="AS36" s="29">
        <f t="shared" si="21"/>
        <v>0</v>
      </c>
      <c r="AT36" s="26" t="str">
        <f t="shared" si="22"/>
        <v/>
      </c>
      <c r="AU36" s="23"/>
      <c r="AV36" s="45" t="str">
        <f t="shared" si="23"/>
        <v/>
      </c>
      <c r="AW36" s="25"/>
      <c r="AX36" s="45" t="str">
        <f t="shared" si="24"/>
        <v/>
      </c>
      <c r="AY36" s="47"/>
      <c r="AZ36" s="26" t="str">
        <f t="shared" si="25"/>
        <v/>
      </c>
      <c r="BA36" s="23"/>
      <c r="BB36" s="45" t="str">
        <f t="shared" si="26"/>
        <v/>
      </c>
      <c r="BC36" s="25"/>
      <c r="BD36" s="45" t="str">
        <f t="shared" si="27"/>
        <v/>
      </c>
      <c r="BE36" s="47"/>
      <c r="BF36" s="26"/>
      <c r="BG36" s="23"/>
      <c r="BH36" s="45" t="str">
        <f t="shared" si="28"/>
        <v/>
      </c>
      <c r="BI36" s="25"/>
      <c r="BJ36" s="45" t="str">
        <f t="shared" si="29"/>
        <v/>
      </c>
      <c r="BK36" s="27">
        <v>0.0</v>
      </c>
      <c r="BL36" s="23"/>
      <c r="BM36" s="45" t="str">
        <f t="shared" si="30"/>
        <v/>
      </c>
      <c r="BN36" s="25"/>
      <c r="BO36" s="45" t="str">
        <f t="shared" si="31"/>
        <v/>
      </c>
      <c r="BP36" s="27">
        <v>0.0</v>
      </c>
      <c r="BQ36" s="33"/>
      <c r="BR36" s="23"/>
      <c r="BS36" s="45" t="str">
        <f t="shared" si="32"/>
        <v/>
      </c>
      <c r="BT36" s="25"/>
      <c r="BU36" s="45" t="str">
        <f t="shared" si="33"/>
        <v/>
      </c>
      <c r="BV36" s="29" t="str">
        <f t="shared" si="34"/>
        <v/>
      </c>
      <c r="BW36" s="29">
        <f t="shared" si="35"/>
        <v>0</v>
      </c>
      <c r="BX36" s="29">
        <f t="shared" si="36"/>
        <v>0</v>
      </c>
      <c r="BY36" s="26" t="str">
        <f t="shared" si="37"/>
        <v/>
      </c>
      <c r="BZ36" s="23"/>
      <c r="CA36" s="45" t="str">
        <f t="shared" si="38"/>
        <v/>
      </c>
      <c r="CB36" s="25"/>
      <c r="CC36" s="45" t="str">
        <f t="shared" si="39"/>
        <v/>
      </c>
      <c r="CD36" s="47"/>
      <c r="CE36" s="26" t="str">
        <f t="shared" si="40"/>
        <v/>
      </c>
      <c r="CF36" s="23"/>
      <c r="CG36" s="45" t="str">
        <f t="shared" si="41"/>
        <v/>
      </c>
      <c r="CH36" s="25"/>
      <c r="CI36" s="45" t="str">
        <f t="shared" si="42"/>
        <v/>
      </c>
      <c r="CJ36" s="47"/>
      <c r="CK36" s="26"/>
      <c r="CL36" s="23"/>
      <c r="CM36" s="45" t="str">
        <f t="shared" si="43"/>
        <v/>
      </c>
      <c r="CN36" s="25"/>
      <c r="CO36" s="45" t="str">
        <f t="shared" si="44"/>
        <v/>
      </c>
      <c r="CP36" s="27">
        <v>0.0</v>
      </c>
    </row>
    <row r="37">
      <c r="A37" s="26" t="str">
        <f t="shared" si="1"/>
        <v/>
      </c>
      <c r="B37" s="26"/>
      <c r="C37" s="81"/>
      <c r="D37" s="27"/>
      <c r="E37" s="82"/>
      <c r="F37" s="20"/>
      <c r="G37" s="20"/>
      <c r="H37" s="20"/>
      <c r="I37" s="23"/>
      <c r="J37" s="33"/>
      <c r="K37" s="26" t="str">
        <f t="shared" si="2"/>
        <v/>
      </c>
      <c r="L37" s="23"/>
      <c r="M37" s="45" t="str">
        <f t="shared" si="3"/>
        <v/>
      </c>
      <c r="N37" s="25"/>
      <c r="O37" s="45" t="str">
        <f t="shared" si="4"/>
        <v/>
      </c>
      <c r="P37" s="29" t="str">
        <f t="shared" si="5"/>
        <v/>
      </c>
      <c r="Q37" s="29">
        <f t="shared" si="6"/>
        <v>0</v>
      </c>
      <c r="R37" s="29">
        <f t="shared" si="7"/>
        <v>0</v>
      </c>
      <c r="S37" s="26" t="str">
        <f t="shared" si="8"/>
        <v/>
      </c>
      <c r="T37" s="23"/>
      <c r="U37" s="45" t="str">
        <f t="shared" si="9"/>
        <v/>
      </c>
      <c r="V37" s="25"/>
      <c r="W37" s="45" t="str">
        <f t="shared" si="10"/>
        <v/>
      </c>
      <c r="X37" s="47"/>
      <c r="Y37" s="26" t="str">
        <f t="shared" si="11"/>
        <v/>
      </c>
      <c r="Z37" s="23"/>
      <c r="AA37" s="45" t="str">
        <f t="shared" si="12"/>
        <v/>
      </c>
      <c r="AB37" s="25"/>
      <c r="AC37" s="45" t="str">
        <f t="shared" si="13"/>
        <v/>
      </c>
      <c r="AD37" s="47"/>
      <c r="AE37" s="26"/>
      <c r="AF37" s="23"/>
      <c r="AG37" s="45" t="str">
        <f t="shared" si="14"/>
        <v/>
      </c>
      <c r="AH37" s="25"/>
      <c r="AI37" s="45" t="str">
        <f t="shared" si="15"/>
        <v/>
      </c>
      <c r="AJ37" s="27">
        <v>0.0</v>
      </c>
      <c r="AK37" s="33"/>
      <c r="AL37" s="26" t="str">
        <f t="shared" si="16"/>
        <v/>
      </c>
      <c r="AM37" s="23"/>
      <c r="AN37" s="45" t="str">
        <f t="shared" si="17"/>
        <v/>
      </c>
      <c r="AO37" s="25"/>
      <c r="AP37" s="45" t="str">
        <f t="shared" si="18"/>
        <v/>
      </c>
      <c r="AQ37" s="29" t="str">
        <f t="shared" si="19"/>
        <v/>
      </c>
      <c r="AR37" s="29">
        <f t="shared" si="20"/>
        <v>0</v>
      </c>
      <c r="AS37" s="29">
        <f t="shared" si="21"/>
        <v>0</v>
      </c>
      <c r="AT37" s="26" t="str">
        <f t="shared" si="22"/>
        <v/>
      </c>
      <c r="AU37" s="23"/>
      <c r="AV37" s="45" t="str">
        <f t="shared" si="23"/>
        <v/>
      </c>
      <c r="AW37" s="25"/>
      <c r="AX37" s="45" t="str">
        <f t="shared" si="24"/>
        <v/>
      </c>
      <c r="AY37" s="47"/>
      <c r="AZ37" s="26" t="str">
        <f t="shared" si="25"/>
        <v/>
      </c>
      <c r="BA37" s="23"/>
      <c r="BB37" s="45" t="str">
        <f t="shared" si="26"/>
        <v/>
      </c>
      <c r="BC37" s="25"/>
      <c r="BD37" s="45" t="str">
        <f t="shared" si="27"/>
        <v/>
      </c>
      <c r="BE37" s="47"/>
      <c r="BF37" s="26"/>
      <c r="BG37" s="23"/>
      <c r="BH37" s="45" t="str">
        <f t="shared" si="28"/>
        <v/>
      </c>
      <c r="BI37" s="25"/>
      <c r="BJ37" s="45" t="str">
        <f t="shared" si="29"/>
        <v/>
      </c>
      <c r="BK37" s="27">
        <v>0.0</v>
      </c>
      <c r="BL37" s="23"/>
      <c r="BM37" s="45" t="str">
        <f t="shared" si="30"/>
        <v/>
      </c>
      <c r="BN37" s="25"/>
      <c r="BO37" s="45" t="str">
        <f t="shared" si="31"/>
        <v/>
      </c>
      <c r="BP37" s="27">
        <v>0.0</v>
      </c>
      <c r="BQ37" s="33"/>
      <c r="BR37" s="23"/>
      <c r="BS37" s="45" t="str">
        <f t="shared" si="32"/>
        <v/>
      </c>
      <c r="BT37" s="25"/>
      <c r="BU37" s="45" t="str">
        <f t="shared" si="33"/>
        <v/>
      </c>
      <c r="BV37" s="29" t="str">
        <f t="shared" si="34"/>
        <v/>
      </c>
      <c r="BW37" s="29">
        <f t="shared" si="35"/>
        <v>0</v>
      </c>
      <c r="BX37" s="29">
        <f t="shared" si="36"/>
        <v>0</v>
      </c>
      <c r="BY37" s="26" t="str">
        <f t="shared" si="37"/>
        <v/>
      </c>
      <c r="BZ37" s="23"/>
      <c r="CA37" s="45" t="str">
        <f t="shared" si="38"/>
        <v/>
      </c>
      <c r="CB37" s="25"/>
      <c r="CC37" s="45" t="str">
        <f t="shared" si="39"/>
        <v/>
      </c>
      <c r="CD37" s="47"/>
      <c r="CE37" s="26" t="str">
        <f t="shared" si="40"/>
        <v/>
      </c>
      <c r="CF37" s="23"/>
      <c r="CG37" s="45" t="str">
        <f t="shared" si="41"/>
        <v/>
      </c>
      <c r="CH37" s="25"/>
      <c r="CI37" s="45" t="str">
        <f t="shared" si="42"/>
        <v/>
      </c>
      <c r="CJ37" s="47"/>
      <c r="CK37" s="26"/>
      <c r="CL37" s="23"/>
      <c r="CM37" s="45" t="str">
        <f t="shared" si="43"/>
        <v/>
      </c>
      <c r="CN37" s="25"/>
      <c r="CO37" s="45" t="str">
        <f t="shared" si="44"/>
        <v/>
      </c>
      <c r="CP37" s="27">
        <v>0.0</v>
      </c>
    </row>
    <row r="38">
      <c r="A38" s="26" t="str">
        <f t="shared" si="1"/>
        <v/>
      </c>
      <c r="B38" s="26"/>
      <c r="C38" s="81"/>
      <c r="D38" s="27"/>
      <c r="E38" s="82"/>
      <c r="F38" s="20"/>
      <c r="G38" s="20"/>
      <c r="H38" s="20"/>
      <c r="I38" s="23"/>
      <c r="J38" s="33"/>
      <c r="K38" s="26" t="str">
        <f t="shared" si="2"/>
        <v/>
      </c>
      <c r="L38" s="23"/>
      <c r="M38" s="45" t="str">
        <f t="shared" si="3"/>
        <v/>
      </c>
      <c r="N38" s="25"/>
      <c r="O38" s="45" t="str">
        <f t="shared" si="4"/>
        <v/>
      </c>
      <c r="P38" s="29" t="str">
        <f t="shared" si="5"/>
        <v/>
      </c>
      <c r="Q38" s="29">
        <f t="shared" si="6"/>
        <v>0</v>
      </c>
      <c r="R38" s="29">
        <f t="shared" si="7"/>
        <v>0</v>
      </c>
      <c r="S38" s="26" t="str">
        <f t="shared" si="8"/>
        <v/>
      </c>
      <c r="T38" s="23"/>
      <c r="U38" s="45" t="str">
        <f t="shared" si="9"/>
        <v/>
      </c>
      <c r="V38" s="25"/>
      <c r="W38" s="45" t="str">
        <f t="shared" si="10"/>
        <v/>
      </c>
      <c r="X38" s="47"/>
      <c r="Y38" s="26" t="str">
        <f t="shared" si="11"/>
        <v/>
      </c>
      <c r="Z38" s="23"/>
      <c r="AA38" s="45" t="str">
        <f t="shared" si="12"/>
        <v/>
      </c>
      <c r="AB38" s="25"/>
      <c r="AC38" s="45" t="str">
        <f t="shared" si="13"/>
        <v/>
      </c>
      <c r="AD38" s="47"/>
      <c r="AE38" s="26"/>
      <c r="AF38" s="23"/>
      <c r="AG38" s="45" t="str">
        <f t="shared" si="14"/>
        <v/>
      </c>
      <c r="AH38" s="25"/>
      <c r="AI38" s="45" t="str">
        <f t="shared" si="15"/>
        <v/>
      </c>
      <c r="AJ38" s="27">
        <v>0.0</v>
      </c>
      <c r="AK38" s="33"/>
      <c r="AL38" s="26" t="str">
        <f t="shared" si="16"/>
        <v/>
      </c>
      <c r="AM38" s="23"/>
      <c r="AN38" s="45" t="str">
        <f t="shared" si="17"/>
        <v/>
      </c>
      <c r="AO38" s="25"/>
      <c r="AP38" s="45" t="str">
        <f t="shared" si="18"/>
        <v/>
      </c>
      <c r="AQ38" s="29" t="str">
        <f t="shared" si="19"/>
        <v/>
      </c>
      <c r="AR38" s="29">
        <f t="shared" si="20"/>
        <v>0</v>
      </c>
      <c r="AS38" s="29">
        <f t="shared" si="21"/>
        <v>0</v>
      </c>
      <c r="AT38" s="26" t="str">
        <f t="shared" si="22"/>
        <v/>
      </c>
      <c r="AU38" s="23"/>
      <c r="AV38" s="45" t="str">
        <f t="shared" si="23"/>
        <v/>
      </c>
      <c r="AW38" s="25"/>
      <c r="AX38" s="45" t="str">
        <f t="shared" si="24"/>
        <v/>
      </c>
      <c r="AY38" s="47"/>
      <c r="AZ38" s="26" t="str">
        <f t="shared" si="25"/>
        <v/>
      </c>
      <c r="BA38" s="23"/>
      <c r="BB38" s="45" t="str">
        <f t="shared" si="26"/>
        <v/>
      </c>
      <c r="BC38" s="25"/>
      <c r="BD38" s="45" t="str">
        <f t="shared" si="27"/>
        <v/>
      </c>
      <c r="BE38" s="47"/>
      <c r="BF38" s="26"/>
      <c r="BG38" s="23"/>
      <c r="BH38" s="45" t="str">
        <f t="shared" si="28"/>
        <v/>
      </c>
      <c r="BI38" s="25"/>
      <c r="BJ38" s="45" t="str">
        <f t="shared" si="29"/>
        <v/>
      </c>
      <c r="BK38" s="27">
        <v>0.0</v>
      </c>
      <c r="BL38" s="23"/>
      <c r="BM38" s="45" t="str">
        <f t="shared" si="30"/>
        <v/>
      </c>
      <c r="BN38" s="25"/>
      <c r="BO38" s="45" t="str">
        <f t="shared" si="31"/>
        <v/>
      </c>
      <c r="BP38" s="27">
        <v>0.0</v>
      </c>
      <c r="BQ38" s="33"/>
      <c r="BR38" s="23"/>
      <c r="BS38" s="45" t="str">
        <f t="shared" si="32"/>
        <v/>
      </c>
      <c r="BT38" s="25"/>
      <c r="BU38" s="45" t="str">
        <f t="shared" si="33"/>
        <v/>
      </c>
      <c r="BV38" s="29" t="str">
        <f t="shared" si="34"/>
        <v/>
      </c>
      <c r="BW38" s="29">
        <f t="shared" si="35"/>
        <v>0</v>
      </c>
      <c r="BX38" s="29">
        <f t="shared" si="36"/>
        <v>0</v>
      </c>
      <c r="BY38" s="26" t="str">
        <f t="shared" si="37"/>
        <v/>
      </c>
      <c r="BZ38" s="23"/>
      <c r="CA38" s="45" t="str">
        <f t="shared" si="38"/>
        <v/>
      </c>
      <c r="CB38" s="25"/>
      <c r="CC38" s="45" t="str">
        <f t="shared" si="39"/>
        <v/>
      </c>
      <c r="CD38" s="47"/>
      <c r="CE38" s="26" t="str">
        <f t="shared" si="40"/>
        <v/>
      </c>
      <c r="CF38" s="23"/>
      <c r="CG38" s="45" t="str">
        <f t="shared" si="41"/>
        <v/>
      </c>
      <c r="CH38" s="25"/>
      <c r="CI38" s="45" t="str">
        <f t="shared" si="42"/>
        <v/>
      </c>
      <c r="CJ38" s="47"/>
      <c r="CK38" s="26"/>
      <c r="CL38" s="23"/>
      <c r="CM38" s="45" t="str">
        <f t="shared" si="43"/>
        <v/>
      </c>
      <c r="CN38" s="25"/>
      <c r="CO38" s="45" t="str">
        <f t="shared" si="44"/>
        <v/>
      </c>
      <c r="CP38" s="27">
        <v>0.0</v>
      </c>
    </row>
    <row r="39">
      <c r="A39" s="26" t="str">
        <f t="shared" si="1"/>
        <v/>
      </c>
      <c r="B39" s="26"/>
      <c r="C39" s="81"/>
      <c r="D39" s="27"/>
      <c r="E39" s="82"/>
      <c r="F39" s="20"/>
      <c r="G39" s="20"/>
      <c r="H39" s="20"/>
      <c r="I39" s="23"/>
      <c r="J39" s="33"/>
      <c r="K39" s="26" t="str">
        <f t="shared" si="2"/>
        <v/>
      </c>
      <c r="L39" s="23"/>
      <c r="M39" s="45" t="str">
        <f t="shared" si="3"/>
        <v/>
      </c>
      <c r="N39" s="25"/>
      <c r="O39" s="45" t="str">
        <f t="shared" si="4"/>
        <v/>
      </c>
      <c r="P39" s="29" t="str">
        <f t="shared" si="5"/>
        <v/>
      </c>
      <c r="Q39" s="29">
        <f t="shared" si="6"/>
        <v>0</v>
      </c>
      <c r="R39" s="29">
        <f t="shared" si="7"/>
        <v>0</v>
      </c>
      <c r="S39" s="26" t="str">
        <f t="shared" si="8"/>
        <v/>
      </c>
      <c r="T39" s="23"/>
      <c r="U39" s="45" t="str">
        <f t="shared" si="9"/>
        <v/>
      </c>
      <c r="V39" s="25"/>
      <c r="W39" s="45" t="str">
        <f t="shared" si="10"/>
        <v/>
      </c>
      <c r="X39" s="47"/>
      <c r="Y39" s="26" t="str">
        <f t="shared" si="11"/>
        <v/>
      </c>
      <c r="Z39" s="23"/>
      <c r="AA39" s="45" t="str">
        <f t="shared" si="12"/>
        <v/>
      </c>
      <c r="AB39" s="25"/>
      <c r="AC39" s="45" t="str">
        <f t="shared" si="13"/>
        <v/>
      </c>
      <c r="AD39" s="47"/>
      <c r="AE39" s="26"/>
      <c r="AF39" s="23"/>
      <c r="AG39" s="45" t="str">
        <f t="shared" si="14"/>
        <v/>
      </c>
      <c r="AH39" s="25"/>
      <c r="AI39" s="45" t="str">
        <f t="shared" si="15"/>
        <v/>
      </c>
      <c r="AJ39" s="27">
        <v>0.0</v>
      </c>
      <c r="AK39" s="33"/>
      <c r="AL39" s="26" t="str">
        <f t="shared" si="16"/>
        <v/>
      </c>
      <c r="AM39" s="23"/>
      <c r="AN39" s="45" t="str">
        <f t="shared" si="17"/>
        <v/>
      </c>
      <c r="AO39" s="25"/>
      <c r="AP39" s="45" t="str">
        <f t="shared" si="18"/>
        <v/>
      </c>
      <c r="AQ39" s="29" t="str">
        <f t="shared" si="19"/>
        <v/>
      </c>
      <c r="AR39" s="29">
        <f t="shared" si="20"/>
        <v>0</v>
      </c>
      <c r="AS39" s="29">
        <f t="shared" si="21"/>
        <v>0</v>
      </c>
      <c r="AT39" s="26" t="str">
        <f t="shared" si="22"/>
        <v/>
      </c>
      <c r="AU39" s="23"/>
      <c r="AV39" s="45" t="str">
        <f t="shared" si="23"/>
        <v/>
      </c>
      <c r="AW39" s="25"/>
      <c r="AX39" s="45" t="str">
        <f t="shared" si="24"/>
        <v/>
      </c>
      <c r="AY39" s="47"/>
      <c r="AZ39" s="26" t="str">
        <f t="shared" si="25"/>
        <v/>
      </c>
      <c r="BA39" s="23"/>
      <c r="BB39" s="45" t="str">
        <f t="shared" si="26"/>
        <v/>
      </c>
      <c r="BC39" s="25"/>
      <c r="BD39" s="45" t="str">
        <f t="shared" si="27"/>
        <v/>
      </c>
      <c r="BE39" s="47"/>
      <c r="BF39" s="26"/>
      <c r="BG39" s="23"/>
      <c r="BH39" s="45" t="str">
        <f t="shared" si="28"/>
        <v/>
      </c>
      <c r="BI39" s="25"/>
      <c r="BJ39" s="45" t="str">
        <f t="shared" si="29"/>
        <v/>
      </c>
      <c r="BK39" s="27">
        <v>0.0</v>
      </c>
      <c r="BL39" s="23"/>
      <c r="BM39" s="45" t="str">
        <f t="shared" si="30"/>
        <v/>
      </c>
      <c r="BN39" s="25"/>
      <c r="BO39" s="45" t="str">
        <f t="shared" si="31"/>
        <v/>
      </c>
      <c r="BP39" s="27">
        <v>0.0</v>
      </c>
      <c r="BQ39" s="33"/>
      <c r="BR39" s="23"/>
      <c r="BS39" s="45" t="str">
        <f t="shared" si="32"/>
        <v/>
      </c>
      <c r="BT39" s="25"/>
      <c r="BU39" s="45" t="str">
        <f t="shared" si="33"/>
        <v/>
      </c>
      <c r="BV39" s="29" t="str">
        <f t="shared" si="34"/>
        <v/>
      </c>
      <c r="BW39" s="29">
        <f t="shared" si="35"/>
        <v>0</v>
      </c>
      <c r="BX39" s="29">
        <f t="shared" si="36"/>
        <v>0</v>
      </c>
      <c r="BY39" s="26" t="str">
        <f t="shared" si="37"/>
        <v/>
      </c>
      <c r="BZ39" s="23"/>
      <c r="CA39" s="45" t="str">
        <f t="shared" si="38"/>
        <v/>
      </c>
      <c r="CB39" s="25"/>
      <c r="CC39" s="45" t="str">
        <f t="shared" si="39"/>
        <v/>
      </c>
      <c r="CD39" s="47"/>
      <c r="CE39" s="26" t="str">
        <f t="shared" si="40"/>
        <v/>
      </c>
      <c r="CF39" s="23"/>
      <c r="CG39" s="45" t="str">
        <f t="shared" si="41"/>
        <v/>
      </c>
      <c r="CH39" s="25"/>
      <c r="CI39" s="45" t="str">
        <f t="shared" si="42"/>
        <v/>
      </c>
      <c r="CJ39" s="47"/>
      <c r="CK39" s="26"/>
      <c r="CL39" s="23"/>
      <c r="CM39" s="45" t="str">
        <f t="shared" si="43"/>
        <v/>
      </c>
      <c r="CN39" s="25"/>
      <c r="CO39" s="45" t="str">
        <f t="shared" si="44"/>
        <v/>
      </c>
      <c r="CP39" s="27">
        <v>0.0</v>
      </c>
    </row>
    <row r="40">
      <c r="A40" s="26" t="str">
        <f t="shared" si="1"/>
        <v/>
      </c>
      <c r="B40" s="26"/>
      <c r="C40" s="81"/>
      <c r="D40" s="27"/>
      <c r="E40" s="82"/>
      <c r="F40" s="20"/>
      <c r="G40" s="20"/>
      <c r="H40" s="20"/>
      <c r="I40" s="23"/>
      <c r="J40" s="33"/>
      <c r="K40" s="26" t="str">
        <f t="shared" si="2"/>
        <v/>
      </c>
      <c r="L40" s="23"/>
      <c r="M40" s="45" t="str">
        <f t="shared" si="3"/>
        <v/>
      </c>
      <c r="N40" s="25"/>
      <c r="O40" s="45" t="str">
        <f t="shared" si="4"/>
        <v/>
      </c>
      <c r="P40" s="29" t="str">
        <f t="shared" si="5"/>
        <v/>
      </c>
      <c r="Q40" s="29">
        <f t="shared" si="6"/>
        <v>0</v>
      </c>
      <c r="R40" s="29">
        <f t="shared" si="7"/>
        <v>0</v>
      </c>
      <c r="S40" s="26" t="str">
        <f t="shared" si="8"/>
        <v/>
      </c>
      <c r="T40" s="23"/>
      <c r="U40" s="45" t="str">
        <f t="shared" si="9"/>
        <v/>
      </c>
      <c r="V40" s="25"/>
      <c r="W40" s="45" t="str">
        <f t="shared" si="10"/>
        <v/>
      </c>
      <c r="X40" s="47"/>
      <c r="Y40" s="26" t="str">
        <f t="shared" si="11"/>
        <v/>
      </c>
      <c r="Z40" s="23"/>
      <c r="AA40" s="45" t="str">
        <f t="shared" si="12"/>
        <v/>
      </c>
      <c r="AB40" s="25"/>
      <c r="AC40" s="45" t="str">
        <f t="shared" si="13"/>
        <v/>
      </c>
      <c r="AD40" s="47"/>
      <c r="AE40" s="26"/>
      <c r="AF40" s="23"/>
      <c r="AG40" s="45" t="str">
        <f t="shared" si="14"/>
        <v/>
      </c>
      <c r="AH40" s="25"/>
      <c r="AI40" s="45" t="str">
        <f t="shared" si="15"/>
        <v/>
      </c>
      <c r="AJ40" s="27">
        <v>0.0</v>
      </c>
      <c r="AK40" s="33"/>
      <c r="AL40" s="26" t="str">
        <f t="shared" si="16"/>
        <v/>
      </c>
      <c r="AM40" s="23"/>
      <c r="AN40" s="45" t="str">
        <f t="shared" si="17"/>
        <v/>
      </c>
      <c r="AO40" s="25"/>
      <c r="AP40" s="45" t="str">
        <f t="shared" si="18"/>
        <v/>
      </c>
      <c r="AQ40" s="29" t="str">
        <f t="shared" si="19"/>
        <v/>
      </c>
      <c r="AR40" s="29">
        <f t="shared" si="20"/>
        <v>0</v>
      </c>
      <c r="AS40" s="29">
        <f t="shared" si="21"/>
        <v>0</v>
      </c>
      <c r="AT40" s="26" t="str">
        <f t="shared" si="22"/>
        <v/>
      </c>
      <c r="AU40" s="23"/>
      <c r="AV40" s="45" t="str">
        <f t="shared" si="23"/>
        <v/>
      </c>
      <c r="AW40" s="25"/>
      <c r="AX40" s="45" t="str">
        <f t="shared" si="24"/>
        <v/>
      </c>
      <c r="AY40" s="47"/>
      <c r="AZ40" s="26" t="str">
        <f t="shared" si="25"/>
        <v/>
      </c>
      <c r="BA40" s="23"/>
      <c r="BB40" s="45" t="str">
        <f t="shared" si="26"/>
        <v/>
      </c>
      <c r="BC40" s="25"/>
      <c r="BD40" s="45" t="str">
        <f t="shared" si="27"/>
        <v/>
      </c>
      <c r="BE40" s="47"/>
      <c r="BF40" s="26"/>
      <c r="BG40" s="23"/>
      <c r="BH40" s="45" t="str">
        <f t="shared" si="28"/>
        <v/>
      </c>
      <c r="BI40" s="25"/>
      <c r="BJ40" s="45" t="str">
        <f t="shared" si="29"/>
        <v/>
      </c>
      <c r="BK40" s="27">
        <v>0.0</v>
      </c>
      <c r="BL40" s="23"/>
      <c r="BM40" s="45" t="str">
        <f t="shared" si="30"/>
        <v/>
      </c>
      <c r="BN40" s="25"/>
      <c r="BO40" s="45" t="str">
        <f t="shared" si="31"/>
        <v/>
      </c>
      <c r="BP40" s="27">
        <v>0.0</v>
      </c>
      <c r="BQ40" s="33"/>
      <c r="BR40" s="23"/>
      <c r="BS40" s="45" t="str">
        <f t="shared" si="32"/>
        <v/>
      </c>
      <c r="BT40" s="25"/>
      <c r="BU40" s="45" t="str">
        <f t="shared" si="33"/>
        <v/>
      </c>
      <c r="BV40" s="29" t="str">
        <f t="shared" si="34"/>
        <v/>
      </c>
      <c r="BW40" s="29">
        <f t="shared" si="35"/>
        <v>0</v>
      </c>
      <c r="BX40" s="29">
        <f t="shared" si="36"/>
        <v>0</v>
      </c>
      <c r="BY40" s="26" t="str">
        <f t="shared" si="37"/>
        <v/>
      </c>
      <c r="BZ40" s="23"/>
      <c r="CA40" s="45" t="str">
        <f t="shared" si="38"/>
        <v/>
      </c>
      <c r="CB40" s="25"/>
      <c r="CC40" s="45" t="str">
        <f t="shared" si="39"/>
        <v/>
      </c>
      <c r="CD40" s="47"/>
      <c r="CE40" s="26" t="str">
        <f t="shared" si="40"/>
        <v/>
      </c>
      <c r="CF40" s="23"/>
      <c r="CG40" s="45" t="str">
        <f t="shared" si="41"/>
        <v/>
      </c>
      <c r="CH40" s="25"/>
      <c r="CI40" s="45" t="str">
        <f t="shared" si="42"/>
        <v/>
      </c>
      <c r="CJ40" s="47"/>
      <c r="CK40" s="26"/>
      <c r="CL40" s="23"/>
      <c r="CM40" s="45" t="str">
        <f t="shared" si="43"/>
        <v/>
      </c>
      <c r="CN40" s="25"/>
      <c r="CO40" s="45" t="str">
        <f t="shared" si="44"/>
        <v/>
      </c>
      <c r="CP40" s="27">
        <v>0.0</v>
      </c>
    </row>
    <row r="41">
      <c r="A41" s="26" t="str">
        <f t="shared" si="1"/>
        <v/>
      </c>
      <c r="B41" s="26"/>
      <c r="C41" s="81"/>
      <c r="D41" s="27"/>
      <c r="E41" s="82"/>
      <c r="F41" s="20"/>
      <c r="G41" s="20"/>
      <c r="H41" s="20"/>
      <c r="I41" s="23"/>
      <c r="J41" s="33"/>
      <c r="K41" s="26" t="str">
        <f t="shared" si="2"/>
        <v/>
      </c>
      <c r="L41" s="23"/>
      <c r="M41" s="45" t="str">
        <f t="shared" si="3"/>
        <v/>
      </c>
      <c r="N41" s="25"/>
      <c r="O41" s="45" t="str">
        <f t="shared" si="4"/>
        <v/>
      </c>
      <c r="P41" s="29" t="str">
        <f t="shared" si="5"/>
        <v/>
      </c>
      <c r="Q41" s="29">
        <f t="shared" si="6"/>
        <v>0</v>
      </c>
      <c r="R41" s="29">
        <f t="shared" si="7"/>
        <v>0</v>
      </c>
      <c r="S41" s="26" t="str">
        <f t="shared" si="8"/>
        <v/>
      </c>
      <c r="T41" s="23"/>
      <c r="U41" s="45" t="str">
        <f t="shared" si="9"/>
        <v/>
      </c>
      <c r="V41" s="25"/>
      <c r="W41" s="45" t="str">
        <f t="shared" si="10"/>
        <v/>
      </c>
      <c r="X41" s="47"/>
      <c r="Y41" s="26" t="str">
        <f t="shared" si="11"/>
        <v/>
      </c>
      <c r="Z41" s="23"/>
      <c r="AA41" s="45" t="str">
        <f t="shared" si="12"/>
        <v/>
      </c>
      <c r="AB41" s="25"/>
      <c r="AC41" s="45" t="str">
        <f t="shared" si="13"/>
        <v/>
      </c>
      <c r="AD41" s="47"/>
      <c r="AE41" s="26"/>
      <c r="AF41" s="23"/>
      <c r="AG41" s="45" t="str">
        <f t="shared" si="14"/>
        <v/>
      </c>
      <c r="AH41" s="25"/>
      <c r="AI41" s="45" t="str">
        <f t="shared" si="15"/>
        <v/>
      </c>
      <c r="AJ41" s="27">
        <v>0.0</v>
      </c>
      <c r="AK41" s="33"/>
      <c r="AL41" s="26" t="str">
        <f t="shared" si="16"/>
        <v/>
      </c>
      <c r="AM41" s="23"/>
      <c r="AN41" s="45" t="str">
        <f t="shared" si="17"/>
        <v/>
      </c>
      <c r="AO41" s="25"/>
      <c r="AP41" s="45" t="str">
        <f t="shared" si="18"/>
        <v/>
      </c>
      <c r="AQ41" s="29" t="str">
        <f t="shared" si="19"/>
        <v/>
      </c>
      <c r="AR41" s="29">
        <f t="shared" si="20"/>
        <v>0</v>
      </c>
      <c r="AS41" s="29">
        <f t="shared" si="21"/>
        <v>0</v>
      </c>
      <c r="AT41" s="26" t="str">
        <f t="shared" si="22"/>
        <v/>
      </c>
      <c r="AU41" s="23"/>
      <c r="AV41" s="45" t="str">
        <f t="shared" si="23"/>
        <v/>
      </c>
      <c r="AW41" s="25"/>
      <c r="AX41" s="45" t="str">
        <f t="shared" si="24"/>
        <v/>
      </c>
      <c r="AY41" s="47"/>
      <c r="AZ41" s="26" t="str">
        <f t="shared" si="25"/>
        <v/>
      </c>
      <c r="BA41" s="23"/>
      <c r="BB41" s="45" t="str">
        <f t="shared" si="26"/>
        <v/>
      </c>
      <c r="BC41" s="25"/>
      <c r="BD41" s="45" t="str">
        <f t="shared" si="27"/>
        <v/>
      </c>
      <c r="BE41" s="47"/>
      <c r="BF41" s="26"/>
      <c r="BG41" s="23"/>
      <c r="BH41" s="45" t="str">
        <f t="shared" si="28"/>
        <v/>
      </c>
      <c r="BI41" s="25"/>
      <c r="BJ41" s="45" t="str">
        <f t="shared" si="29"/>
        <v/>
      </c>
      <c r="BK41" s="27">
        <v>0.0</v>
      </c>
      <c r="BL41" s="23"/>
      <c r="BM41" s="45" t="str">
        <f t="shared" si="30"/>
        <v/>
      </c>
      <c r="BN41" s="25"/>
      <c r="BO41" s="45" t="str">
        <f t="shared" si="31"/>
        <v/>
      </c>
      <c r="BP41" s="27">
        <v>0.0</v>
      </c>
      <c r="BQ41" s="33"/>
      <c r="BR41" s="23"/>
      <c r="BS41" s="45" t="str">
        <f t="shared" si="32"/>
        <v/>
      </c>
      <c r="BT41" s="25"/>
      <c r="BU41" s="45" t="str">
        <f t="shared" si="33"/>
        <v/>
      </c>
      <c r="BV41" s="29" t="str">
        <f t="shared" si="34"/>
        <v/>
      </c>
      <c r="BW41" s="29">
        <f t="shared" si="35"/>
        <v>0</v>
      </c>
      <c r="BX41" s="29">
        <f t="shared" si="36"/>
        <v>0</v>
      </c>
      <c r="BY41" s="26" t="str">
        <f t="shared" si="37"/>
        <v/>
      </c>
      <c r="BZ41" s="23"/>
      <c r="CA41" s="45" t="str">
        <f t="shared" si="38"/>
        <v/>
      </c>
      <c r="CB41" s="25"/>
      <c r="CC41" s="45" t="str">
        <f t="shared" si="39"/>
        <v/>
      </c>
      <c r="CD41" s="47"/>
      <c r="CE41" s="26" t="str">
        <f t="shared" si="40"/>
        <v/>
      </c>
      <c r="CF41" s="23"/>
      <c r="CG41" s="45" t="str">
        <f t="shared" si="41"/>
        <v/>
      </c>
      <c r="CH41" s="25"/>
      <c r="CI41" s="45" t="str">
        <f t="shared" si="42"/>
        <v/>
      </c>
      <c r="CJ41" s="47"/>
      <c r="CK41" s="26"/>
      <c r="CL41" s="23"/>
      <c r="CM41" s="45" t="str">
        <f t="shared" si="43"/>
        <v/>
      </c>
      <c r="CN41" s="25"/>
      <c r="CO41" s="45" t="str">
        <f t="shared" si="44"/>
        <v/>
      </c>
      <c r="CP41" s="27">
        <v>0.0</v>
      </c>
    </row>
    <row r="42">
      <c r="A42" s="26" t="str">
        <f t="shared" si="1"/>
        <v/>
      </c>
      <c r="B42" s="26"/>
      <c r="C42" s="81"/>
      <c r="D42" s="27"/>
      <c r="E42" s="82"/>
      <c r="F42" s="20"/>
      <c r="G42" s="20"/>
      <c r="H42" s="20"/>
      <c r="I42" s="23"/>
      <c r="J42" s="33"/>
      <c r="K42" s="26" t="str">
        <f t="shared" si="2"/>
        <v/>
      </c>
      <c r="L42" s="23"/>
      <c r="M42" s="45" t="str">
        <f t="shared" si="3"/>
        <v/>
      </c>
      <c r="N42" s="25"/>
      <c r="O42" s="45" t="str">
        <f t="shared" si="4"/>
        <v/>
      </c>
      <c r="P42" s="29" t="str">
        <f t="shared" si="5"/>
        <v/>
      </c>
      <c r="Q42" s="29">
        <f t="shared" si="6"/>
        <v>0</v>
      </c>
      <c r="R42" s="29">
        <f t="shared" si="7"/>
        <v>0</v>
      </c>
      <c r="S42" s="26" t="str">
        <f t="shared" si="8"/>
        <v/>
      </c>
      <c r="T42" s="23"/>
      <c r="U42" s="45" t="str">
        <f t="shared" si="9"/>
        <v/>
      </c>
      <c r="V42" s="25"/>
      <c r="W42" s="45" t="str">
        <f t="shared" si="10"/>
        <v/>
      </c>
      <c r="X42" s="47"/>
      <c r="Y42" s="26" t="str">
        <f t="shared" si="11"/>
        <v/>
      </c>
      <c r="Z42" s="23"/>
      <c r="AA42" s="45" t="str">
        <f t="shared" si="12"/>
        <v/>
      </c>
      <c r="AB42" s="25"/>
      <c r="AC42" s="45" t="str">
        <f t="shared" si="13"/>
        <v/>
      </c>
      <c r="AD42" s="47"/>
      <c r="AE42" s="26"/>
      <c r="AF42" s="23"/>
      <c r="AG42" s="45" t="str">
        <f t="shared" si="14"/>
        <v/>
      </c>
      <c r="AH42" s="25"/>
      <c r="AI42" s="45" t="str">
        <f t="shared" si="15"/>
        <v/>
      </c>
      <c r="AJ42" s="27">
        <v>0.0</v>
      </c>
      <c r="AK42" s="33"/>
      <c r="AL42" s="26" t="str">
        <f t="shared" si="16"/>
        <v/>
      </c>
      <c r="AM42" s="23"/>
      <c r="AN42" s="45" t="str">
        <f t="shared" si="17"/>
        <v/>
      </c>
      <c r="AO42" s="25"/>
      <c r="AP42" s="45" t="str">
        <f t="shared" si="18"/>
        <v/>
      </c>
      <c r="AQ42" s="29" t="str">
        <f t="shared" si="19"/>
        <v/>
      </c>
      <c r="AR42" s="29">
        <f t="shared" si="20"/>
        <v>0</v>
      </c>
      <c r="AS42" s="29">
        <f t="shared" si="21"/>
        <v>0</v>
      </c>
      <c r="AT42" s="26" t="str">
        <f t="shared" si="22"/>
        <v/>
      </c>
      <c r="AU42" s="23"/>
      <c r="AV42" s="45" t="str">
        <f t="shared" si="23"/>
        <v/>
      </c>
      <c r="AW42" s="25"/>
      <c r="AX42" s="45" t="str">
        <f t="shared" si="24"/>
        <v/>
      </c>
      <c r="AY42" s="47"/>
      <c r="AZ42" s="26" t="str">
        <f t="shared" si="25"/>
        <v/>
      </c>
      <c r="BA42" s="23"/>
      <c r="BB42" s="45" t="str">
        <f t="shared" si="26"/>
        <v/>
      </c>
      <c r="BC42" s="25"/>
      <c r="BD42" s="45" t="str">
        <f t="shared" si="27"/>
        <v/>
      </c>
      <c r="BE42" s="47"/>
      <c r="BF42" s="26"/>
      <c r="BG42" s="23"/>
      <c r="BH42" s="45" t="str">
        <f t="shared" si="28"/>
        <v/>
      </c>
      <c r="BI42" s="25"/>
      <c r="BJ42" s="45" t="str">
        <f t="shared" si="29"/>
        <v/>
      </c>
      <c r="BK42" s="27">
        <v>0.0</v>
      </c>
      <c r="BL42" s="23"/>
      <c r="BM42" s="45" t="str">
        <f t="shared" si="30"/>
        <v/>
      </c>
      <c r="BN42" s="25"/>
      <c r="BO42" s="45" t="str">
        <f t="shared" si="31"/>
        <v/>
      </c>
      <c r="BP42" s="27">
        <v>0.0</v>
      </c>
      <c r="BQ42" s="33"/>
      <c r="BR42" s="23"/>
      <c r="BS42" s="45" t="str">
        <f t="shared" si="32"/>
        <v/>
      </c>
      <c r="BT42" s="25"/>
      <c r="BU42" s="45" t="str">
        <f t="shared" si="33"/>
        <v/>
      </c>
      <c r="BV42" s="29" t="str">
        <f t="shared" si="34"/>
        <v/>
      </c>
      <c r="BW42" s="29">
        <f t="shared" si="35"/>
        <v>0</v>
      </c>
      <c r="BX42" s="29">
        <f t="shared" si="36"/>
        <v>0</v>
      </c>
      <c r="BY42" s="26" t="str">
        <f t="shared" si="37"/>
        <v/>
      </c>
      <c r="BZ42" s="23"/>
      <c r="CA42" s="45" t="str">
        <f t="shared" si="38"/>
        <v/>
      </c>
      <c r="CB42" s="25"/>
      <c r="CC42" s="45" t="str">
        <f t="shared" si="39"/>
        <v/>
      </c>
      <c r="CD42" s="47"/>
      <c r="CE42" s="26" t="str">
        <f t="shared" si="40"/>
        <v/>
      </c>
      <c r="CF42" s="23"/>
      <c r="CG42" s="45" t="str">
        <f t="shared" si="41"/>
        <v/>
      </c>
      <c r="CH42" s="25"/>
      <c r="CI42" s="45" t="str">
        <f t="shared" si="42"/>
        <v/>
      </c>
      <c r="CJ42" s="47"/>
      <c r="CK42" s="26"/>
      <c r="CL42" s="23"/>
      <c r="CM42" s="45" t="str">
        <f t="shared" si="43"/>
        <v/>
      </c>
      <c r="CN42" s="25"/>
      <c r="CO42" s="45" t="str">
        <f t="shared" si="44"/>
        <v/>
      </c>
      <c r="CP42" s="27">
        <v>0.0</v>
      </c>
    </row>
    <row r="43">
      <c r="A43" s="26" t="str">
        <f t="shared" si="1"/>
        <v/>
      </c>
      <c r="B43" s="26"/>
      <c r="C43" s="81"/>
      <c r="D43" s="27"/>
      <c r="E43" s="82"/>
      <c r="F43" s="20"/>
      <c r="G43" s="20"/>
      <c r="H43" s="20"/>
      <c r="I43" s="23"/>
      <c r="J43" s="33"/>
      <c r="K43" s="26" t="str">
        <f t="shared" si="2"/>
        <v/>
      </c>
      <c r="L43" s="23"/>
      <c r="M43" s="45" t="str">
        <f t="shared" si="3"/>
        <v/>
      </c>
      <c r="N43" s="25"/>
      <c r="O43" s="45" t="str">
        <f t="shared" si="4"/>
        <v/>
      </c>
      <c r="P43" s="29" t="str">
        <f t="shared" si="5"/>
        <v/>
      </c>
      <c r="Q43" s="29">
        <f t="shared" si="6"/>
        <v>0</v>
      </c>
      <c r="R43" s="29">
        <f t="shared" si="7"/>
        <v>0</v>
      </c>
      <c r="S43" s="26" t="str">
        <f t="shared" si="8"/>
        <v/>
      </c>
      <c r="T43" s="23"/>
      <c r="U43" s="45" t="str">
        <f t="shared" si="9"/>
        <v/>
      </c>
      <c r="V43" s="25"/>
      <c r="W43" s="45" t="str">
        <f t="shared" si="10"/>
        <v/>
      </c>
      <c r="X43" s="47"/>
      <c r="Y43" s="26" t="str">
        <f t="shared" si="11"/>
        <v/>
      </c>
      <c r="Z43" s="23"/>
      <c r="AA43" s="45" t="str">
        <f t="shared" si="12"/>
        <v/>
      </c>
      <c r="AB43" s="25"/>
      <c r="AC43" s="45" t="str">
        <f t="shared" si="13"/>
        <v/>
      </c>
      <c r="AD43" s="47"/>
      <c r="AE43" s="26"/>
      <c r="AF43" s="23"/>
      <c r="AG43" s="45" t="str">
        <f t="shared" si="14"/>
        <v/>
      </c>
      <c r="AH43" s="25"/>
      <c r="AI43" s="45" t="str">
        <f t="shared" si="15"/>
        <v/>
      </c>
      <c r="AJ43" s="27">
        <v>0.0</v>
      </c>
      <c r="AK43" s="33"/>
      <c r="AL43" s="26" t="str">
        <f t="shared" si="16"/>
        <v/>
      </c>
      <c r="AM43" s="23"/>
      <c r="AN43" s="45" t="str">
        <f t="shared" si="17"/>
        <v/>
      </c>
      <c r="AO43" s="25"/>
      <c r="AP43" s="45" t="str">
        <f t="shared" si="18"/>
        <v/>
      </c>
      <c r="AQ43" s="29" t="str">
        <f t="shared" si="19"/>
        <v/>
      </c>
      <c r="AR43" s="29">
        <f t="shared" si="20"/>
        <v>0</v>
      </c>
      <c r="AS43" s="29">
        <f t="shared" si="21"/>
        <v>0</v>
      </c>
      <c r="AT43" s="26" t="str">
        <f t="shared" si="22"/>
        <v/>
      </c>
      <c r="AU43" s="23"/>
      <c r="AV43" s="45" t="str">
        <f t="shared" si="23"/>
        <v/>
      </c>
      <c r="AW43" s="25"/>
      <c r="AX43" s="45" t="str">
        <f t="shared" si="24"/>
        <v/>
      </c>
      <c r="AY43" s="47"/>
      <c r="AZ43" s="26" t="str">
        <f t="shared" si="25"/>
        <v/>
      </c>
      <c r="BA43" s="23"/>
      <c r="BB43" s="45" t="str">
        <f t="shared" si="26"/>
        <v/>
      </c>
      <c r="BC43" s="25"/>
      <c r="BD43" s="45" t="str">
        <f t="shared" si="27"/>
        <v/>
      </c>
      <c r="BE43" s="47"/>
      <c r="BF43" s="26"/>
      <c r="BG43" s="23"/>
      <c r="BH43" s="45" t="str">
        <f t="shared" si="28"/>
        <v/>
      </c>
      <c r="BI43" s="25"/>
      <c r="BJ43" s="45" t="str">
        <f t="shared" si="29"/>
        <v/>
      </c>
      <c r="BK43" s="27">
        <v>0.0</v>
      </c>
      <c r="BL43" s="23"/>
      <c r="BM43" s="45" t="str">
        <f t="shared" si="30"/>
        <v/>
      </c>
      <c r="BN43" s="25"/>
      <c r="BO43" s="45" t="str">
        <f t="shared" si="31"/>
        <v/>
      </c>
      <c r="BP43" s="27">
        <v>0.0</v>
      </c>
      <c r="BQ43" s="33"/>
      <c r="BR43" s="23"/>
      <c r="BS43" s="45" t="str">
        <f t="shared" si="32"/>
        <v/>
      </c>
      <c r="BT43" s="25"/>
      <c r="BU43" s="45" t="str">
        <f t="shared" si="33"/>
        <v/>
      </c>
      <c r="BV43" s="29" t="str">
        <f t="shared" si="34"/>
        <v/>
      </c>
      <c r="BW43" s="29">
        <f t="shared" si="35"/>
        <v>0</v>
      </c>
      <c r="BX43" s="29">
        <f t="shared" si="36"/>
        <v>0</v>
      </c>
      <c r="BY43" s="26" t="str">
        <f t="shared" si="37"/>
        <v/>
      </c>
      <c r="BZ43" s="23"/>
      <c r="CA43" s="45" t="str">
        <f t="shared" si="38"/>
        <v/>
      </c>
      <c r="CB43" s="25"/>
      <c r="CC43" s="45" t="str">
        <f t="shared" si="39"/>
        <v/>
      </c>
      <c r="CD43" s="47"/>
      <c r="CE43" s="26" t="str">
        <f t="shared" si="40"/>
        <v/>
      </c>
      <c r="CF43" s="23"/>
      <c r="CG43" s="45" t="str">
        <f t="shared" si="41"/>
        <v/>
      </c>
      <c r="CH43" s="25"/>
      <c r="CI43" s="45" t="str">
        <f t="shared" si="42"/>
        <v/>
      </c>
      <c r="CJ43" s="47"/>
      <c r="CK43" s="26"/>
      <c r="CL43" s="23"/>
      <c r="CM43" s="45" t="str">
        <f t="shared" si="43"/>
        <v/>
      </c>
      <c r="CN43" s="25"/>
      <c r="CO43" s="45" t="str">
        <f t="shared" si="44"/>
        <v/>
      </c>
      <c r="CP43" s="27">
        <v>0.0</v>
      </c>
    </row>
    <row r="44">
      <c r="A44" s="26" t="str">
        <f t="shared" si="1"/>
        <v/>
      </c>
      <c r="B44" s="26"/>
      <c r="C44" s="81"/>
      <c r="D44" s="27"/>
      <c r="E44" s="82"/>
      <c r="F44" s="20"/>
      <c r="G44" s="20"/>
      <c r="H44" s="20"/>
      <c r="I44" s="23"/>
      <c r="J44" s="33"/>
      <c r="K44" s="26" t="str">
        <f t="shared" si="2"/>
        <v/>
      </c>
      <c r="L44" s="23"/>
      <c r="M44" s="45" t="str">
        <f t="shared" si="3"/>
        <v/>
      </c>
      <c r="N44" s="25"/>
      <c r="O44" s="45" t="str">
        <f t="shared" si="4"/>
        <v/>
      </c>
      <c r="P44" s="29" t="str">
        <f t="shared" si="5"/>
        <v/>
      </c>
      <c r="Q44" s="29">
        <f t="shared" si="6"/>
        <v>0</v>
      </c>
      <c r="R44" s="29">
        <f t="shared" si="7"/>
        <v>0</v>
      </c>
      <c r="S44" s="26" t="str">
        <f t="shared" si="8"/>
        <v/>
      </c>
      <c r="T44" s="23"/>
      <c r="U44" s="45" t="str">
        <f t="shared" si="9"/>
        <v/>
      </c>
      <c r="V44" s="25"/>
      <c r="W44" s="45" t="str">
        <f t="shared" si="10"/>
        <v/>
      </c>
      <c r="X44" s="47"/>
      <c r="Y44" s="26" t="str">
        <f t="shared" si="11"/>
        <v/>
      </c>
      <c r="Z44" s="23"/>
      <c r="AA44" s="45" t="str">
        <f t="shared" si="12"/>
        <v/>
      </c>
      <c r="AB44" s="25"/>
      <c r="AC44" s="45" t="str">
        <f t="shared" si="13"/>
        <v/>
      </c>
      <c r="AD44" s="47"/>
      <c r="AE44" s="26"/>
      <c r="AF44" s="23"/>
      <c r="AG44" s="45" t="str">
        <f t="shared" si="14"/>
        <v/>
      </c>
      <c r="AH44" s="25"/>
      <c r="AI44" s="45" t="str">
        <f t="shared" si="15"/>
        <v/>
      </c>
      <c r="AJ44" s="27">
        <v>0.0</v>
      </c>
      <c r="AK44" s="33"/>
      <c r="AL44" s="26" t="str">
        <f t="shared" si="16"/>
        <v/>
      </c>
      <c r="AM44" s="23"/>
      <c r="AN44" s="45" t="str">
        <f t="shared" si="17"/>
        <v/>
      </c>
      <c r="AO44" s="25"/>
      <c r="AP44" s="45" t="str">
        <f t="shared" si="18"/>
        <v/>
      </c>
      <c r="AQ44" s="29" t="str">
        <f t="shared" si="19"/>
        <v/>
      </c>
      <c r="AR44" s="29">
        <f t="shared" si="20"/>
        <v>0</v>
      </c>
      <c r="AS44" s="29">
        <f t="shared" si="21"/>
        <v>0</v>
      </c>
      <c r="AT44" s="26" t="str">
        <f t="shared" si="22"/>
        <v/>
      </c>
      <c r="AU44" s="23"/>
      <c r="AV44" s="45" t="str">
        <f t="shared" si="23"/>
        <v/>
      </c>
      <c r="AW44" s="25"/>
      <c r="AX44" s="45" t="str">
        <f t="shared" si="24"/>
        <v/>
      </c>
      <c r="AY44" s="47"/>
      <c r="AZ44" s="26" t="str">
        <f t="shared" si="25"/>
        <v/>
      </c>
      <c r="BA44" s="23"/>
      <c r="BB44" s="45" t="str">
        <f t="shared" si="26"/>
        <v/>
      </c>
      <c r="BC44" s="25"/>
      <c r="BD44" s="45" t="str">
        <f t="shared" si="27"/>
        <v/>
      </c>
      <c r="BE44" s="47"/>
      <c r="BF44" s="26"/>
      <c r="BG44" s="23"/>
      <c r="BH44" s="45" t="str">
        <f t="shared" si="28"/>
        <v/>
      </c>
      <c r="BI44" s="25"/>
      <c r="BJ44" s="45" t="str">
        <f t="shared" si="29"/>
        <v/>
      </c>
      <c r="BK44" s="27">
        <v>0.0</v>
      </c>
      <c r="BL44" s="23"/>
      <c r="BM44" s="45" t="str">
        <f t="shared" si="30"/>
        <v/>
      </c>
      <c r="BN44" s="25"/>
      <c r="BO44" s="45" t="str">
        <f t="shared" si="31"/>
        <v/>
      </c>
      <c r="BP44" s="27">
        <v>0.0</v>
      </c>
      <c r="BQ44" s="33"/>
      <c r="BR44" s="23"/>
      <c r="BS44" s="45" t="str">
        <f t="shared" si="32"/>
        <v/>
      </c>
      <c r="BT44" s="25"/>
      <c r="BU44" s="45" t="str">
        <f t="shared" si="33"/>
        <v/>
      </c>
      <c r="BV44" s="29" t="str">
        <f t="shared" si="34"/>
        <v/>
      </c>
      <c r="BW44" s="29">
        <f t="shared" si="35"/>
        <v>0</v>
      </c>
      <c r="BX44" s="29">
        <f t="shared" si="36"/>
        <v>0</v>
      </c>
      <c r="BY44" s="26" t="str">
        <f t="shared" si="37"/>
        <v/>
      </c>
      <c r="BZ44" s="23"/>
      <c r="CA44" s="45" t="str">
        <f t="shared" si="38"/>
        <v/>
      </c>
      <c r="CB44" s="25"/>
      <c r="CC44" s="45" t="str">
        <f t="shared" si="39"/>
        <v/>
      </c>
      <c r="CD44" s="47"/>
      <c r="CE44" s="26" t="str">
        <f t="shared" si="40"/>
        <v/>
      </c>
      <c r="CF44" s="23"/>
      <c r="CG44" s="45" t="str">
        <f t="shared" si="41"/>
        <v/>
      </c>
      <c r="CH44" s="25"/>
      <c r="CI44" s="45" t="str">
        <f t="shared" si="42"/>
        <v/>
      </c>
      <c r="CJ44" s="47"/>
      <c r="CK44" s="26"/>
      <c r="CL44" s="23"/>
      <c r="CM44" s="45" t="str">
        <f t="shared" si="43"/>
        <v/>
      </c>
      <c r="CN44" s="25"/>
      <c r="CO44" s="45" t="str">
        <f t="shared" si="44"/>
        <v/>
      </c>
      <c r="CP44" s="27">
        <v>0.0</v>
      </c>
    </row>
    <row r="45">
      <c r="A45" s="26" t="str">
        <f t="shared" si="1"/>
        <v/>
      </c>
      <c r="B45" s="26"/>
      <c r="C45" s="81"/>
      <c r="D45" s="27"/>
      <c r="E45" s="82"/>
      <c r="F45" s="20"/>
      <c r="G45" s="20"/>
      <c r="H45" s="20"/>
      <c r="I45" s="23"/>
      <c r="J45" s="33"/>
      <c r="K45" s="26" t="str">
        <f t="shared" si="2"/>
        <v/>
      </c>
      <c r="L45" s="23"/>
      <c r="M45" s="45" t="str">
        <f t="shared" si="3"/>
        <v/>
      </c>
      <c r="N45" s="25"/>
      <c r="O45" s="45" t="str">
        <f t="shared" si="4"/>
        <v/>
      </c>
      <c r="P45" s="29" t="str">
        <f t="shared" si="5"/>
        <v/>
      </c>
      <c r="Q45" s="29">
        <f t="shared" si="6"/>
        <v>0</v>
      </c>
      <c r="R45" s="29">
        <f t="shared" si="7"/>
        <v>0</v>
      </c>
      <c r="S45" s="26" t="str">
        <f t="shared" si="8"/>
        <v/>
      </c>
      <c r="T45" s="23"/>
      <c r="U45" s="45" t="str">
        <f t="shared" si="9"/>
        <v/>
      </c>
      <c r="V45" s="25"/>
      <c r="W45" s="45" t="str">
        <f t="shared" si="10"/>
        <v/>
      </c>
      <c r="X45" s="47"/>
      <c r="Y45" s="26" t="str">
        <f t="shared" si="11"/>
        <v/>
      </c>
      <c r="Z45" s="23"/>
      <c r="AA45" s="45" t="str">
        <f t="shared" si="12"/>
        <v/>
      </c>
      <c r="AB45" s="25"/>
      <c r="AC45" s="45" t="str">
        <f t="shared" si="13"/>
        <v/>
      </c>
      <c r="AD45" s="47"/>
      <c r="AE45" s="26"/>
      <c r="AF45" s="23"/>
      <c r="AG45" s="45" t="str">
        <f t="shared" si="14"/>
        <v/>
      </c>
      <c r="AH45" s="25"/>
      <c r="AI45" s="45" t="str">
        <f t="shared" si="15"/>
        <v/>
      </c>
      <c r="AJ45" s="27">
        <v>0.0</v>
      </c>
      <c r="AK45" s="33"/>
      <c r="AL45" s="26" t="str">
        <f t="shared" si="16"/>
        <v/>
      </c>
      <c r="AM45" s="23"/>
      <c r="AN45" s="45" t="str">
        <f t="shared" si="17"/>
        <v/>
      </c>
      <c r="AO45" s="25"/>
      <c r="AP45" s="45" t="str">
        <f t="shared" si="18"/>
        <v/>
      </c>
      <c r="AQ45" s="29" t="str">
        <f t="shared" si="19"/>
        <v/>
      </c>
      <c r="AR45" s="29">
        <f t="shared" si="20"/>
        <v>0</v>
      </c>
      <c r="AS45" s="29">
        <f t="shared" si="21"/>
        <v>0</v>
      </c>
      <c r="AT45" s="26" t="str">
        <f t="shared" si="22"/>
        <v/>
      </c>
      <c r="AU45" s="23"/>
      <c r="AV45" s="45" t="str">
        <f t="shared" si="23"/>
        <v/>
      </c>
      <c r="AW45" s="25"/>
      <c r="AX45" s="45" t="str">
        <f t="shared" si="24"/>
        <v/>
      </c>
      <c r="AY45" s="47"/>
      <c r="AZ45" s="26" t="str">
        <f t="shared" si="25"/>
        <v/>
      </c>
      <c r="BA45" s="23"/>
      <c r="BB45" s="45" t="str">
        <f t="shared" si="26"/>
        <v/>
      </c>
      <c r="BC45" s="25"/>
      <c r="BD45" s="45" t="str">
        <f t="shared" si="27"/>
        <v/>
      </c>
      <c r="BE45" s="47"/>
      <c r="BF45" s="26"/>
      <c r="BG45" s="23"/>
      <c r="BH45" s="45" t="str">
        <f t="shared" si="28"/>
        <v/>
      </c>
      <c r="BI45" s="25"/>
      <c r="BJ45" s="45" t="str">
        <f t="shared" si="29"/>
        <v/>
      </c>
      <c r="BK45" s="27">
        <v>0.0</v>
      </c>
      <c r="BL45" s="23"/>
      <c r="BM45" s="45" t="str">
        <f t="shared" si="30"/>
        <v/>
      </c>
      <c r="BN45" s="25"/>
      <c r="BO45" s="45" t="str">
        <f t="shared" si="31"/>
        <v/>
      </c>
      <c r="BP45" s="27">
        <v>0.0</v>
      </c>
      <c r="BQ45" s="33"/>
      <c r="BR45" s="23"/>
      <c r="BS45" s="45" t="str">
        <f t="shared" si="32"/>
        <v/>
      </c>
      <c r="BT45" s="25"/>
      <c r="BU45" s="45" t="str">
        <f t="shared" si="33"/>
        <v/>
      </c>
      <c r="BV45" s="29" t="str">
        <f t="shared" si="34"/>
        <v/>
      </c>
      <c r="BW45" s="29">
        <f t="shared" si="35"/>
        <v>0</v>
      </c>
      <c r="BX45" s="29">
        <f t="shared" si="36"/>
        <v>0</v>
      </c>
      <c r="BY45" s="26" t="str">
        <f t="shared" si="37"/>
        <v/>
      </c>
      <c r="BZ45" s="23"/>
      <c r="CA45" s="45" t="str">
        <f t="shared" si="38"/>
        <v/>
      </c>
      <c r="CB45" s="25"/>
      <c r="CC45" s="45" t="str">
        <f t="shared" si="39"/>
        <v/>
      </c>
      <c r="CD45" s="47"/>
      <c r="CE45" s="26" t="str">
        <f t="shared" si="40"/>
        <v/>
      </c>
      <c r="CF45" s="23"/>
      <c r="CG45" s="45" t="str">
        <f t="shared" si="41"/>
        <v/>
      </c>
      <c r="CH45" s="25"/>
      <c r="CI45" s="45" t="str">
        <f t="shared" si="42"/>
        <v/>
      </c>
      <c r="CJ45" s="47"/>
      <c r="CK45" s="26"/>
      <c r="CL45" s="23"/>
      <c r="CM45" s="45" t="str">
        <f t="shared" si="43"/>
        <v/>
      </c>
      <c r="CN45" s="25"/>
      <c r="CO45" s="45" t="str">
        <f t="shared" si="44"/>
        <v/>
      </c>
      <c r="CP45" s="27">
        <v>0.0</v>
      </c>
    </row>
    <row r="46">
      <c r="A46" s="26" t="str">
        <f t="shared" si="1"/>
        <v/>
      </c>
      <c r="B46" s="26"/>
      <c r="C46" s="81"/>
      <c r="D46" s="27"/>
      <c r="E46" s="82"/>
      <c r="F46" s="20"/>
      <c r="G46" s="20"/>
      <c r="H46" s="20"/>
      <c r="I46" s="23"/>
      <c r="J46" s="33"/>
      <c r="K46" s="26" t="str">
        <f t="shared" si="2"/>
        <v/>
      </c>
      <c r="L46" s="23"/>
      <c r="M46" s="45" t="str">
        <f t="shared" si="3"/>
        <v/>
      </c>
      <c r="N46" s="25"/>
      <c r="O46" s="45" t="str">
        <f t="shared" si="4"/>
        <v/>
      </c>
      <c r="P46" s="29" t="str">
        <f t="shared" si="5"/>
        <v/>
      </c>
      <c r="Q46" s="29">
        <f t="shared" si="6"/>
        <v>0</v>
      </c>
      <c r="R46" s="29">
        <f t="shared" si="7"/>
        <v>0</v>
      </c>
      <c r="S46" s="26" t="str">
        <f t="shared" si="8"/>
        <v/>
      </c>
      <c r="T46" s="23"/>
      <c r="U46" s="45" t="str">
        <f t="shared" si="9"/>
        <v/>
      </c>
      <c r="V46" s="25"/>
      <c r="W46" s="45" t="str">
        <f t="shared" si="10"/>
        <v/>
      </c>
      <c r="X46" s="47"/>
      <c r="Y46" s="26" t="str">
        <f t="shared" si="11"/>
        <v/>
      </c>
      <c r="Z46" s="23"/>
      <c r="AA46" s="45" t="str">
        <f t="shared" si="12"/>
        <v/>
      </c>
      <c r="AB46" s="25"/>
      <c r="AC46" s="45" t="str">
        <f t="shared" si="13"/>
        <v/>
      </c>
      <c r="AD46" s="47"/>
      <c r="AE46" s="26"/>
      <c r="AF46" s="23"/>
      <c r="AG46" s="45" t="str">
        <f t="shared" si="14"/>
        <v/>
      </c>
      <c r="AH46" s="25"/>
      <c r="AI46" s="45" t="str">
        <f t="shared" si="15"/>
        <v/>
      </c>
      <c r="AJ46" s="27">
        <v>0.0</v>
      </c>
      <c r="AK46" s="33"/>
      <c r="AL46" s="26" t="str">
        <f t="shared" si="16"/>
        <v/>
      </c>
      <c r="AM46" s="23"/>
      <c r="AN46" s="45" t="str">
        <f t="shared" si="17"/>
        <v/>
      </c>
      <c r="AO46" s="25"/>
      <c r="AP46" s="45" t="str">
        <f t="shared" si="18"/>
        <v/>
      </c>
      <c r="AQ46" s="29" t="str">
        <f t="shared" si="19"/>
        <v/>
      </c>
      <c r="AR46" s="29">
        <f t="shared" si="20"/>
        <v>0</v>
      </c>
      <c r="AS46" s="29">
        <f t="shared" si="21"/>
        <v>0</v>
      </c>
      <c r="AT46" s="26" t="str">
        <f t="shared" si="22"/>
        <v/>
      </c>
      <c r="AU46" s="23"/>
      <c r="AV46" s="45" t="str">
        <f t="shared" si="23"/>
        <v/>
      </c>
      <c r="AW46" s="25"/>
      <c r="AX46" s="45" t="str">
        <f t="shared" si="24"/>
        <v/>
      </c>
      <c r="AY46" s="47"/>
      <c r="AZ46" s="26" t="str">
        <f t="shared" si="25"/>
        <v/>
      </c>
      <c r="BA46" s="23"/>
      <c r="BB46" s="45" t="str">
        <f t="shared" si="26"/>
        <v/>
      </c>
      <c r="BC46" s="25"/>
      <c r="BD46" s="45" t="str">
        <f t="shared" si="27"/>
        <v/>
      </c>
      <c r="BE46" s="47"/>
      <c r="BF46" s="26"/>
      <c r="BG46" s="23"/>
      <c r="BH46" s="45" t="str">
        <f t="shared" si="28"/>
        <v/>
      </c>
      <c r="BI46" s="25"/>
      <c r="BJ46" s="45" t="str">
        <f t="shared" si="29"/>
        <v/>
      </c>
      <c r="BK46" s="27">
        <v>0.0</v>
      </c>
      <c r="BL46" s="23"/>
      <c r="BM46" s="45" t="str">
        <f t="shared" si="30"/>
        <v/>
      </c>
      <c r="BN46" s="25"/>
      <c r="BO46" s="45" t="str">
        <f t="shared" si="31"/>
        <v/>
      </c>
      <c r="BP46" s="27">
        <v>0.0</v>
      </c>
      <c r="BQ46" s="33"/>
      <c r="BR46" s="23"/>
      <c r="BS46" s="45" t="str">
        <f t="shared" si="32"/>
        <v/>
      </c>
      <c r="BT46" s="25"/>
      <c r="BU46" s="45" t="str">
        <f t="shared" si="33"/>
        <v/>
      </c>
      <c r="BV46" s="29" t="str">
        <f t="shared" si="34"/>
        <v/>
      </c>
      <c r="BW46" s="29">
        <f t="shared" si="35"/>
        <v>0</v>
      </c>
      <c r="BX46" s="29">
        <f t="shared" si="36"/>
        <v>0</v>
      </c>
      <c r="BY46" s="26" t="str">
        <f t="shared" si="37"/>
        <v/>
      </c>
      <c r="BZ46" s="23"/>
      <c r="CA46" s="45" t="str">
        <f t="shared" si="38"/>
        <v/>
      </c>
      <c r="CB46" s="25"/>
      <c r="CC46" s="45" t="str">
        <f t="shared" si="39"/>
        <v/>
      </c>
      <c r="CD46" s="47"/>
      <c r="CE46" s="26" t="str">
        <f t="shared" si="40"/>
        <v/>
      </c>
      <c r="CF46" s="23"/>
      <c r="CG46" s="45" t="str">
        <f t="shared" si="41"/>
        <v/>
      </c>
      <c r="CH46" s="25"/>
      <c r="CI46" s="45" t="str">
        <f t="shared" si="42"/>
        <v/>
      </c>
      <c r="CJ46" s="47"/>
      <c r="CK46" s="26"/>
      <c r="CL46" s="23"/>
      <c r="CM46" s="45" t="str">
        <f t="shared" si="43"/>
        <v/>
      </c>
      <c r="CN46" s="25"/>
      <c r="CO46" s="45" t="str">
        <f t="shared" si="44"/>
        <v/>
      </c>
      <c r="CP46" s="27">
        <v>0.0</v>
      </c>
    </row>
    <row r="47">
      <c r="A47" s="26" t="str">
        <f t="shared" si="1"/>
        <v/>
      </c>
      <c r="B47" s="26"/>
      <c r="C47" s="81"/>
      <c r="D47" s="27"/>
      <c r="E47" s="82"/>
      <c r="F47" s="20"/>
      <c r="G47" s="20"/>
      <c r="H47" s="20"/>
      <c r="I47" s="23"/>
      <c r="J47" s="33"/>
      <c r="K47" s="26" t="str">
        <f t="shared" si="2"/>
        <v/>
      </c>
      <c r="L47" s="23"/>
      <c r="M47" s="45" t="str">
        <f t="shared" si="3"/>
        <v/>
      </c>
      <c r="N47" s="25"/>
      <c r="O47" s="45" t="str">
        <f t="shared" si="4"/>
        <v/>
      </c>
      <c r="P47" s="29" t="str">
        <f t="shared" si="5"/>
        <v/>
      </c>
      <c r="Q47" s="29">
        <f t="shared" si="6"/>
        <v>0</v>
      </c>
      <c r="R47" s="29">
        <f t="shared" si="7"/>
        <v>0</v>
      </c>
      <c r="S47" s="26" t="str">
        <f t="shared" si="8"/>
        <v/>
      </c>
      <c r="T47" s="23"/>
      <c r="U47" s="45" t="str">
        <f t="shared" si="9"/>
        <v/>
      </c>
      <c r="V47" s="25"/>
      <c r="W47" s="45" t="str">
        <f t="shared" si="10"/>
        <v/>
      </c>
      <c r="X47" s="47"/>
      <c r="Y47" s="26" t="str">
        <f t="shared" si="11"/>
        <v/>
      </c>
      <c r="Z47" s="23"/>
      <c r="AA47" s="45" t="str">
        <f t="shared" si="12"/>
        <v/>
      </c>
      <c r="AB47" s="25"/>
      <c r="AC47" s="45" t="str">
        <f t="shared" si="13"/>
        <v/>
      </c>
      <c r="AD47" s="47"/>
      <c r="AE47" s="26"/>
      <c r="AF47" s="23"/>
      <c r="AG47" s="45" t="str">
        <f t="shared" si="14"/>
        <v/>
      </c>
      <c r="AH47" s="25"/>
      <c r="AI47" s="45" t="str">
        <f t="shared" si="15"/>
        <v/>
      </c>
      <c r="AJ47" s="27">
        <v>0.0</v>
      </c>
      <c r="AK47" s="33"/>
      <c r="AL47" s="26" t="str">
        <f t="shared" si="16"/>
        <v/>
      </c>
      <c r="AM47" s="23"/>
      <c r="AN47" s="45" t="str">
        <f t="shared" si="17"/>
        <v/>
      </c>
      <c r="AO47" s="25"/>
      <c r="AP47" s="45" t="str">
        <f t="shared" si="18"/>
        <v/>
      </c>
      <c r="AQ47" s="29" t="str">
        <f t="shared" si="19"/>
        <v/>
      </c>
      <c r="AR47" s="29">
        <f t="shared" si="20"/>
        <v>0</v>
      </c>
      <c r="AS47" s="29">
        <f t="shared" si="21"/>
        <v>0</v>
      </c>
      <c r="AT47" s="26" t="str">
        <f t="shared" si="22"/>
        <v/>
      </c>
      <c r="AU47" s="23"/>
      <c r="AV47" s="45" t="str">
        <f t="shared" si="23"/>
        <v/>
      </c>
      <c r="AW47" s="25"/>
      <c r="AX47" s="45" t="str">
        <f t="shared" si="24"/>
        <v/>
      </c>
      <c r="AY47" s="47"/>
      <c r="AZ47" s="26" t="str">
        <f t="shared" si="25"/>
        <v/>
      </c>
      <c r="BA47" s="23"/>
      <c r="BB47" s="45" t="str">
        <f t="shared" si="26"/>
        <v/>
      </c>
      <c r="BC47" s="25"/>
      <c r="BD47" s="45" t="str">
        <f t="shared" si="27"/>
        <v/>
      </c>
      <c r="BE47" s="47"/>
      <c r="BF47" s="26"/>
      <c r="BG47" s="23"/>
      <c r="BH47" s="45" t="str">
        <f t="shared" si="28"/>
        <v/>
      </c>
      <c r="BI47" s="25"/>
      <c r="BJ47" s="45" t="str">
        <f t="shared" si="29"/>
        <v/>
      </c>
      <c r="BK47" s="27">
        <v>0.0</v>
      </c>
      <c r="BL47" s="23"/>
      <c r="BM47" s="45" t="str">
        <f t="shared" si="30"/>
        <v/>
      </c>
      <c r="BN47" s="25"/>
      <c r="BO47" s="45" t="str">
        <f t="shared" si="31"/>
        <v/>
      </c>
      <c r="BP47" s="27">
        <v>0.0</v>
      </c>
      <c r="BQ47" s="33"/>
      <c r="BR47" s="23"/>
      <c r="BS47" s="45" t="str">
        <f t="shared" si="32"/>
        <v/>
      </c>
      <c r="BT47" s="25"/>
      <c r="BU47" s="45" t="str">
        <f t="shared" si="33"/>
        <v/>
      </c>
      <c r="BV47" s="29" t="str">
        <f t="shared" si="34"/>
        <v/>
      </c>
      <c r="BW47" s="29">
        <f t="shared" si="35"/>
        <v>0</v>
      </c>
      <c r="BX47" s="29">
        <f t="shared" si="36"/>
        <v>0</v>
      </c>
      <c r="BY47" s="26" t="str">
        <f t="shared" si="37"/>
        <v/>
      </c>
      <c r="BZ47" s="23"/>
      <c r="CA47" s="45" t="str">
        <f t="shared" si="38"/>
        <v/>
      </c>
      <c r="CB47" s="25"/>
      <c r="CC47" s="45" t="str">
        <f t="shared" si="39"/>
        <v/>
      </c>
      <c r="CD47" s="47"/>
      <c r="CE47" s="26" t="str">
        <f t="shared" si="40"/>
        <v/>
      </c>
      <c r="CF47" s="23"/>
      <c r="CG47" s="45" t="str">
        <f t="shared" si="41"/>
        <v/>
      </c>
      <c r="CH47" s="25"/>
      <c r="CI47" s="45" t="str">
        <f t="shared" si="42"/>
        <v/>
      </c>
      <c r="CJ47" s="47"/>
      <c r="CK47" s="26"/>
      <c r="CL47" s="23"/>
      <c r="CM47" s="45" t="str">
        <f t="shared" si="43"/>
        <v/>
      </c>
      <c r="CN47" s="25"/>
      <c r="CO47" s="45" t="str">
        <f t="shared" si="44"/>
        <v/>
      </c>
      <c r="CP47" s="27">
        <v>0.0</v>
      </c>
    </row>
    <row r="48">
      <c r="A48" s="26" t="str">
        <f t="shared" si="1"/>
        <v/>
      </c>
      <c r="B48" s="26"/>
      <c r="C48" s="81"/>
      <c r="D48" s="27"/>
      <c r="E48" s="82"/>
      <c r="F48" s="20"/>
      <c r="G48" s="20"/>
      <c r="H48" s="20"/>
      <c r="I48" s="23"/>
      <c r="J48" s="33"/>
      <c r="K48" s="26" t="str">
        <f t="shared" si="2"/>
        <v/>
      </c>
      <c r="L48" s="23"/>
      <c r="M48" s="45" t="str">
        <f t="shared" si="3"/>
        <v/>
      </c>
      <c r="N48" s="25"/>
      <c r="O48" s="45" t="str">
        <f t="shared" si="4"/>
        <v/>
      </c>
      <c r="P48" s="29" t="str">
        <f t="shared" si="5"/>
        <v/>
      </c>
      <c r="Q48" s="29">
        <f t="shared" si="6"/>
        <v>0</v>
      </c>
      <c r="R48" s="29">
        <f t="shared" si="7"/>
        <v>0</v>
      </c>
      <c r="S48" s="26" t="str">
        <f t="shared" si="8"/>
        <v/>
      </c>
      <c r="T48" s="23"/>
      <c r="U48" s="45" t="str">
        <f t="shared" si="9"/>
        <v/>
      </c>
      <c r="V48" s="25"/>
      <c r="W48" s="45" t="str">
        <f t="shared" si="10"/>
        <v/>
      </c>
      <c r="X48" s="47"/>
      <c r="Y48" s="26" t="str">
        <f t="shared" si="11"/>
        <v/>
      </c>
      <c r="Z48" s="23"/>
      <c r="AA48" s="45" t="str">
        <f t="shared" si="12"/>
        <v/>
      </c>
      <c r="AB48" s="25"/>
      <c r="AC48" s="45" t="str">
        <f t="shared" si="13"/>
        <v/>
      </c>
      <c r="AD48" s="47"/>
      <c r="AE48" s="26"/>
      <c r="AF48" s="23"/>
      <c r="AG48" s="45" t="str">
        <f t="shared" si="14"/>
        <v/>
      </c>
      <c r="AH48" s="25"/>
      <c r="AI48" s="45" t="str">
        <f t="shared" si="15"/>
        <v/>
      </c>
      <c r="AJ48" s="27">
        <v>0.0</v>
      </c>
      <c r="AK48" s="33"/>
      <c r="AL48" s="26" t="str">
        <f t="shared" si="16"/>
        <v/>
      </c>
      <c r="AM48" s="23"/>
      <c r="AN48" s="45" t="str">
        <f t="shared" si="17"/>
        <v/>
      </c>
      <c r="AO48" s="25"/>
      <c r="AP48" s="45" t="str">
        <f t="shared" si="18"/>
        <v/>
      </c>
      <c r="AQ48" s="29" t="str">
        <f t="shared" si="19"/>
        <v/>
      </c>
      <c r="AR48" s="29">
        <f t="shared" si="20"/>
        <v>0</v>
      </c>
      <c r="AS48" s="29">
        <f t="shared" si="21"/>
        <v>0</v>
      </c>
      <c r="AT48" s="26" t="str">
        <f t="shared" si="22"/>
        <v/>
      </c>
      <c r="AU48" s="23"/>
      <c r="AV48" s="45" t="str">
        <f t="shared" si="23"/>
        <v/>
      </c>
      <c r="AW48" s="25"/>
      <c r="AX48" s="45" t="str">
        <f t="shared" si="24"/>
        <v/>
      </c>
      <c r="AY48" s="47"/>
      <c r="AZ48" s="26" t="str">
        <f t="shared" si="25"/>
        <v/>
      </c>
      <c r="BA48" s="23"/>
      <c r="BB48" s="45" t="str">
        <f t="shared" si="26"/>
        <v/>
      </c>
      <c r="BC48" s="25"/>
      <c r="BD48" s="45" t="str">
        <f t="shared" si="27"/>
        <v/>
      </c>
      <c r="BE48" s="47"/>
      <c r="BF48" s="26"/>
      <c r="BG48" s="23"/>
      <c r="BH48" s="45" t="str">
        <f t="shared" si="28"/>
        <v/>
      </c>
      <c r="BI48" s="25"/>
      <c r="BJ48" s="45" t="str">
        <f t="shared" si="29"/>
        <v/>
      </c>
      <c r="BK48" s="27">
        <v>0.0</v>
      </c>
      <c r="BL48" s="23"/>
      <c r="BM48" s="45" t="str">
        <f t="shared" si="30"/>
        <v/>
      </c>
      <c r="BN48" s="25"/>
      <c r="BO48" s="45" t="str">
        <f t="shared" si="31"/>
        <v/>
      </c>
      <c r="BP48" s="27">
        <v>0.0</v>
      </c>
      <c r="BQ48" s="33"/>
      <c r="BR48" s="23"/>
      <c r="BS48" s="45" t="str">
        <f t="shared" si="32"/>
        <v/>
      </c>
      <c r="BT48" s="25"/>
      <c r="BU48" s="45" t="str">
        <f t="shared" si="33"/>
        <v/>
      </c>
      <c r="BV48" s="29" t="str">
        <f t="shared" si="34"/>
        <v/>
      </c>
      <c r="BW48" s="29">
        <f t="shared" si="35"/>
        <v>0</v>
      </c>
      <c r="BX48" s="29">
        <f t="shared" si="36"/>
        <v>0</v>
      </c>
      <c r="BY48" s="26" t="str">
        <f t="shared" si="37"/>
        <v/>
      </c>
      <c r="BZ48" s="23"/>
      <c r="CA48" s="45" t="str">
        <f t="shared" si="38"/>
        <v/>
      </c>
      <c r="CB48" s="25"/>
      <c r="CC48" s="45" t="str">
        <f t="shared" si="39"/>
        <v/>
      </c>
      <c r="CD48" s="47"/>
      <c r="CE48" s="26" t="str">
        <f t="shared" si="40"/>
        <v/>
      </c>
      <c r="CF48" s="23"/>
      <c r="CG48" s="45" t="str">
        <f t="shared" si="41"/>
        <v/>
      </c>
      <c r="CH48" s="25"/>
      <c r="CI48" s="45" t="str">
        <f t="shared" si="42"/>
        <v/>
      </c>
      <c r="CJ48" s="47"/>
      <c r="CK48" s="26"/>
      <c r="CL48" s="23"/>
      <c r="CM48" s="45" t="str">
        <f t="shared" si="43"/>
        <v/>
      </c>
      <c r="CN48" s="25"/>
      <c r="CO48" s="45" t="str">
        <f t="shared" si="44"/>
        <v/>
      </c>
      <c r="CP48" s="27">
        <v>0.0</v>
      </c>
    </row>
    <row r="49">
      <c r="A49" s="26" t="str">
        <f t="shared" si="1"/>
        <v/>
      </c>
      <c r="B49" s="26"/>
      <c r="C49" s="81"/>
      <c r="D49" s="27"/>
      <c r="E49" s="82"/>
      <c r="F49" s="20"/>
      <c r="G49" s="20"/>
      <c r="H49" s="20"/>
      <c r="I49" s="23"/>
      <c r="J49" s="33"/>
      <c r="K49" s="26" t="str">
        <f t="shared" si="2"/>
        <v/>
      </c>
      <c r="L49" s="23"/>
      <c r="M49" s="45" t="str">
        <f t="shared" si="3"/>
        <v/>
      </c>
      <c r="N49" s="25"/>
      <c r="O49" s="45" t="str">
        <f t="shared" si="4"/>
        <v/>
      </c>
      <c r="P49" s="29" t="str">
        <f t="shared" si="5"/>
        <v/>
      </c>
      <c r="Q49" s="29">
        <f t="shared" si="6"/>
        <v>0</v>
      </c>
      <c r="R49" s="29">
        <f t="shared" si="7"/>
        <v>0</v>
      </c>
      <c r="S49" s="26" t="str">
        <f t="shared" si="8"/>
        <v/>
      </c>
      <c r="T49" s="23"/>
      <c r="U49" s="45" t="str">
        <f t="shared" si="9"/>
        <v/>
      </c>
      <c r="V49" s="25"/>
      <c r="W49" s="45" t="str">
        <f t="shared" si="10"/>
        <v/>
      </c>
      <c r="X49" s="47"/>
      <c r="Y49" s="26" t="str">
        <f t="shared" si="11"/>
        <v/>
      </c>
      <c r="Z49" s="23"/>
      <c r="AA49" s="45" t="str">
        <f t="shared" si="12"/>
        <v/>
      </c>
      <c r="AB49" s="25"/>
      <c r="AC49" s="45" t="str">
        <f t="shared" si="13"/>
        <v/>
      </c>
      <c r="AD49" s="47"/>
      <c r="AE49" s="26"/>
      <c r="AF49" s="23"/>
      <c r="AG49" s="45" t="str">
        <f t="shared" si="14"/>
        <v/>
      </c>
      <c r="AH49" s="25"/>
      <c r="AI49" s="45" t="str">
        <f t="shared" si="15"/>
        <v/>
      </c>
      <c r="AJ49" s="27">
        <v>0.0</v>
      </c>
      <c r="AK49" s="33"/>
      <c r="AL49" s="26" t="str">
        <f t="shared" si="16"/>
        <v/>
      </c>
      <c r="AM49" s="23"/>
      <c r="AN49" s="45" t="str">
        <f t="shared" si="17"/>
        <v/>
      </c>
      <c r="AO49" s="25"/>
      <c r="AP49" s="45" t="str">
        <f t="shared" si="18"/>
        <v/>
      </c>
      <c r="AQ49" s="29" t="str">
        <f t="shared" si="19"/>
        <v/>
      </c>
      <c r="AR49" s="29">
        <f t="shared" si="20"/>
        <v>0</v>
      </c>
      <c r="AS49" s="29">
        <f t="shared" si="21"/>
        <v>0</v>
      </c>
      <c r="AT49" s="26" t="str">
        <f t="shared" si="22"/>
        <v/>
      </c>
      <c r="AU49" s="23"/>
      <c r="AV49" s="45" t="str">
        <f t="shared" si="23"/>
        <v/>
      </c>
      <c r="AW49" s="25"/>
      <c r="AX49" s="45" t="str">
        <f t="shared" si="24"/>
        <v/>
      </c>
      <c r="AY49" s="47"/>
      <c r="AZ49" s="26" t="str">
        <f t="shared" si="25"/>
        <v/>
      </c>
      <c r="BA49" s="23"/>
      <c r="BB49" s="45" t="str">
        <f t="shared" si="26"/>
        <v/>
      </c>
      <c r="BC49" s="25"/>
      <c r="BD49" s="45" t="str">
        <f t="shared" si="27"/>
        <v/>
      </c>
      <c r="BE49" s="47"/>
      <c r="BF49" s="26"/>
      <c r="BG49" s="23"/>
      <c r="BH49" s="45" t="str">
        <f t="shared" si="28"/>
        <v/>
      </c>
      <c r="BI49" s="25"/>
      <c r="BJ49" s="45" t="str">
        <f t="shared" si="29"/>
        <v/>
      </c>
      <c r="BK49" s="27">
        <v>0.0</v>
      </c>
      <c r="BL49" s="23"/>
      <c r="BM49" s="45" t="str">
        <f t="shared" si="30"/>
        <v/>
      </c>
      <c r="BN49" s="25"/>
      <c r="BO49" s="45" t="str">
        <f t="shared" si="31"/>
        <v/>
      </c>
      <c r="BP49" s="27">
        <v>0.0</v>
      </c>
      <c r="BQ49" s="33"/>
      <c r="BR49" s="23"/>
      <c r="BS49" s="45" t="str">
        <f t="shared" si="32"/>
        <v/>
      </c>
      <c r="BT49" s="25"/>
      <c r="BU49" s="45" t="str">
        <f t="shared" si="33"/>
        <v/>
      </c>
      <c r="BV49" s="29" t="str">
        <f t="shared" si="34"/>
        <v/>
      </c>
      <c r="BW49" s="29">
        <f t="shared" si="35"/>
        <v>0</v>
      </c>
      <c r="BX49" s="29">
        <f t="shared" si="36"/>
        <v>0</v>
      </c>
      <c r="BY49" s="26" t="str">
        <f t="shared" si="37"/>
        <v/>
      </c>
      <c r="BZ49" s="23"/>
      <c r="CA49" s="45" t="str">
        <f t="shared" si="38"/>
        <v/>
      </c>
      <c r="CB49" s="25"/>
      <c r="CC49" s="45" t="str">
        <f t="shared" si="39"/>
        <v/>
      </c>
      <c r="CD49" s="47"/>
      <c r="CE49" s="26" t="str">
        <f t="shared" si="40"/>
        <v/>
      </c>
      <c r="CF49" s="23"/>
      <c r="CG49" s="45" t="str">
        <f t="shared" si="41"/>
        <v/>
      </c>
      <c r="CH49" s="25"/>
      <c r="CI49" s="45" t="str">
        <f t="shared" si="42"/>
        <v/>
      </c>
      <c r="CJ49" s="47"/>
      <c r="CK49" s="26"/>
      <c r="CL49" s="23"/>
      <c r="CM49" s="45" t="str">
        <f t="shared" si="43"/>
        <v/>
      </c>
      <c r="CN49" s="25"/>
      <c r="CO49" s="45" t="str">
        <f t="shared" si="44"/>
        <v/>
      </c>
      <c r="CP49" s="27">
        <v>0.0</v>
      </c>
    </row>
    <row r="50">
      <c r="A50" s="26" t="str">
        <f t="shared" si="1"/>
        <v/>
      </c>
      <c r="B50" s="26"/>
      <c r="C50" s="81"/>
      <c r="D50" s="27"/>
      <c r="E50" s="82"/>
      <c r="F50" s="20"/>
      <c r="G50" s="20"/>
      <c r="H50" s="20"/>
      <c r="I50" s="23"/>
      <c r="J50" s="33"/>
      <c r="K50" s="26" t="str">
        <f t="shared" si="2"/>
        <v/>
      </c>
      <c r="L50" s="23"/>
      <c r="M50" s="45" t="str">
        <f t="shared" si="3"/>
        <v/>
      </c>
      <c r="N50" s="25"/>
      <c r="O50" s="45" t="str">
        <f t="shared" si="4"/>
        <v/>
      </c>
      <c r="P50" s="29" t="str">
        <f t="shared" si="5"/>
        <v/>
      </c>
      <c r="Q50" s="29">
        <f t="shared" si="6"/>
        <v>0</v>
      </c>
      <c r="R50" s="29">
        <f t="shared" si="7"/>
        <v>0</v>
      </c>
      <c r="S50" s="26" t="str">
        <f t="shared" si="8"/>
        <v/>
      </c>
      <c r="T50" s="23"/>
      <c r="U50" s="45" t="str">
        <f t="shared" si="9"/>
        <v/>
      </c>
      <c r="V50" s="25"/>
      <c r="W50" s="45" t="str">
        <f t="shared" si="10"/>
        <v/>
      </c>
      <c r="X50" s="47"/>
      <c r="Y50" s="26" t="str">
        <f t="shared" si="11"/>
        <v/>
      </c>
      <c r="Z50" s="23"/>
      <c r="AA50" s="45" t="str">
        <f t="shared" si="12"/>
        <v/>
      </c>
      <c r="AB50" s="25"/>
      <c r="AC50" s="45" t="str">
        <f t="shared" si="13"/>
        <v/>
      </c>
      <c r="AD50" s="47"/>
      <c r="AE50" s="26"/>
      <c r="AF50" s="23"/>
      <c r="AG50" s="45" t="str">
        <f t="shared" si="14"/>
        <v/>
      </c>
      <c r="AH50" s="25"/>
      <c r="AI50" s="45" t="str">
        <f t="shared" si="15"/>
        <v/>
      </c>
      <c r="AJ50" s="27">
        <v>0.0</v>
      </c>
      <c r="AK50" s="33"/>
      <c r="AL50" s="26" t="str">
        <f t="shared" si="16"/>
        <v/>
      </c>
      <c r="AM50" s="23"/>
      <c r="AN50" s="45" t="str">
        <f t="shared" si="17"/>
        <v/>
      </c>
      <c r="AO50" s="25"/>
      <c r="AP50" s="45" t="str">
        <f t="shared" si="18"/>
        <v/>
      </c>
      <c r="AQ50" s="29" t="str">
        <f t="shared" si="19"/>
        <v/>
      </c>
      <c r="AR50" s="29">
        <f t="shared" si="20"/>
        <v>0</v>
      </c>
      <c r="AS50" s="29">
        <f t="shared" si="21"/>
        <v>0</v>
      </c>
      <c r="AT50" s="26" t="str">
        <f t="shared" si="22"/>
        <v/>
      </c>
      <c r="AU50" s="23"/>
      <c r="AV50" s="45" t="str">
        <f t="shared" si="23"/>
        <v/>
      </c>
      <c r="AW50" s="25"/>
      <c r="AX50" s="45" t="str">
        <f t="shared" si="24"/>
        <v/>
      </c>
      <c r="AY50" s="47"/>
      <c r="AZ50" s="26" t="str">
        <f t="shared" si="25"/>
        <v/>
      </c>
      <c r="BA50" s="23"/>
      <c r="BB50" s="45" t="str">
        <f t="shared" si="26"/>
        <v/>
      </c>
      <c r="BC50" s="25"/>
      <c r="BD50" s="45" t="str">
        <f t="shared" si="27"/>
        <v/>
      </c>
      <c r="BE50" s="47"/>
      <c r="BF50" s="26"/>
      <c r="BG50" s="23"/>
      <c r="BH50" s="45" t="str">
        <f t="shared" si="28"/>
        <v/>
      </c>
      <c r="BI50" s="25"/>
      <c r="BJ50" s="45" t="str">
        <f t="shared" si="29"/>
        <v/>
      </c>
      <c r="BK50" s="27">
        <v>0.0</v>
      </c>
      <c r="BL50" s="23"/>
      <c r="BM50" s="45" t="str">
        <f t="shared" si="30"/>
        <v/>
      </c>
      <c r="BN50" s="25"/>
      <c r="BO50" s="45" t="str">
        <f t="shared" si="31"/>
        <v/>
      </c>
      <c r="BP50" s="27">
        <v>0.0</v>
      </c>
      <c r="BQ50" s="33"/>
      <c r="BR50" s="23"/>
      <c r="BS50" s="45" t="str">
        <f t="shared" si="32"/>
        <v/>
      </c>
      <c r="BT50" s="25"/>
      <c r="BU50" s="45" t="str">
        <f t="shared" si="33"/>
        <v/>
      </c>
      <c r="BV50" s="29" t="str">
        <f t="shared" si="34"/>
        <v/>
      </c>
      <c r="BW50" s="29">
        <f t="shared" si="35"/>
        <v>0</v>
      </c>
      <c r="BX50" s="29">
        <f t="shared" si="36"/>
        <v>0</v>
      </c>
      <c r="BY50" s="26" t="str">
        <f t="shared" si="37"/>
        <v/>
      </c>
      <c r="BZ50" s="23"/>
      <c r="CA50" s="45" t="str">
        <f t="shared" si="38"/>
        <v/>
      </c>
      <c r="CB50" s="25"/>
      <c r="CC50" s="45" t="str">
        <f t="shared" si="39"/>
        <v/>
      </c>
      <c r="CD50" s="47"/>
      <c r="CE50" s="26" t="str">
        <f t="shared" si="40"/>
        <v/>
      </c>
      <c r="CF50" s="23"/>
      <c r="CG50" s="45" t="str">
        <f t="shared" si="41"/>
        <v/>
      </c>
      <c r="CH50" s="25"/>
      <c r="CI50" s="45" t="str">
        <f t="shared" si="42"/>
        <v/>
      </c>
      <c r="CJ50" s="47"/>
      <c r="CK50" s="26"/>
      <c r="CL50" s="23"/>
      <c r="CM50" s="45" t="str">
        <f t="shared" si="43"/>
        <v/>
      </c>
      <c r="CN50" s="25"/>
      <c r="CO50" s="45" t="str">
        <f t="shared" si="44"/>
        <v/>
      </c>
      <c r="CP50" s="27">
        <v>0.0</v>
      </c>
    </row>
    <row r="51">
      <c r="A51" s="26" t="str">
        <f t="shared" si="1"/>
        <v/>
      </c>
      <c r="B51" s="26"/>
      <c r="C51" s="81"/>
      <c r="D51" s="27"/>
      <c r="E51" s="82"/>
      <c r="F51" s="20"/>
      <c r="G51" s="20"/>
      <c r="H51" s="20"/>
      <c r="I51" s="23"/>
      <c r="J51" s="33"/>
      <c r="K51" s="26" t="str">
        <f t="shared" si="2"/>
        <v/>
      </c>
      <c r="L51" s="23"/>
      <c r="M51" s="45" t="str">
        <f t="shared" si="3"/>
        <v/>
      </c>
      <c r="N51" s="25"/>
      <c r="O51" s="45" t="str">
        <f t="shared" si="4"/>
        <v/>
      </c>
      <c r="P51" s="29" t="str">
        <f t="shared" si="5"/>
        <v/>
      </c>
      <c r="Q51" s="29">
        <f t="shared" si="6"/>
        <v>0</v>
      </c>
      <c r="R51" s="29">
        <f t="shared" si="7"/>
        <v>0</v>
      </c>
      <c r="S51" s="26" t="str">
        <f t="shared" si="8"/>
        <v/>
      </c>
      <c r="T51" s="23"/>
      <c r="U51" s="45" t="str">
        <f t="shared" si="9"/>
        <v/>
      </c>
      <c r="V51" s="25"/>
      <c r="W51" s="45" t="str">
        <f t="shared" si="10"/>
        <v/>
      </c>
      <c r="X51" s="47"/>
      <c r="Y51" s="26" t="str">
        <f t="shared" si="11"/>
        <v/>
      </c>
      <c r="Z51" s="23"/>
      <c r="AA51" s="45" t="str">
        <f t="shared" si="12"/>
        <v/>
      </c>
      <c r="AB51" s="25"/>
      <c r="AC51" s="45" t="str">
        <f t="shared" si="13"/>
        <v/>
      </c>
      <c r="AD51" s="47"/>
      <c r="AE51" s="26"/>
      <c r="AF51" s="23"/>
      <c r="AG51" s="45" t="str">
        <f t="shared" si="14"/>
        <v/>
      </c>
      <c r="AH51" s="25"/>
      <c r="AI51" s="45" t="str">
        <f t="shared" si="15"/>
        <v/>
      </c>
      <c r="AJ51" s="27">
        <v>0.0</v>
      </c>
      <c r="AK51" s="33"/>
      <c r="AL51" s="26" t="str">
        <f t="shared" si="16"/>
        <v/>
      </c>
      <c r="AM51" s="23"/>
      <c r="AN51" s="45" t="str">
        <f t="shared" si="17"/>
        <v/>
      </c>
      <c r="AO51" s="25"/>
      <c r="AP51" s="45" t="str">
        <f t="shared" si="18"/>
        <v/>
      </c>
      <c r="AQ51" s="29" t="str">
        <f t="shared" si="19"/>
        <v/>
      </c>
      <c r="AR51" s="29">
        <f t="shared" si="20"/>
        <v>0</v>
      </c>
      <c r="AS51" s="29">
        <f t="shared" si="21"/>
        <v>0</v>
      </c>
      <c r="AT51" s="26" t="str">
        <f t="shared" si="22"/>
        <v/>
      </c>
      <c r="AU51" s="23"/>
      <c r="AV51" s="45" t="str">
        <f t="shared" si="23"/>
        <v/>
      </c>
      <c r="AW51" s="25"/>
      <c r="AX51" s="45" t="str">
        <f t="shared" si="24"/>
        <v/>
      </c>
      <c r="AY51" s="47"/>
      <c r="AZ51" s="26" t="str">
        <f t="shared" si="25"/>
        <v/>
      </c>
      <c r="BA51" s="23"/>
      <c r="BB51" s="45" t="str">
        <f t="shared" si="26"/>
        <v/>
      </c>
      <c r="BC51" s="25"/>
      <c r="BD51" s="45" t="str">
        <f t="shared" si="27"/>
        <v/>
      </c>
      <c r="BE51" s="47"/>
      <c r="BF51" s="26"/>
      <c r="BG51" s="23"/>
      <c r="BH51" s="45" t="str">
        <f t="shared" si="28"/>
        <v/>
      </c>
      <c r="BI51" s="25"/>
      <c r="BJ51" s="45" t="str">
        <f t="shared" si="29"/>
        <v/>
      </c>
      <c r="BK51" s="27">
        <v>0.0</v>
      </c>
      <c r="BL51" s="23"/>
      <c r="BM51" s="45" t="str">
        <f t="shared" si="30"/>
        <v/>
      </c>
      <c r="BN51" s="25"/>
      <c r="BO51" s="45" t="str">
        <f t="shared" si="31"/>
        <v/>
      </c>
      <c r="BP51" s="27">
        <v>0.0</v>
      </c>
      <c r="BQ51" s="33"/>
      <c r="BR51" s="23"/>
      <c r="BS51" s="45" t="str">
        <f t="shared" si="32"/>
        <v/>
      </c>
      <c r="BT51" s="25"/>
      <c r="BU51" s="45" t="str">
        <f t="shared" si="33"/>
        <v/>
      </c>
      <c r="BV51" s="29" t="str">
        <f t="shared" si="34"/>
        <v/>
      </c>
      <c r="BW51" s="29">
        <f t="shared" si="35"/>
        <v>0</v>
      </c>
      <c r="BX51" s="29">
        <f t="shared" si="36"/>
        <v>0</v>
      </c>
      <c r="BY51" s="26" t="str">
        <f t="shared" si="37"/>
        <v/>
      </c>
      <c r="BZ51" s="23"/>
      <c r="CA51" s="45" t="str">
        <f t="shared" si="38"/>
        <v/>
      </c>
      <c r="CB51" s="25"/>
      <c r="CC51" s="45" t="str">
        <f t="shared" si="39"/>
        <v/>
      </c>
      <c r="CD51" s="47"/>
      <c r="CE51" s="26" t="str">
        <f t="shared" si="40"/>
        <v/>
      </c>
      <c r="CF51" s="23"/>
      <c r="CG51" s="45" t="str">
        <f t="shared" si="41"/>
        <v/>
      </c>
      <c r="CH51" s="25"/>
      <c r="CI51" s="45" t="str">
        <f t="shared" si="42"/>
        <v/>
      </c>
      <c r="CJ51" s="47"/>
      <c r="CK51" s="26"/>
      <c r="CL51" s="23"/>
      <c r="CM51" s="45" t="str">
        <f t="shared" si="43"/>
        <v/>
      </c>
      <c r="CN51" s="25"/>
      <c r="CO51" s="45" t="str">
        <f t="shared" si="44"/>
        <v/>
      </c>
      <c r="CP51" s="27">
        <v>0.0</v>
      </c>
    </row>
    <row r="52">
      <c r="A52" s="26" t="str">
        <f t="shared" si="1"/>
        <v/>
      </c>
      <c r="B52" s="26"/>
      <c r="C52" s="81"/>
      <c r="D52" s="27"/>
      <c r="E52" s="82"/>
      <c r="F52" s="20"/>
      <c r="G52" s="20"/>
      <c r="H52" s="20"/>
      <c r="I52" s="23"/>
      <c r="J52" s="33"/>
      <c r="K52" s="26" t="str">
        <f t="shared" si="2"/>
        <v/>
      </c>
      <c r="L52" s="23"/>
      <c r="M52" s="45" t="str">
        <f t="shared" si="3"/>
        <v/>
      </c>
      <c r="N52" s="25"/>
      <c r="O52" s="45" t="str">
        <f t="shared" si="4"/>
        <v/>
      </c>
      <c r="P52" s="29" t="str">
        <f t="shared" si="5"/>
        <v/>
      </c>
      <c r="Q52" s="29">
        <f t="shared" si="6"/>
        <v>0</v>
      </c>
      <c r="R52" s="29">
        <f t="shared" si="7"/>
        <v>0</v>
      </c>
      <c r="S52" s="26" t="str">
        <f t="shared" si="8"/>
        <v/>
      </c>
      <c r="T52" s="23"/>
      <c r="U52" s="45" t="str">
        <f t="shared" si="9"/>
        <v/>
      </c>
      <c r="V52" s="25"/>
      <c r="W52" s="45" t="str">
        <f t="shared" si="10"/>
        <v/>
      </c>
      <c r="X52" s="47"/>
      <c r="Y52" s="26" t="str">
        <f t="shared" si="11"/>
        <v/>
      </c>
      <c r="Z52" s="23"/>
      <c r="AA52" s="45" t="str">
        <f t="shared" si="12"/>
        <v/>
      </c>
      <c r="AB52" s="25"/>
      <c r="AC52" s="45" t="str">
        <f t="shared" si="13"/>
        <v/>
      </c>
      <c r="AD52" s="47"/>
      <c r="AE52" s="26"/>
      <c r="AF52" s="23"/>
      <c r="AG52" s="45" t="str">
        <f t="shared" si="14"/>
        <v/>
      </c>
      <c r="AH52" s="25"/>
      <c r="AI52" s="45" t="str">
        <f t="shared" si="15"/>
        <v/>
      </c>
      <c r="AJ52" s="27">
        <v>0.0</v>
      </c>
      <c r="AK52" s="33"/>
      <c r="AL52" s="26" t="str">
        <f t="shared" si="16"/>
        <v/>
      </c>
      <c r="AM52" s="23"/>
      <c r="AN52" s="45" t="str">
        <f t="shared" si="17"/>
        <v/>
      </c>
      <c r="AO52" s="25"/>
      <c r="AP52" s="45" t="str">
        <f t="shared" si="18"/>
        <v/>
      </c>
      <c r="AQ52" s="29" t="str">
        <f t="shared" si="19"/>
        <v/>
      </c>
      <c r="AR52" s="29">
        <f t="shared" si="20"/>
        <v>0</v>
      </c>
      <c r="AS52" s="29">
        <f t="shared" si="21"/>
        <v>0</v>
      </c>
      <c r="AT52" s="26" t="str">
        <f t="shared" si="22"/>
        <v/>
      </c>
      <c r="AU52" s="23"/>
      <c r="AV52" s="45" t="str">
        <f t="shared" si="23"/>
        <v/>
      </c>
      <c r="AW52" s="25"/>
      <c r="AX52" s="45" t="str">
        <f t="shared" si="24"/>
        <v/>
      </c>
      <c r="AY52" s="47"/>
      <c r="AZ52" s="26" t="str">
        <f t="shared" si="25"/>
        <v/>
      </c>
      <c r="BA52" s="23"/>
      <c r="BB52" s="45" t="str">
        <f t="shared" si="26"/>
        <v/>
      </c>
      <c r="BC52" s="25"/>
      <c r="BD52" s="45" t="str">
        <f t="shared" si="27"/>
        <v/>
      </c>
      <c r="BE52" s="47"/>
      <c r="BF52" s="26"/>
      <c r="BG52" s="23"/>
      <c r="BH52" s="45" t="str">
        <f t="shared" si="28"/>
        <v/>
      </c>
      <c r="BI52" s="25"/>
      <c r="BJ52" s="45" t="str">
        <f t="shared" si="29"/>
        <v/>
      </c>
      <c r="BK52" s="27">
        <v>0.0</v>
      </c>
      <c r="BL52" s="23"/>
      <c r="BM52" s="45" t="str">
        <f t="shared" si="30"/>
        <v/>
      </c>
      <c r="BN52" s="25"/>
      <c r="BO52" s="45" t="str">
        <f t="shared" si="31"/>
        <v/>
      </c>
      <c r="BP52" s="27">
        <v>0.0</v>
      </c>
      <c r="BQ52" s="33"/>
      <c r="BR52" s="23"/>
      <c r="BS52" s="45" t="str">
        <f t="shared" si="32"/>
        <v/>
      </c>
      <c r="BT52" s="25"/>
      <c r="BU52" s="45" t="str">
        <f t="shared" si="33"/>
        <v/>
      </c>
      <c r="BV52" s="29" t="str">
        <f t="shared" si="34"/>
        <v/>
      </c>
      <c r="BW52" s="29">
        <f t="shared" si="35"/>
        <v>0</v>
      </c>
      <c r="BX52" s="29">
        <f t="shared" si="36"/>
        <v>0</v>
      </c>
      <c r="BY52" s="26" t="str">
        <f t="shared" si="37"/>
        <v/>
      </c>
      <c r="BZ52" s="23"/>
      <c r="CA52" s="45" t="str">
        <f t="shared" si="38"/>
        <v/>
      </c>
      <c r="CB52" s="25"/>
      <c r="CC52" s="45" t="str">
        <f t="shared" si="39"/>
        <v/>
      </c>
      <c r="CD52" s="47"/>
      <c r="CE52" s="26" t="str">
        <f t="shared" si="40"/>
        <v/>
      </c>
      <c r="CF52" s="23"/>
      <c r="CG52" s="45" t="str">
        <f t="shared" si="41"/>
        <v/>
      </c>
      <c r="CH52" s="25"/>
      <c r="CI52" s="45" t="str">
        <f t="shared" si="42"/>
        <v/>
      </c>
      <c r="CJ52" s="47"/>
      <c r="CK52" s="26"/>
      <c r="CL52" s="23"/>
      <c r="CM52" s="45" t="str">
        <f t="shared" si="43"/>
        <v/>
      </c>
      <c r="CN52" s="25"/>
      <c r="CO52" s="45" t="str">
        <f t="shared" si="44"/>
        <v/>
      </c>
      <c r="CP52" s="27">
        <v>0.0</v>
      </c>
    </row>
    <row r="53">
      <c r="A53" s="26" t="str">
        <f t="shared" si="1"/>
        <v/>
      </c>
      <c r="B53" s="26"/>
      <c r="C53" s="81"/>
      <c r="D53" s="27"/>
      <c r="E53" s="82"/>
      <c r="F53" s="20"/>
      <c r="G53" s="20"/>
      <c r="H53" s="20"/>
      <c r="I53" s="23"/>
      <c r="J53" s="33"/>
      <c r="K53" s="26" t="str">
        <f t="shared" si="2"/>
        <v/>
      </c>
      <c r="L53" s="23"/>
      <c r="M53" s="45" t="str">
        <f t="shared" si="3"/>
        <v/>
      </c>
      <c r="N53" s="25"/>
      <c r="O53" s="45" t="str">
        <f t="shared" si="4"/>
        <v/>
      </c>
      <c r="P53" s="29" t="str">
        <f t="shared" si="5"/>
        <v/>
      </c>
      <c r="Q53" s="29">
        <f t="shared" si="6"/>
        <v>0</v>
      </c>
      <c r="R53" s="29">
        <f t="shared" si="7"/>
        <v>0</v>
      </c>
      <c r="S53" s="26" t="str">
        <f t="shared" si="8"/>
        <v/>
      </c>
      <c r="T53" s="23"/>
      <c r="U53" s="45" t="str">
        <f t="shared" si="9"/>
        <v/>
      </c>
      <c r="V53" s="25"/>
      <c r="W53" s="45" t="str">
        <f t="shared" si="10"/>
        <v/>
      </c>
      <c r="X53" s="47"/>
      <c r="Y53" s="26" t="str">
        <f t="shared" si="11"/>
        <v/>
      </c>
      <c r="Z53" s="23"/>
      <c r="AA53" s="45" t="str">
        <f t="shared" si="12"/>
        <v/>
      </c>
      <c r="AB53" s="25"/>
      <c r="AC53" s="45" t="str">
        <f t="shared" si="13"/>
        <v/>
      </c>
      <c r="AD53" s="47"/>
      <c r="AE53" s="26"/>
      <c r="AF53" s="23"/>
      <c r="AG53" s="45" t="str">
        <f t="shared" si="14"/>
        <v/>
      </c>
      <c r="AH53" s="25"/>
      <c r="AI53" s="45" t="str">
        <f t="shared" si="15"/>
        <v/>
      </c>
      <c r="AJ53" s="27">
        <v>0.0</v>
      </c>
      <c r="AK53" s="33"/>
      <c r="AL53" s="26" t="str">
        <f t="shared" si="16"/>
        <v/>
      </c>
      <c r="AM53" s="23"/>
      <c r="AN53" s="45" t="str">
        <f t="shared" si="17"/>
        <v/>
      </c>
      <c r="AO53" s="25"/>
      <c r="AP53" s="45" t="str">
        <f t="shared" si="18"/>
        <v/>
      </c>
      <c r="AQ53" s="29" t="str">
        <f t="shared" si="19"/>
        <v/>
      </c>
      <c r="AR53" s="29">
        <f t="shared" si="20"/>
        <v>0</v>
      </c>
      <c r="AS53" s="29">
        <f t="shared" si="21"/>
        <v>0</v>
      </c>
      <c r="AT53" s="26" t="str">
        <f t="shared" si="22"/>
        <v/>
      </c>
      <c r="AU53" s="23"/>
      <c r="AV53" s="45" t="str">
        <f t="shared" si="23"/>
        <v/>
      </c>
      <c r="AW53" s="25"/>
      <c r="AX53" s="45" t="str">
        <f t="shared" si="24"/>
        <v/>
      </c>
      <c r="AY53" s="47"/>
      <c r="AZ53" s="26" t="str">
        <f t="shared" si="25"/>
        <v/>
      </c>
      <c r="BA53" s="23"/>
      <c r="BB53" s="45" t="str">
        <f t="shared" si="26"/>
        <v/>
      </c>
      <c r="BC53" s="25"/>
      <c r="BD53" s="45" t="str">
        <f t="shared" si="27"/>
        <v/>
      </c>
      <c r="BE53" s="47"/>
      <c r="BF53" s="26"/>
      <c r="BG53" s="23"/>
      <c r="BH53" s="45" t="str">
        <f t="shared" si="28"/>
        <v/>
      </c>
      <c r="BI53" s="25"/>
      <c r="BJ53" s="45" t="str">
        <f t="shared" si="29"/>
        <v/>
      </c>
      <c r="BK53" s="27">
        <v>0.0</v>
      </c>
      <c r="BL53" s="23"/>
      <c r="BM53" s="45" t="str">
        <f t="shared" si="30"/>
        <v/>
      </c>
      <c r="BN53" s="25"/>
      <c r="BO53" s="45" t="str">
        <f t="shared" si="31"/>
        <v/>
      </c>
      <c r="BP53" s="27">
        <v>0.0</v>
      </c>
      <c r="BQ53" s="33"/>
      <c r="BR53" s="23"/>
      <c r="BS53" s="45" t="str">
        <f t="shared" si="32"/>
        <v/>
      </c>
      <c r="BT53" s="25"/>
      <c r="BU53" s="45" t="str">
        <f t="shared" si="33"/>
        <v/>
      </c>
      <c r="BV53" s="29" t="str">
        <f t="shared" si="34"/>
        <v/>
      </c>
      <c r="BW53" s="29">
        <f t="shared" si="35"/>
        <v>0</v>
      </c>
      <c r="BX53" s="29">
        <f t="shared" si="36"/>
        <v>0</v>
      </c>
      <c r="BY53" s="26" t="str">
        <f t="shared" si="37"/>
        <v/>
      </c>
      <c r="BZ53" s="23"/>
      <c r="CA53" s="45" t="str">
        <f t="shared" si="38"/>
        <v/>
      </c>
      <c r="CB53" s="25"/>
      <c r="CC53" s="45" t="str">
        <f t="shared" si="39"/>
        <v/>
      </c>
      <c r="CD53" s="47"/>
      <c r="CE53" s="26" t="str">
        <f t="shared" si="40"/>
        <v/>
      </c>
      <c r="CF53" s="23"/>
      <c r="CG53" s="45" t="str">
        <f t="shared" si="41"/>
        <v/>
      </c>
      <c r="CH53" s="25"/>
      <c r="CI53" s="45" t="str">
        <f t="shared" si="42"/>
        <v/>
      </c>
      <c r="CJ53" s="47"/>
      <c r="CK53" s="26"/>
      <c r="CL53" s="23"/>
      <c r="CM53" s="45" t="str">
        <f t="shared" si="43"/>
        <v/>
      </c>
      <c r="CN53" s="25"/>
      <c r="CO53" s="45" t="str">
        <f t="shared" si="44"/>
        <v/>
      </c>
      <c r="CP53" s="27">
        <v>0.0</v>
      </c>
    </row>
    <row r="54">
      <c r="A54" s="26" t="str">
        <f t="shared" si="1"/>
        <v/>
      </c>
      <c r="B54" s="26"/>
      <c r="C54" s="81"/>
      <c r="D54" s="27"/>
      <c r="E54" s="82"/>
      <c r="F54" s="20"/>
      <c r="G54" s="20"/>
      <c r="H54" s="20"/>
      <c r="I54" s="23"/>
      <c r="J54" s="33"/>
      <c r="K54" s="26" t="str">
        <f t="shared" si="2"/>
        <v/>
      </c>
      <c r="L54" s="23"/>
      <c r="M54" s="45" t="str">
        <f t="shared" si="3"/>
        <v/>
      </c>
      <c r="N54" s="25"/>
      <c r="O54" s="45" t="str">
        <f t="shared" si="4"/>
        <v/>
      </c>
      <c r="P54" s="29" t="str">
        <f t="shared" si="5"/>
        <v/>
      </c>
      <c r="Q54" s="29">
        <f t="shared" si="6"/>
        <v>0</v>
      </c>
      <c r="R54" s="29">
        <f t="shared" si="7"/>
        <v>0</v>
      </c>
      <c r="S54" s="26" t="str">
        <f t="shared" si="8"/>
        <v/>
      </c>
      <c r="T54" s="23"/>
      <c r="U54" s="45" t="str">
        <f t="shared" si="9"/>
        <v/>
      </c>
      <c r="V54" s="25"/>
      <c r="W54" s="45" t="str">
        <f t="shared" si="10"/>
        <v/>
      </c>
      <c r="X54" s="47"/>
      <c r="Y54" s="26" t="str">
        <f t="shared" si="11"/>
        <v/>
      </c>
      <c r="Z54" s="23"/>
      <c r="AA54" s="45" t="str">
        <f t="shared" si="12"/>
        <v/>
      </c>
      <c r="AB54" s="25"/>
      <c r="AC54" s="45" t="str">
        <f t="shared" si="13"/>
        <v/>
      </c>
      <c r="AD54" s="47"/>
      <c r="AE54" s="26"/>
      <c r="AF54" s="23"/>
      <c r="AG54" s="45" t="str">
        <f t="shared" si="14"/>
        <v/>
      </c>
      <c r="AH54" s="25"/>
      <c r="AI54" s="45" t="str">
        <f t="shared" si="15"/>
        <v/>
      </c>
      <c r="AJ54" s="27">
        <v>0.0</v>
      </c>
      <c r="AK54" s="33"/>
      <c r="AL54" s="26" t="str">
        <f t="shared" si="16"/>
        <v/>
      </c>
      <c r="AM54" s="23"/>
      <c r="AN54" s="45" t="str">
        <f t="shared" si="17"/>
        <v/>
      </c>
      <c r="AO54" s="25"/>
      <c r="AP54" s="45" t="str">
        <f t="shared" si="18"/>
        <v/>
      </c>
      <c r="AQ54" s="29" t="str">
        <f t="shared" si="19"/>
        <v/>
      </c>
      <c r="AR54" s="29">
        <f t="shared" si="20"/>
        <v>0</v>
      </c>
      <c r="AS54" s="29">
        <f t="shared" si="21"/>
        <v>0</v>
      </c>
      <c r="AT54" s="26" t="str">
        <f t="shared" si="22"/>
        <v/>
      </c>
      <c r="AU54" s="23"/>
      <c r="AV54" s="45" t="str">
        <f t="shared" si="23"/>
        <v/>
      </c>
      <c r="AW54" s="25"/>
      <c r="AX54" s="45" t="str">
        <f t="shared" si="24"/>
        <v/>
      </c>
      <c r="AY54" s="47"/>
      <c r="AZ54" s="26" t="str">
        <f t="shared" si="25"/>
        <v/>
      </c>
      <c r="BA54" s="23"/>
      <c r="BB54" s="45" t="str">
        <f t="shared" si="26"/>
        <v/>
      </c>
      <c r="BC54" s="25"/>
      <c r="BD54" s="45" t="str">
        <f t="shared" si="27"/>
        <v/>
      </c>
      <c r="BE54" s="47"/>
      <c r="BF54" s="26"/>
      <c r="BG54" s="23"/>
      <c r="BH54" s="45" t="str">
        <f t="shared" si="28"/>
        <v/>
      </c>
      <c r="BI54" s="25"/>
      <c r="BJ54" s="45" t="str">
        <f t="shared" si="29"/>
        <v/>
      </c>
      <c r="BK54" s="27">
        <v>0.0</v>
      </c>
      <c r="BL54" s="23"/>
      <c r="BM54" s="45" t="str">
        <f t="shared" si="30"/>
        <v/>
      </c>
      <c r="BN54" s="25"/>
      <c r="BO54" s="45" t="str">
        <f t="shared" si="31"/>
        <v/>
      </c>
      <c r="BP54" s="27">
        <v>0.0</v>
      </c>
      <c r="BQ54" s="33"/>
      <c r="BR54" s="23"/>
      <c r="BS54" s="45" t="str">
        <f t="shared" si="32"/>
        <v/>
      </c>
      <c r="BT54" s="25"/>
      <c r="BU54" s="45" t="str">
        <f t="shared" si="33"/>
        <v/>
      </c>
      <c r="BV54" s="29" t="str">
        <f t="shared" si="34"/>
        <v/>
      </c>
      <c r="BW54" s="29">
        <f t="shared" si="35"/>
        <v>0</v>
      </c>
      <c r="BX54" s="29">
        <f t="shared" si="36"/>
        <v>0</v>
      </c>
      <c r="BY54" s="26" t="str">
        <f t="shared" si="37"/>
        <v/>
      </c>
      <c r="BZ54" s="23"/>
      <c r="CA54" s="45" t="str">
        <f t="shared" si="38"/>
        <v/>
      </c>
      <c r="CB54" s="25"/>
      <c r="CC54" s="45" t="str">
        <f t="shared" si="39"/>
        <v/>
      </c>
      <c r="CD54" s="47"/>
      <c r="CE54" s="26" t="str">
        <f t="shared" si="40"/>
        <v/>
      </c>
      <c r="CF54" s="23"/>
      <c r="CG54" s="45" t="str">
        <f t="shared" si="41"/>
        <v/>
      </c>
      <c r="CH54" s="25"/>
      <c r="CI54" s="45" t="str">
        <f t="shared" si="42"/>
        <v/>
      </c>
      <c r="CJ54" s="47"/>
      <c r="CK54" s="26"/>
      <c r="CL54" s="23"/>
      <c r="CM54" s="45" t="str">
        <f t="shared" si="43"/>
        <v/>
      </c>
      <c r="CN54" s="25"/>
      <c r="CO54" s="45" t="str">
        <f t="shared" si="44"/>
        <v/>
      </c>
      <c r="CP54" s="27">
        <v>0.0</v>
      </c>
    </row>
    <row r="55">
      <c r="A55" s="26" t="str">
        <f t="shared" si="1"/>
        <v/>
      </c>
      <c r="B55" s="26"/>
      <c r="C55" s="81"/>
      <c r="D55" s="27"/>
      <c r="E55" s="82"/>
      <c r="F55" s="20"/>
      <c r="G55" s="20"/>
      <c r="H55" s="20"/>
      <c r="I55" s="23"/>
      <c r="J55" s="33"/>
      <c r="K55" s="26" t="str">
        <f t="shared" si="2"/>
        <v/>
      </c>
      <c r="L55" s="23"/>
      <c r="M55" s="45" t="str">
        <f t="shared" si="3"/>
        <v/>
      </c>
      <c r="N55" s="25"/>
      <c r="O55" s="45" t="str">
        <f t="shared" si="4"/>
        <v/>
      </c>
      <c r="P55" s="29" t="str">
        <f t="shared" si="5"/>
        <v/>
      </c>
      <c r="Q55" s="29">
        <f t="shared" si="6"/>
        <v>0</v>
      </c>
      <c r="R55" s="29">
        <f t="shared" si="7"/>
        <v>0</v>
      </c>
      <c r="S55" s="26" t="str">
        <f t="shared" si="8"/>
        <v/>
      </c>
      <c r="T55" s="23"/>
      <c r="U55" s="45" t="str">
        <f t="shared" si="9"/>
        <v/>
      </c>
      <c r="V55" s="25"/>
      <c r="W55" s="45" t="str">
        <f t="shared" si="10"/>
        <v/>
      </c>
      <c r="X55" s="47"/>
      <c r="Y55" s="26" t="str">
        <f t="shared" si="11"/>
        <v/>
      </c>
      <c r="Z55" s="23"/>
      <c r="AA55" s="45" t="str">
        <f t="shared" si="12"/>
        <v/>
      </c>
      <c r="AB55" s="25"/>
      <c r="AC55" s="45" t="str">
        <f t="shared" si="13"/>
        <v/>
      </c>
      <c r="AD55" s="47"/>
      <c r="AE55" s="26"/>
      <c r="AF55" s="23"/>
      <c r="AG55" s="45" t="str">
        <f t="shared" si="14"/>
        <v/>
      </c>
      <c r="AH55" s="25"/>
      <c r="AI55" s="45" t="str">
        <f t="shared" si="15"/>
        <v/>
      </c>
      <c r="AJ55" s="27">
        <v>0.0</v>
      </c>
      <c r="AK55" s="33"/>
      <c r="AL55" s="26" t="str">
        <f t="shared" si="16"/>
        <v/>
      </c>
      <c r="AM55" s="23"/>
      <c r="AN55" s="45" t="str">
        <f t="shared" si="17"/>
        <v/>
      </c>
      <c r="AO55" s="25"/>
      <c r="AP55" s="45" t="str">
        <f t="shared" si="18"/>
        <v/>
      </c>
      <c r="AQ55" s="29" t="str">
        <f t="shared" si="19"/>
        <v/>
      </c>
      <c r="AR55" s="29">
        <f t="shared" si="20"/>
        <v>0</v>
      </c>
      <c r="AS55" s="29">
        <f t="shared" si="21"/>
        <v>0</v>
      </c>
      <c r="AT55" s="26" t="str">
        <f t="shared" si="22"/>
        <v/>
      </c>
      <c r="AU55" s="23"/>
      <c r="AV55" s="45" t="str">
        <f t="shared" si="23"/>
        <v/>
      </c>
      <c r="AW55" s="25"/>
      <c r="AX55" s="45" t="str">
        <f t="shared" si="24"/>
        <v/>
      </c>
      <c r="AY55" s="47"/>
      <c r="AZ55" s="26" t="str">
        <f t="shared" si="25"/>
        <v/>
      </c>
      <c r="BA55" s="23"/>
      <c r="BB55" s="45" t="str">
        <f t="shared" si="26"/>
        <v/>
      </c>
      <c r="BC55" s="25"/>
      <c r="BD55" s="45" t="str">
        <f t="shared" si="27"/>
        <v/>
      </c>
      <c r="BE55" s="47"/>
      <c r="BF55" s="26"/>
      <c r="BG55" s="23"/>
      <c r="BH55" s="45" t="str">
        <f t="shared" si="28"/>
        <v/>
      </c>
      <c r="BI55" s="25"/>
      <c r="BJ55" s="45" t="str">
        <f t="shared" si="29"/>
        <v/>
      </c>
      <c r="BK55" s="27">
        <v>0.0</v>
      </c>
      <c r="BL55" s="23"/>
      <c r="BM55" s="45" t="str">
        <f t="shared" si="30"/>
        <v/>
      </c>
      <c r="BN55" s="25"/>
      <c r="BO55" s="45" t="str">
        <f t="shared" si="31"/>
        <v/>
      </c>
      <c r="BP55" s="27">
        <v>0.0</v>
      </c>
      <c r="BQ55" s="33"/>
      <c r="BR55" s="23"/>
      <c r="BS55" s="45" t="str">
        <f t="shared" si="32"/>
        <v/>
      </c>
      <c r="BT55" s="25"/>
      <c r="BU55" s="45" t="str">
        <f t="shared" si="33"/>
        <v/>
      </c>
      <c r="BV55" s="29" t="str">
        <f t="shared" si="34"/>
        <v/>
      </c>
      <c r="BW55" s="29">
        <f t="shared" si="35"/>
        <v>0</v>
      </c>
      <c r="BX55" s="29">
        <f t="shared" si="36"/>
        <v>0</v>
      </c>
      <c r="BY55" s="26" t="str">
        <f t="shared" si="37"/>
        <v/>
      </c>
      <c r="BZ55" s="23"/>
      <c r="CA55" s="45" t="str">
        <f t="shared" si="38"/>
        <v/>
      </c>
      <c r="CB55" s="25"/>
      <c r="CC55" s="45" t="str">
        <f t="shared" si="39"/>
        <v/>
      </c>
      <c r="CD55" s="47"/>
      <c r="CE55" s="26" t="str">
        <f t="shared" si="40"/>
        <v/>
      </c>
      <c r="CF55" s="23"/>
      <c r="CG55" s="45" t="str">
        <f t="shared" si="41"/>
        <v/>
      </c>
      <c r="CH55" s="25"/>
      <c r="CI55" s="45" t="str">
        <f t="shared" si="42"/>
        <v/>
      </c>
      <c r="CJ55" s="47"/>
      <c r="CK55" s="26"/>
      <c r="CL55" s="23"/>
      <c r="CM55" s="45" t="str">
        <f t="shared" si="43"/>
        <v/>
      </c>
      <c r="CN55" s="25"/>
      <c r="CO55" s="45" t="str">
        <f t="shared" si="44"/>
        <v/>
      </c>
      <c r="CP55" s="27">
        <v>0.0</v>
      </c>
    </row>
    <row r="56">
      <c r="A56" s="26" t="str">
        <f t="shared" si="1"/>
        <v/>
      </c>
      <c r="B56" s="26"/>
      <c r="C56" s="81"/>
      <c r="D56" s="27"/>
      <c r="E56" s="82"/>
      <c r="F56" s="20"/>
      <c r="G56" s="20"/>
      <c r="H56" s="20"/>
      <c r="I56" s="23"/>
      <c r="J56" s="33"/>
      <c r="K56" s="26" t="str">
        <f t="shared" si="2"/>
        <v/>
      </c>
      <c r="L56" s="23"/>
      <c r="M56" s="45" t="str">
        <f t="shared" si="3"/>
        <v/>
      </c>
      <c r="N56" s="25"/>
      <c r="O56" s="45" t="str">
        <f t="shared" si="4"/>
        <v/>
      </c>
      <c r="P56" s="29" t="str">
        <f t="shared" si="5"/>
        <v/>
      </c>
      <c r="Q56" s="29">
        <f t="shared" si="6"/>
        <v>0</v>
      </c>
      <c r="R56" s="29">
        <f t="shared" si="7"/>
        <v>0</v>
      </c>
      <c r="S56" s="26" t="str">
        <f t="shared" si="8"/>
        <v/>
      </c>
      <c r="T56" s="23"/>
      <c r="U56" s="45" t="str">
        <f t="shared" si="9"/>
        <v/>
      </c>
      <c r="V56" s="25"/>
      <c r="W56" s="45" t="str">
        <f t="shared" si="10"/>
        <v/>
      </c>
      <c r="X56" s="47"/>
      <c r="Y56" s="26" t="str">
        <f t="shared" si="11"/>
        <v/>
      </c>
      <c r="Z56" s="23"/>
      <c r="AA56" s="45" t="str">
        <f t="shared" si="12"/>
        <v/>
      </c>
      <c r="AB56" s="25"/>
      <c r="AC56" s="45" t="str">
        <f t="shared" si="13"/>
        <v/>
      </c>
      <c r="AD56" s="47"/>
      <c r="AE56" s="26"/>
      <c r="AF56" s="23"/>
      <c r="AG56" s="45" t="str">
        <f t="shared" si="14"/>
        <v/>
      </c>
      <c r="AH56" s="25"/>
      <c r="AI56" s="45" t="str">
        <f t="shared" si="15"/>
        <v/>
      </c>
      <c r="AJ56" s="27">
        <v>0.0</v>
      </c>
      <c r="AK56" s="33"/>
      <c r="AL56" s="26" t="str">
        <f t="shared" si="16"/>
        <v/>
      </c>
      <c r="AM56" s="23"/>
      <c r="AN56" s="45" t="str">
        <f t="shared" si="17"/>
        <v/>
      </c>
      <c r="AO56" s="25"/>
      <c r="AP56" s="45" t="str">
        <f t="shared" si="18"/>
        <v/>
      </c>
      <c r="AQ56" s="29" t="str">
        <f t="shared" si="19"/>
        <v/>
      </c>
      <c r="AR56" s="29">
        <f t="shared" si="20"/>
        <v>0</v>
      </c>
      <c r="AS56" s="29">
        <f t="shared" si="21"/>
        <v>0</v>
      </c>
      <c r="AT56" s="26" t="str">
        <f t="shared" si="22"/>
        <v/>
      </c>
      <c r="AU56" s="23"/>
      <c r="AV56" s="45" t="str">
        <f t="shared" si="23"/>
        <v/>
      </c>
      <c r="AW56" s="25"/>
      <c r="AX56" s="45" t="str">
        <f t="shared" si="24"/>
        <v/>
      </c>
      <c r="AY56" s="47"/>
      <c r="AZ56" s="26" t="str">
        <f t="shared" si="25"/>
        <v/>
      </c>
      <c r="BA56" s="23"/>
      <c r="BB56" s="45" t="str">
        <f t="shared" si="26"/>
        <v/>
      </c>
      <c r="BC56" s="25"/>
      <c r="BD56" s="45" t="str">
        <f t="shared" si="27"/>
        <v/>
      </c>
      <c r="BE56" s="47"/>
      <c r="BF56" s="26"/>
      <c r="BG56" s="23"/>
      <c r="BH56" s="45" t="str">
        <f t="shared" si="28"/>
        <v/>
      </c>
      <c r="BI56" s="25"/>
      <c r="BJ56" s="45" t="str">
        <f t="shared" si="29"/>
        <v/>
      </c>
      <c r="BK56" s="27">
        <v>0.0</v>
      </c>
      <c r="BL56" s="23"/>
      <c r="BM56" s="45" t="str">
        <f t="shared" si="30"/>
        <v/>
      </c>
      <c r="BN56" s="25"/>
      <c r="BO56" s="45" t="str">
        <f t="shared" si="31"/>
        <v/>
      </c>
      <c r="BP56" s="27">
        <v>0.0</v>
      </c>
      <c r="BQ56" s="33"/>
      <c r="BR56" s="23"/>
      <c r="BS56" s="45" t="str">
        <f t="shared" si="32"/>
        <v/>
      </c>
      <c r="BT56" s="25"/>
      <c r="BU56" s="45" t="str">
        <f t="shared" si="33"/>
        <v/>
      </c>
      <c r="BV56" s="29" t="str">
        <f t="shared" si="34"/>
        <v/>
      </c>
      <c r="BW56" s="29">
        <f t="shared" si="35"/>
        <v>0</v>
      </c>
      <c r="BX56" s="29">
        <f t="shared" si="36"/>
        <v>0</v>
      </c>
      <c r="BY56" s="26" t="str">
        <f t="shared" si="37"/>
        <v/>
      </c>
      <c r="BZ56" s="23"/>
      <c r="CA56" s="45" t="str">
        <f t="shared" si="38"/>
        <v/>
      </c>
      <c r="CB56" s="25"/>
      <c r="CC56" s="45" t="str">
        <f t="shared" si="39"/>
        <v/>
      </c>
      <c r="CD56" s="47"/>
      <c r="CE56" s="26" t="str">
        <f t="shared" si="40"/>
        <v/>
      </c>
      <c r="CF56" s="23"/>
      <c r="CG56" s="45" t="str">
        <f t="shared" si="41"/>
        <v/>
      </c>
      <c r="CH56" s="25"/>
      <c r="CI56" s="45" t="str">
        <f t="shared" si="42"/>
        <v/>
      </c>
      <c r="CJ56" s="47"/>
      <c r="CK56" s="26"/>
      <c r="CL56" s="23"/>
      <c r="CM56" s="45" t="str">
        <f t="shared" si="43"/>
        <v/>
      </c>
      <c r="CN56" s="25"/>
      <c r="CO56" s="45" t="str">
        <f t="shared" si="44"/>
        <v/>
      </c>
      <c r="CP56" s="27">
        <v>0.0</v>
      </c>
    </row>
    <row r="57">
      <c r="A57" s="26" t="str">
        <f t="shared" si="1"/>
        <v/>
      </c>
      <c r="B57" s="26"/>
      <c r="C57" s="81"/>
      <c r="D57" s="27"/>
      <c r="E57" s="82"/>
      <c r="F57" s="20"/>
      <c r="G57" s="20"/>
      <c r="H57" s="20"/>
      <c r="I57" s="23"/>
      <c r="J57" s="33"/>
      <c r="K57" s="26" t="str">
        <f t="shared" si="2"/>
        <v/>
      </c>
      <c r="L57" s="23"/>
      <c r="M57" s="45" t="str">
        <f t="shared" si="3"/>
        <v/>
      </c>
      <c r="N57" s="25"/>
      <c r="O57" s="45" t="str">
        <f t="shared" si="4"/>
        <v/>
      </c>
      <c r="P57" s="29" t="str">
        <f t="shared" si="5"/>
        <v/>
      </c>
      <c r="Q57" s="29">
        <f t="shared" si="6"/>
        <v>0</v>
      </c>
      <c r="R57" s="29">
        <f t="shared" si="7"/>
        <v>0</v>
      </c>
      <c r="S57" s="26" t="str">
        <f t="shared" si="8"/>
        <v/>
      </c>
      <c r="T57" s="23"/>
      <c r="U57" s="45" t="str">
        <f t="shared" si="9"/>
        <v/>
      </c>
      <c r="V57" s="25"/>
      <c r="W57" s="45" t="str">
        <f t="shared" si="10"/>
        <v/>
      </c>
      <c r="X57" s="47"/>
      <c r="Y57" s="26" t="str">
        <f t="shared" si="11"/>
        <v/>
      </c>
      <c r="Z57" s="23"/>
      <c r="AA57" s="45" t="str">
        <f t="shared" si="12"/>
        <v/>
      </c>
      <c r="AB57" s="25"/>
      <c r="AC57" s="45" t="str">
        <f t="shared" si="13"/>
        <v/>
      </c>
      <c r="AD57" s="47"/>
      <c r="AE57" s="26"/>
      <c r="AF57" s="23"/>
      <c r="AG57" s="45" t="str">
        <f t="shared" si="14"/>
        <v/>
      </c>
      <c r="AH57" s="25"/>
      <c r="AI57" s="45" t="str">
        <f t="shared" si="15"/>
        <v/>
      </c>
      <c r="AJ57" s="27">
        <v>0.0</v>
      </c>
      <c r="AK57" s="33"/>
      <c r="AL57" s="26" t="str">
        <f t="shared" si="16"/>
        <v/>
      </c>
      <c r="AM57" s="23"/>
      <c r="AN57" s="45" t="str">
        <f t="shared" si="17"/>
        <v/>
      </c>
      <c r="AO57" s="25"/>
      <c r="AP57" s="45" t="str">
        <f t="shared" si="18"/>
        <v/>
      </c>
      <c r="AQ57" s="29" t="str">
        <f t="shared" si="19"/>
        <v/>
      </c>
      <c r="AR57" s="29">
        <f t="shared" si="20"/>
        <v>0</v>
      </c>
      <c r="AS57" s="29">
        <f t="shared" si="21"/>
        <v>0</v>
      </c>
      <c r="AT57" s="26" t="str">
        <f t="shared" si="22"/>
        <v/>
      </c>
      <c r="AU57" s="23"/>
      <c r="AV57" s="45" t="str">
        <f t="shared" si="23"/>
        <v/>
      </c>
      <c r="AW57" s="25"/>
      <c r="AX57" s="45" t="str">
        <f t="shared" si="24"/>
        <v/>
      </c>
      <c r="AY57" s="47"/>
      <c r="AZ57" s="26" t="str">
        <f t="shared" si="25"/>
        <v/>
      </c>
      <c r="BA57" s="23"/>
      <c r="BB57" s="45" t="str">
        <f t="shared" si="26"/>
        <v/>
      </c>
      <c r="BC57" s="25"/>
      <c r="BD57" s="45" t="str">
        <f t="shared" si="27"/>
        <v/>
      </c>
      <c r="BE57" s="47"/>
      <c r="BF57" s="26"/>
      <c r="BG57" s="23"/>
      <c r="BH57" s="45" t="str">
        <f t="shared" si="28"/>
        <v/>
      </c>
      <c r="BI57" s="25"/>
      <c r="BJ57" s="45" t="str">
        <f t="shared" si="29"/>
        <v/>
      </c>
      <c r="BK57" s="27">
        <v>0.0</v>
      </c>
      <c r="BL57" s="23"/>
      <c r="BM57" s="45" t="str">
        <f t="shared" si="30"/>
        <v/>
      </c>
      <c r="BN57" s="25"/>
      <c r="BO57" s="45" t="str">
        <f t="shared" si="31"/>
        <v/>
      </c>
      <c r="BP57" s="27">
        <v>0.0</v>
      </c>
      <c r="BQ57" s="33"/>
      <c r="BR57" s="23"/>
      <c r="BS57" s="45" t="str">
        <f t="shared" si="32"/>
        <v/>
      </c>
      <c r="BT57" s="25"/>
      <c r="BU57" s="45" t="str">
        <f t="shared" si="33"/>
        <v/>
      </c>
      <c r="BV57" s="29" t="str">
        <f t="shared" si="34"/>
        <v/>
      </c>
      <c r="BW57" s="29">
        <f t="shared" si="35"/>
        <v>0</v>
      </c>
      <c r="BX57" s="29">
        <f t="shared" si="36"/>
        <v>0</v>
      </c>
      <c r="BY57" s="26" t="str">
        <f t="shared" si="37"/>
        <v/>
      </c>
      <c r="BZ57" s="23"/>
      <c r="CA57" s="45" t="str">
        <f t="shared" si="38"/>
        <v/>
      </c>
      <c r="CB57" s="25"/>
      <c r="CC57" s="45" t="str">
        <f t="shared" si="39"/>
        <v/>
      </c>
      <c r="CD57" s="47"/>
      <c r="CE57" s="26" t="str">
        <f t="shared" si="40"/>
        <v/>
      </c>
      <c r="CF57" s="23"/>
      <c r="CG57" s="45" t="str">
        <f t="shared" si="41"/>
        <v/>
      </c>
      <c r="CH57" s="25"/>
      <c r="CI57" s="45" t="str">
        <f t="shared" si="42"/>
        <v/>
      </c>
      <c r="CJ57" s="47"/>
      <c r="CK57" s="26"/>
      <c r="CL57" s="23"/>
      <c r="CM57" s="45" t="str">
        <f t="shared" si="43"/>
        <v/>
      </c>
      <c r="CN57" s="25"/>
      <c r="CO57" s="45" t="str">
        <f t="shared" si="44"/>
        <v/>
      </c>
      <c r="CP57" s="27">
        <v>0.0</v>
      </c>
    </row>
    <row r="58">
      <c r="A58" s="26" t="str">
        <f t="shared" si="1"/>
        <v/>
      </c>
      <c r="B58" s="26"/>
      <c r="C58" s="81"/>
      <c r="D58" s="27"/>
      <c r="E58" s="82"/>
      <c r="F58" s="20"/>
      <c r="G58" s="20"/>
      <c r="H58" s="20"/>
      <c r="I58" s="23"/>
      <c r="J58" s="33"/>
      <c r="K58" s="26" t="str">
        <f t="shared" si="2"/>
        <v/>
      </c>
      <c r="L58" s="23"/>
      <c r="M58" s="45" t="str">
        <f t="shared" si="3"/>
        <v/>
      </c>
      <c r="N58" s="25"/>
      <c r="O58" s="45" t="str">
        <f t="shared" si="4"/>
        <v/>
      </c>
      <c r="P58" s="29" t="str">
        <f t="shared" si="5"/>
        <v/>
      </c>
      <c r="Q58" s="29">
        <f t="shared" si="6"/>
        <v>0</v>
      </c>
      <c r="R58" s="29">
        <f t="shared" si="7"/>
        <v>0</v>
      </c>
      <c r="S58" s="26" t="str">
        <f t="shared" si="8"/>
        <v/>
      </c>
      <c r="T58" s="23"/>
      <c r="U58" s="45" t="str">
        <f t="shared" si="9"/>
        <v/>
      </c>
      <c r="V58" s="25"/>
      <c r="W58" s="45" t="str">
        <f t="shared" si="10"/>
        <v/>
      </c>
      <c r="X58" s="47"/>
      <c r="Y58" s="26" t="str">
        <f t="shared" si="11"/>
        <v/>
      </c>
      <c r="Z58" s="23"/>
      <c r="AA58" s="45" t="str">
        <f t="shared" si="12"/>
        <v/>
      </c>
      <c r="AB58" s="25"/>
      <c r="AC58" s="45" t="str">
        <f t="shared" si="13"/>
        <v/>
      </c>
      <c r="AD58" s="47"/>
      <c r="AE58" s="26"/>
      <c r="AF58" s="23"/>
      <c r="AG58" s="45" t="str">
        <f t="shared" si="14"/>
        <v/>
      </c>
      <c r="AH58" s="25"/>
      <c r="AI58" s="45" t="str">
        <f t="shared" si="15"/>
        <v/>
      </c>
      <c r="AJ58" s="27">
        <v>0.0</v>
      </c>
      <c r="AK58" s="33"/>
      <c r="AL58" s="26" t="str">
        <f t="shared" si="16"/>
        <v/>
      </c>
      <c r="AM58" s="23"/>
      <c r="AN58" s="45" t="str">
        <f t="shared" si="17"/>
        <v/>
      </c>
      <c r="AO58" s="25"/>
      <c r="AP58" s="45" t="str">
        <f t="shared" si="18"/>
        <v/>
      </c>
      <c r="AQ58" s="29" t="str">
        <f t="shared" si="19"/>
        <v/>
      </c>
      <c r="AR58" s="29">
        <f t="shared" si="20"/>
        <v>0</v>
      </c>
      <c r="AS58" s="29">
        <f t="shared" si="21"/>
        <v>0</v>
      </c>
      <c r="AT58" s="26" t="str">
        <f t="shared" si="22"/>
        <v/>
      </c>
      <c r="AU58" s="23"/>
      <c r="AV58" s="45" t="str">
        <f t="shared" si="23"/>
        <v/>
      </c>
      <c r="AW58" s="25"/>
      <c r="AX58" s="45" t="str">
        <f t="shared" si="24"/>
        <v/>
      </c>
      <c r="AY58" s="47"/>
      <c r="AZ58" s="26" t="str">
        <f t="shared" si="25"/>
        <v/>
      </c>
      <c r="BA58" s="23"/>
      <c r="BB58" s="45" t="str">
        <f t="shared" si="26"/>
        <v/>
      </c>
      <c r="BC58" s="25"/>
      <c r="BD58" s="45" t="str">
        <f t="shared" si="27"/>
        <v/>
      </c>
      <c r="BE58" s="47"/>
      <c r="BF58" s="26"/>
      <c r="BG58" s="23"/>
      <c r="BH58" s="45" t="str">
        <f t="shared" si="28"/>
        <v/>
      </c>
      <c r="BI58" s="25"/>
      <c r="BJ58" s="45" t="str">
        <f t="shared" si="29"/>
        <v/>
      </c>
      <c r="BK58" s="27">
        <v>0.0</v>
      </c>
      <c r="BL58" s="23"/>
      <c r="BM58" s="45" t="str">
        <f t="shared" si="30"/>
        <v/>
      </c>
      <c r="BN58" s="25"/>
      <c r="BO58" s="45" t="str">
        <f t="shared" si="31"/>
        <v/>
      </c>
      <c r="BP58" s="27">
        <v>0.0</v>
      </c>
      <c r="BQ58" s="33"/>
      <c r="BR58" s="23"/>
      <c r="BS58" s="45" t="str">
        <f t="shared" si="32"/>
        <v/>
      </c>
      <c r="BT58" s="25"/>
      <c r="BU58" s="45" t="str">
        <f t="shared" si="33"/>
        <v/>
      </c>
      <c r="BV58" s="29" t="str">
        <f t="shared" si="34"/>
        <v/>
      </c>
      <c r="BW58" s="29">
        <f t="shared" si="35"/>
        <v>0</v>
      </c>
      <c r="BX58" s="29">
        <f t="shared" si="36"/>
        <v>0</v>
      </c>
      <c r="BY58" s="26" t="str">
        <f t="shared" si="37"/>
        <v/>
      </c>
      <c r="BZ58" s="23"/>
      <c r="CA58" s="45" t="str">
        <f t="shared" si="38"/>
        <v/>
      </c>
      <c r="CB58" s="25"/>
      <c r="CC58" s="45" t="str">
        <f t="shared" si="39"/>
        <v/>
      </c>
      <c r="CD58" s="47"/>
      <c r="CE58" s="26" t="str">
        <f t="shared" si="40"/>
        <v/>
      </c>
      <c r="CF58" s="23"/>
      <c r="CG58" s="45" t="str">
        <f t="shared" si="41"/>
        <v/>
      </c>
      <c r="CH58" s="25"/>
      <c r="CI58" s="45" t="str">
        <f t="shared" si="42"/>
        <v/>
      </c>
      <c r="CJ58" s="47"/>
      <c r="CK58" s="26"/>
      <c r="CL58" s="23"/>
      <c r="CM58" s="45" t="str">
        <f t="shared" si="43"/>
        <v/>
      </c>
      <c r="CN58" s="25"/>
      <c r="CO58" s="45" t="str">
        <f t="shared" si="44"/>
        <v/>
      </c>
      <c r="CP58" s="27">
        <v>0.0</v>
      </c>
    </row>
    <row r="59">
      <c r="A59" s="26" t="str">
        <f t="shared" si="1"/>
        <v/>
      </c>
      <c r="B59" s="26"/>
      <c r="C59" s="81"/>
      <c r="D59" s="27"/>
      <c r="E59" s="82"/>
      <c r="F59" s="20"/>
      <c r="G59" s="20"/>
      <c r="H59" s="20"/>
      <c r="I59" s="23"/>
      <c r="J59" s="33"/>
      <c r="K59" s="26" t="str">
        <f t="shared" si="2"/>
        <v/>
      </c>
      <c r="L59" s="23"/>
      <c r="M59" s="45" t="str">
        <f t="shared" si="3"/>
        <v/>
      </c>
      <c r="N59" s="25"/>
      <c r="O59" s="45" t="str">
        <f t="shared" si="4"/>
        <v/>
      </c>
      <c r="P59" s="29" t="str">
        <f t="shared" si="5"/>
        <v/>
      </c>
      <c r="Q59" s="29">
        <f t="shared" si="6"/>
        <v>0</v>
      </c>
      <c r="R59" s="29">
        <f t="shared" si="7"/>
        <v>0</v>
      </c>
      <c r="S59" s="26" t="str">
        <f t="shared" si="8"/>
        <v/>
      </c>
      <c r="T59" s="23"/>
      <c r="U59" s="45" t="str">
        <f t="shared" si="9"/>
        <v/>
      </c>
      <c r="V59" s="25"/>
      <c r="W59" s="45" t="str">
        <f t="shared" si="10"/>
        <v/>
      </c>
      <c r="X59" s="47"/>
      <c r="Y59" s="26" t="str">
        <f t="shared" si="11"/>
        <v/>
      </c>
      <c r="Z59" s="23"/>
      <c r="AA59" s="45" t="str">
        <f t="shared" si="12"/>
        <v/>
      </c>
      <c r="AB59" s="25"/>
      <c r="AC59" s="45" t="str">
        <f t="shared" si="13"/>
        <v/>
      </c>
      <c r="AD59" s="47"/>
      <c r="AE59" s="26"/>
      <c r="AF59" s="23"/>
      <c r="AG59" s="45" t="str">
        <f t="shared" si="14"/>
        <v/>
      </c>
      <c r="AH59" s="25"/>
      <c r="AI59" s="45" t="str">
        <f t="shared" si="15"/>
        <v/>
      </c>
      <c r="AJ59" s="27">
        <v>0.0</v>
      </c>
      <c r="AK59" s="33"/>
      <c r="AL59" s="26" t="str">
        <f t="shared" si="16"/>
        <v/>
      </c>
      <c r="AM59" s="23"/>
      <c r="AN59" s="45" t="str">
        <f t="shared" si="17"/>
        <v/>
      </c>
      <c r="AO59" s="25"/>
      <c r="AP59" s="45" t="str">
        <f t="shared" si="18"/>
        <v/>
      </c>
      <c r="AQ59" s="29" t="str">
        <f t="shared" si="19"/>
        <v/>
      </c>
      <c r="AR59" s="29">
        <f t="shared" si="20"/>
        <v>0</v>
      </c>
      <c r="AS59" s="29">
        <f t="shared" si="21"/>
        <v>0</v>
      </c>
      <c r="AT59" s="26" t="str">
        <f t="shared" si="22"/>
        <v/>
      </c>
      <c r="AU59" s="23"/>
      <c r="AV59" s="45" t="str">
        <f t="shared" si="23"/>
        <v/>
      </c>
      <c r="AW59" s="25"/>
      <c r="AX59" s="45" t="str">
        <f t="shared" si="24"/>
        <v/>
      </c>
      <c r="AY59" s="47"/>
      <c r="AZ59" s="26" t="str">
        <f t="shared" si="25"/>
        <v/>
      </c>
      <c r="BA59" s="23"/>
      <c r="BB59" s="45" t="str">
        <f t="shared" si="26"/>
        <v/>
      </c>
      <c r="BC59" s="25"/>
      <c r="BD59" s="45" t="str">
        <f t="shared" si="27"/>
        <v/>
      </c>
      <c r="BE59" s="47"/>
      <c r="BF59" s="26"/>
      <c r="BG59" s="23"/>
      <c r="BH59" s="45" t="str">
        <f t="shared" si="28"/>
        <v/>
      </c>
      <c r="BI59" s="25"/>
      <c r="BJ59" s="45" t="str">
        <f t="shared" si="29"/>
        <v/>
      </c>
      <c r="BK59" s="27">
        <v>0.0</v>
      </c>
      <c r="BL59" s="23"/>
      <c r="BM59" s="45" t="str">
        <f t="shared" si="30"/>
        <v/>
      </c>
      <c r="BN59" s="25"/>
      <c r="BO59" s="45" t="str">
        <f t="shared" si="31"/>
        <v/>
      </c>
      <c r="BP59" s="27">
        <v>0.0</v>
      </c>
      <c r="BQ59" s="33"/>
      <c r="BR59" s="23"/>
      <c r="BS59" s="45" t="str">
        <f t="shared" si="32"/>
        <v/>
      </c>
      <c r="BT59" s="25"/>
      <c r="BU59" s="45" t="str">
        <f t="shared" si="33"/>
        <v/>
      </c>
      <c r="BV59" s="29" t="str">
        <f t="shared" si="34"/>
        <v/>
      </c>
      <c r="BW59" s="29">
        <f t="shared" si="35"/>
        <v>0</v>
      </c>
      <c r="BX59" s="29">
        <f t="shared" si="36"/>
        <v>0</v>
      </c>
      <c r="BY59" s="26" t="str">
        <f t="shared" si="37"/>
        <v/>
      </c>
      <c r="BZ59" s="23"/>
      <c r="CA59" s="45" t="str">
        <f t="shared" si="38"/>
        <v/>
      </c>
      <c r="CB59" s="25"/>
      <c r="CC59" s="45" t="str">
        <f t="shared" si="39"/>
        <v/>
      </c>
      <c r="CD59" s="47"/>
      <c r="CE59" s="26" t="str">
        <f t="shared" si="40"/>
        <v/>
      </c>
      <c r="CF59" s="23"/>
      <c r="CG59" s="45" t="str">
        <f t="shared" si="41"/>
        <v/>
      </c>
      <c r="CH59" s="25"/>
      <c r="CI59" s="45" t="str">
        <f t="shared" si="42"/>
        <v/>
      </c>
      <c r="CJ59" s="47"/>
      <c r="CK59" s="26"/>
      <c r="CL59" s="23"/>
      <c r="CM59" s="45" t="str">
        <f t="shared" si="43"/>
        <v/>
      </c>
      <c r="CN59" s="25"/>
      <c r="CO59" s="45" t="str">
        <f t="shared" si="44"/>
        <v/>
      </c>
      <c r="CP59" s="27">
        <v>0.0</v>
      </c>
    </row>
    <row r="60">
      <c r="A60" s="26" t="str">
        <f t="shared" si="1"/>
        <v/>
      </c>
      <c r="B60" s="26"/>
      <c r="C60" s="81"/>
      <c r="D60" s="27"/>
      <c r="E60" s="82"/>
      <c r="F60" s="20"/>
      <c r="G60" s="20"/>
      <c r="H60" s="20"/>
      <c r="I60" s="23"/>
      <c r="J60" s="33"/>
      <c r="K60" s="26" t="str">
        <f t="shared" si="2"/>
        <v/>
      </c>
      <c r="L60" s="23"/>
      <c r="M60" s="45" t="str">
        <f t="shared" si="3"/>
        <v/>
      </c>
      <c r="N60" s="25"/>
      <c r="O60" s="45" t="str">
        <f t="shared" si="4"/>
        <v/>
      </c>
      <c r="P60" s="29" t="str">
        <f t="shared" si="5"/>
        <v/>
      </c>
      <c r="Q60" s="29">
        <f t="shared" si="6"/>
        <v>0</v>
      </c>
      <c r="R60" s="29">
        <f t="shared" si="7"/>
        <v>0</v>
      </c>
      <c r="S60" s="26" t="str">
        <f t="shared" si="8"/>
        <v/>
      </c>
      <c r="T60" s="23"/>
      <c r="U60" s="45" t="str">
        <f t="shared" si="9"/>
        <v/>
      </c>
      <c r="V60" s="25"/>
      <c r="W60" s="45" t="str">
        <f t="shared" si="10"/>
        <v/>
      </c>
      <c r="X60" s="47"/>
      <c r="Y60" s="26" t="str">
        <f t="shared" si="11"/>
        <v/>
      </c>
      <c r="Z60" s="23"/>
      <c r="AA60" s="45" t="str">
        <f t="shared" si="12"/>
        <v/>
      </c>
      <c r="AB60" s="25"/>
      <c r="AC60" s="45" t="str">
        <f t="shared" si="13"/>
        <v/>
      </c>
      <c r="AD60" s="47"/>
      <c r="AE60" s="26"/>
      <c r="AF60" s="23"/>
      <c r="AG60" s="45" t="str">
        <f t="shared" si="14"/>
        <v/>
      </c>
      <c r="AH60" s="25"/>
      <c r="AI60" s="45" t="str">
        <f t="shared" si="15"/>
        <v/>
      </c>
      <c r="AJ60" s="27">
        <v>0.0</v>
      </c>
      <c r="AK60" s="33"/>
      <c r="AL60" s="26" t="str">
        <f t="shared" si="16"/>
        <v/>
      </c>
      <c r="AM60" s="23"/>
      <c r="AN60" s="45" t="str">
        <f t="shared" si="17"/>
        <v/>
      </c>
      <c r="AO60" s="25"/>
      <c r="AP60" s="45" t="str">
        <f t="shared" si="18"/>
        <v/>
      </c>
      <c r="AQ60" s="29" t="str">
        <f t="shared" si="19"/>
        <v/>
      </c>
      <c r="AR60" s="29">
        <f t="shared" si="20"/>
        <v>0</v>
      </c>
      <c r="AS60" s="29">
        <f t="shared" si="21"/>
        <v>0</v>
      </c>
      <c r="AT60" s="26" t="str">
        <f t="shared" si="22"/>
        <v/>
      </c>
      <c r="AU60" s="23"/>
      <c r="AV60" s="45" t="str">
        <f t="shared" si="23"/>
        <v/>
      </c>
      <c r="AW60" s="25"/>
      <c r="AX60" s="45" t="str">
        <f t="shared" si="24"/>
        <v/>
      </c>
      <c r="AY60" s="47"/>
      <c r="AZ60" s="26" t="str">
        <f t="shared" si="25"/>
        <v/>
      </c>
      <c r="BA60" s="23"/>
      <c r="BB60" s="45" t="str">
        <f t="shared" si="26"/>
        <v/>
      </c>
      <c r="BC60" s="25"/>
      <c r="BD60" s="45" t="str">
        <f t="shared" si="27"/>
        <v/>
      </c>
      <c r="BE60" s="47"/>
      <c r="BF60" s="26"/>
      <c r="BG60" s="23"/>
      <c r="BH60" s="45" t="str">
        <f t="shared" si="28"/>
        <v/>
      </c>
      <c r="BI60" s="25"/>
      <c r="BJ60" s="45" t="str">
        <f t="shared" si="29"/>
        <v/>
      </c>
      <c r="BK60" s="27">
        <v>0.0</v>
      </c>
      <c r="BL60" s="23"/>
      <c r="BM60" s="45" t="str">
        <f t="shared" si="30"/>
        <v/>
      </c>
      <c r="BN60" s="25"/>
      <c r="BO60" s="45" t="str">
        <f t="shared" si="31"/>
        <v/>
      </c>
      <c r="BP60" s="27">
        <v>0.0</v>
      </c>
      <c r="BQ60" s="33"/>
      <c r="BR60" s="23"/>
      <c r="BS60" s="45" t="str">
        <f t="shared" si="32"/>
        <v/>
      </c>
      <c r="BT60" s="25"/>
      <c r="BU60" s="45" t="str">
        <f t="shared" si="33"/>
        <v/>
      </c>
      <c r="BV60" s="29" t="str">
        <f t="shared" si="34"/>
        <v/>
      </c>
      <c r="BW60" s="29">
        <f t="shared" si="35"/>
        <v>0</v>
      </c>
      <c r="BX60" s="29">
        <f t="shared" si="36"/>
        <v>0</v>
      </c>
      <c r="BY60" s="26" t="str">
        <f t="shared" si="37"/>
        <v/>
      </c>
      <c r="BZ60" s="23"/>
      <c r="CA60" s="45" t="str">
        <f t="shared" si="38"/>
        <v/>
      </c>
      <c r="CB60" s="25"/>
      <c r="CC60" s="45" t="str">
        <f t="shared" si="39"/>
        <v/>
      </c>
      <c r="CD60" s="47"/>
      <c r="CE60" s="26" t="str">
        <f t="shared" si="40"/>
        <v/>
      </c>
      <c r="CF60" s="23"/>
      <c r="CG60" s="45" t="str">
        <f t="shared" si="41"/>
        <v/>
      </c>
      <c r="CH60" s="25"/>
      <c r="CI60" s="45" t="str">
        <f t="shared" si="42"/>
        <v/>
      </c>
      <c r="CJ60" s="47"/>
      <c r="CK60" s="26"/>
      <c r="CL60" s="23"/>
      <c r="CM60" s="45" t="str">
        <f t="shared" si="43"/>
        <v/>
      </c>
      <c r="CN60" s="25"/>
      <c r="CO60" s="45" t="str">
        <f t="shared" si="44"/>
        <v/>
      </c>
      <c r="CP60" s="27">
        <v>0.0</v>
      </c>
    </row>
    <row r="61">
      <c r="A61" s="26" t="str">
        <f t="shared" si="1"/>
        <v/>
      </c>
      <c r="B61" s="26"/>
      <c r="C61" s="81"/>
      <c r="D61" s="27"/>
      <c r="E61" s="82"/>
      <c r="F61" s="20"/>
      <c r="G61" s="20"/>
      <c r="H61" s="20"/>
      <c r="I61" s="23"/>
      <c r="J61" s="33"/>
      <c r="K61" s="26" t="str">
        <f t="shared" si="2"/>
        <v/>
      </c>
      <c r="L61" s="23"/>
      <c r="M61" s="45" t="str">
        <f t="shared" si="3"/>
        <v/>
      </c>
      <c r="N61" s="25"/>
      <c r="O61" s="45" t="str">
        <f t="shared" si="4"/>
        <v/>
      </c>
      <c r="P61" s="29" t="str">
        <f t="shared" si="5"/>
        <v/>
      </c>
      <c r="Q61" s="29">
        <f t="shared" si="6"/>
        <v>0</v>
      </c>
      <c r="R61" s="29">
        <f t="shared" si="7"/>
        <v>0</v>
      </c>
      <c r="S61" s="26" t="str">
        <f t="shared" si="8"/>
        <v/>
      </c>
      <c r="T61" s="23"/>
      <c r="U61" s="45" t="str">
        <f t="shared" si="9"/>
        <v/>
      </c>
      <c r="V61" s="25"/>
      <c r="W61" s="45" t="str">
        <f t="shared" si="10"/>
        <v/>
      </c>
      <c r="X61" s="47"/>
      <c r="Y61" s="26" t="str">
        <f t="shared" si="11"/>
        <v/>
      </c>
      <c r="Z61" s="23"/>
      <c r="AA61" s="45" t="str">
        <f t="shared" si="12"/>
        <v/>
      </c>
      <c r="AB61" s="25"/>
      <c r="AC61" s="45" t="str">
        <f t="shared" si="13"/>
        <v/>
      </c>
      <c r="AD61" s="47"/>
      <c r="AE61" s="26"/>
      <c r="AF61" s="23"/>
      <c r="AG61" s="45" t="str">
        <f t="shared" si="14"/>
        <v/>
      </c>
      <c r="AH61" s="25"/>
      <c r="AI61" s="45" t="str">
        <f t="shared" si="15"/>
        <v/>
      </c>
      <c r="AJ61" s="27">
        <v>0.0</v>
      </c>
      <c r="AK61" s="33"/>
      <c r="AL61" s="26" t="str">
        <f t="shared" si="16"/>
        <v/>
      </c>
      <c r="AM61" s="23"/>
      <c r="AN61" s="45" t="str">
        <f t="shared" si="17"/>
        <v/>
      </c>
      <c r="AO61" s="25"/>
      <c r="AP61" s="45" t="str">
        <f t="shared" si="18"/>
        <v/>
      </c>
      <c r="AQ61" s="29" t="str">
        <f t="shared" si="19"/>
        <v/>
      </c>
      <c r="AR61" s="29">
        <f t="shared" si="20"/>
        <v>0</v>
      </c>
      <c r="AS61" s="29">
        <f t="shared" si="21"/>
        <v>0</v>
      </c>
      <c r="AT61" s="26" t="str">
        <f t="shared" si="22"/>
        <v/>
      </c>
      <c r="AU61" s="23"/>
      <c r="AV61" s="45" t="str">
        <f t="shared" si="23"/>
        <v/>
      </c>
      <c r="AW61" s="25"/>
      <c r="AX61" s="45" t="str">
        <f t="shared" si="24"/>
        <v/>
      </c>
      <c r="AY61" s="47"/>
      <c r="AZ61" s="26" t="str">
        <f t="shared" si="25"/>
        <v/>
      </c>
      <c r="BA61" s="23"/>
      <c r="BB61" s="45" t="str">
        <f t="shared" si="26"/>
        <v/>
      </c>
      <c r="BC61" s="25"/>
      <c r="BD61" s="45" t="str">
        <f t="shared" si="27"/>
        <v/>
      </c>
      <c r="BE61" s="47"/>
      <c r="BF61" s="26"/>
      <c r="BG61" s="23"/>
      <c r="BH61" s="45" t="str">
        <f t="shared" si="28"/>
        <v/>
      </c>
      <c r="BI61" s="25"/>
      <c r="BJ61" s="45" t="str">
        <f t="shared" si="29"/>
        <v/>
      </c>
      <c r="BK61" s="27">
        <v>0.0</v>
      </c>
      <c r="BL61" s="23"/>
      <c r="BM61" s="45" t="str">
        <f t="shared" si="30"/>
        <v/>
      </c>
      <c r="BN61" s="25"/>
      <c r="BO61" s="45" t="str">
        <f t="shared" si="31"/>
        <v/>
      </c>
      <c r="BP61" s="27">
        <v>0.0</v>
      </c>
      <c r="BQ61" s="33"/>
      <c r="BR61" s="23"/>
      <c r="BS61" s="45" t="str">
        <f t="shared" si="32"/>
        <v/>
      </c>
      <c r="BT61" s="25"/>
      <c r="BU61" s="45" t="str">
        <f t="shared" si="33"/>
        <v/>
      </c>
      <c r="BV61" s="29" t="str">
        <f t="shared" si="34"/>
        <v/>
      </c>
      <c r="BW61" s="29">
        <f t="shared" si="35"/>
        <v>0</v>
      </c>
      <c r="BX61" s="29">
        <f t="shared" si="36"/>
        <v>0</v>
      </c>
      <c r="BY61" s="26" t="str">
        <f t="shared" si="37"/>
        <v/>
      </c>
      <c r="BZ61" s="23"/>
      <c r="CA61" s="45" t="str">
        <f t="shared" si="38"/>
        <v/>
      </c>
      <c r="CB61" s="25"/>
      <c r="CC61" s="45" t="str">
        <f t="shared" si="39"/>
        <v/>
      </c>
      <c r="CD61" s="47"/>
      <c r="CE61" s="26" t="str">
        <f t="shared" si="40"/>
        <v/>
      </c>
      <c r="CF61" s="23"/>
      <c r="CG61" s="45" t="str">
        <f t="shared" si="41"/>
        <v/>
      </c>
      <c r="CH61" s="25"/>
      <c r="CI61" s="45" t="str">
        <f t="shared" si="42"/>
        <v/>
      </c>
      <c r="CJ61" s="47"/>
      <c r="CK61" s="26"/>
      <c r="CL61" s="23"/>
      <c r="CM61" s="45" t="str">
        <f t="shared" si="43"/>
        <v/>
      </c>
      <c r="CN61" s="25"/>
      <c r="CO61" s="45" t="str">
        <f t="shared" si="44"/>
        <v/>
      </c>
      <c r="CP61" s="27">
        <v>0.0</v>
      </c>
    </row>
    <row r="62">
      <c r="A62" s="26" t="str">
        <f t="shared" si="1"/>
        <v/>
      </c>
      <c r="B62" s="26"/>
      <c r="C62" s="81"/>
      <c r="D62" s="27"/>
      <c r="E62" s="82"/>
      <c r="F62" s="20"/>
      <c r="G62" s="20"/>
      <c r="H62" s="20"/>
      <c r="I62" s="23"/>
      <c r="J62" s="33"/>
      <c r="K62" s="26" t="str">
        <f t="shared" si="2"/>
        <v/>
      </c>
      <c r="L62" s="23"/>
      <c r="M62" s="45" t="str">
        <f t="shared" si="3"/>
        <v/>
      </c>
      <c r="N62" s="25"/>
      <c r="O62" s="45" t="str">
        <f t="shared" si="4"/>
        <v/>
      </c>
      <c r="P62" s="29" t="str">
        <f t="shared" si="5"/>
        <v/>
      </c>
      <c r="Q62" s="29">
        <f t="shared" si="6"/>
        <v>0</v>
      </c>
      <c r="R62" s="29">
        <f t="shared" si="7"/>
        <v>0</v>
      </c>
      <c r="S62" s="26" t="str">
        <f t="shared" si="8"/>
        <v/>
      </c>
      <c r="T62" s="23"/>
      <c r="U62" s="45" t="str">
        <f t="shared" si="9"/>
        <v/>
      </c>
      <c r="V62" s="25"/>
      <c r="W62" s="45" t="str">
        <f t="shared" si="10"/>
        <v/>
      </c>
      <c r="X62" s="47"/>
      <c r="Y62" s="26" t="str">
        <f t="shared" si="11"/>
        <v/>
      </c>
      <c r="Z62" s="23"/>
      <c r="AA62" s="45" t="str">
        <f t="shared" si="12"/>
        <v/>
      </c>
      <c r="AB62" s="25"/>
      <c r="AC62" s="45" t="str">
        <f t="shared" si="13"/>
        <v/>
      </c>
      <c r="AD62" s="47"/>
      <c r="AE62" s="26"/>
      <c r="AF62" s="23"/>
      <c r="AG62" s="45" t="str">
        <f t="shared" si="14"/>
        <v/>
      </c>
      <c r="AH62" s="25"/>
      <c r="AI62" s="45" t="str">
        <f t="shared" si="15"/>
        <v/>
      </c>
      <c r="AJ62" s="27">
        <v>0.0</v>
      </c>
      <c r="AK62" s="33"/>
      <c r="AL62" s="26" t="str">
        <f t="shared" si="16"/>
        <v/>
      </c>
      <c r="AM62" s="23"/>
      <c r="AN62" s="45" t="str">
        <f t="shared" si="17"/>
        <v/>
      </c>
      <c r="AO62" s="25"/>
      <c r="AP62" s="45" t="str">
        <f t="shared" si="18"/>
        <v/>
      </c>
      <c r="AQ62" s="29" t="str">
        <f t="shared" si="19"/>
        <v/>
      </c>
      <c r="AR62" s="29">
        <f t="shared" si="20"/>
        <v>0</v>
      </c>
      <c r="AS62" s="29">
        <f t="shared" si="21"/>
        <v>0</v>
      </c>
      <c r="AT62" s="26" t="str">
        <f t="shared" si="22"/>
        <v/>
      </c>
      <c r="AU62" s="23"/>
      <c r="AV62" s="45" t="str">
        <f t="shared" si="23"/>
        <v/>
      </c>
      <c r="AW62" s="25"/>
      <c r="AX62" s="45" t="str">
        <f t="shared" si="24"/>
        <v/>
      </c>
      <c r="AY62" s="47"/>
      <c r="AZ62" s="26" t="str">
        <f t="shared" si="25"/>
        <v/>
      </c>
      <c r="BA62" s="23"/>
      <c r="BB62" s="45" t="str">
        <f t="shared" si="26"/>
        <v/>
      </c>
      <c r="BC62" s="25"/>
      <c r="BD62" s="45" t="str">
        <f t="shared" si="27"/>
        <v/>
      </c>
      <c r="BE62" s="47"/>
      <c r="BF62" s="26"/>
      <c r="BG62" s="23"/>
      <c r="BH62" s="45" t="str">
        <f t="shared" si="28"/>
        <v/>
      </c>
      <c r="BI62" s="25"/>
      <c r="BJ62" s="45" t="str">
        <f t="shared" si="29"/>
        <v/>
      </c>
      <c r="BK62" s="27">
        <v>0.0</v>
      </c>
      <c r="BL62" s="23"/>
      <c r="BM62" s="45" t="str">
        <f t="shared" si="30"/>
        <v/>
      </c>
      <c r="BN62" s="25"/>
      <c r="BO62" s="45" t="str">
        <f t="shared" si="31"/>
        <v/>
      </c>
      <c r="BP62" s="27">
        <v>0.0</v>
      </c>
      <c r="BQ62" s="33"/>
      <c r="BR62" s="23"/>
      <c r="BS62" s="45" t="str">
        <f t="shared" si="32"/>
        <v/>
      </c>
      <c r="BT62" s="25"/>
      <c r="BU62" s="45" t="str">
        <f t="shared" si="33"/>
        <v/>
      </c>
      <c r="BV62" s="29" t="str">
        <f t="shared" si="34"/>
        <v/>
      </c>
      <c r="BW62" s="29">
        <f t="shared" si="35"/>
        <v>0</v>
      </c>
      <c r="BX62" s="29">
        <f t="shared" si="36"/>
        <v>0</v>
      </c>
      <c r="BY62" s="26" t="str">
        <f t="shared" si="37"/>
        <v/>
      </c>
      <c r="BZ62" s="23"/>
      <c r="CA62" s="45" t="str">
        <f t="shared" si="38"/>
        <v/>
      </c>
      <c r="CB62" s="25"/>
      <c r="CC62" s="45" t="str">
        <f t="shared" si="39"/>
        <v/>
      </c>
      <c r="CD62" s="47"/>
      <c r="CE62" s="26" t="str">
        <f t="shared" si="40"/>
        <v/>
      </c>
      <c r="CF62" s="23"/>
      <c r="CG62" s="45" t="str">
        <f t="shared" si="41"/>
        <v/>
      </c>
      <c r="CH62" s="25"/>
      <c r="CI62" s="45" t="str">
        <f t="shared" si="42"/>
        <v/>
      </c>
      <c r="CJ62" s="47"/>
      <c r="CK62" s="26"/>
      <c r="CL62" s="23"/>
      <c r="CM62" s="45" t="str">
        <f t="shared" si="43"/>
        <v/>
      </c>
      <c r="CN62" s="25"/>
      <c r="CO62" s="45" t="str">
        <f t="shared" si="44"/>
        <v/>
      </c>
      <c r="CP62" s="27">
        <v>0.0</v>
      </c>
    </row>
    <row r="63">
      <c r="A63" s="26" t="str">
        <f t="shared" si="1"/>
        <v/>
      </c>
      <c r="B63" s="26"/>
      <c r="C63" s="81"/>
      <c r="D63" s="27"/>
      <c r="E63" s="82"/>
      <c r="F63" s="20"/>
      <c r="G63" s="20"/>
      <c r="H63" s="20"/>
      <c r="I63" s="23"/>
      <c r="J63" s="33"/>
      <c r="K63" s="26" t="str">
        <f t="shared" si="2"/>
        <v/>
      </c>
      <c r="L63" s="23"/>
      <c r="M63" s="45" t="str">
        <f t="shared" si="3"/>
        <v/>
      </c>
      <c r="N63" s="25"/>
      <c r="O63" s="45" t="str">
        <f t="shared" si="4"/>
        <v/>
      </c>
      <c r="P63" s="29" t="str">
        <f t="shared" si="5"/>
        <v/>
      </c>
      <c r="Q63" s="29">
        <f t="shared" si="6"/>
        <v>0</v>
      </c>
      <c r="R63" s="29">
        <f t="shared" si="7"/>
        <v>0</v>
      </c>
      <c r="S63" s="26" t="str">
        <f t="shared" si="8"/>
        <v/>
      </c>
      <c r="T63" s="23"/>
      <c r="U63" s="45" t="str">
        <f t="shared" si="9"/>
        <v/>
      </c>
      <c r="V63" s="25"/>
      <c r="W63" s="45" t="str">
        <f t="shared" si="10"/>
        <v/>
      </c>
      <c r="X63" s="47"/>
      <c r="Y63" s="26" t="str">
        <f t="shared" si="11"/>
        <v/>
      </c>
      <c r="Z63" s="23"/>
      <c r="AA63" s="45" t="str">
        <f t="shared" si="12"/>
        <v/>
      </c>
      <c r="AB63" s="25"/>
      <c r="AC63" s="45" t="str">
        <f t="shared" si="13"/>
        <v/>
      </c>
      <c r="AD63" s="47"/>
      <c r="AE63" s="26"/>
      <c r="AF63" s="23"/>
      <c r="AG63" s="45" t="str">
        <f t="shared" si="14"/>
        <v/>
      </c>
      <c r="AH63" s="25"/>
      <c r="AI63" s="45" t="str">
        <f t="shared" si="15"/>
        <v/>
      </c>
      <c r="AJ63" s="27">
        <v>0.0</v>
      </c>
      <c r="AK63" s="33"/>
      <c r="AL63" s="26" t="str">
        <f t="shared" si="16"/>
        <v/>
      </c>
      <c r="AM63" s="23"/>
      <c r="AN63" s="45" t="str">
        <f t="shared" si="17"/>
        <v/>
      </c>
      <c r="AO63" s="25"/>
      <c r="AP63" s="45" t="str">
        <f t="shared" si="18"/>
        <v/>
      </c>
      <c r="AQ63" s="29" t="str">
        <f t="shared" si="19"/>
        <v/>
      </c>
      <c r="AR63" s="29">
        <f t="shared" si="20"/>
        <v>0</v>
      </c>
      <c r="AS63" s="29">
        <f t="shared" si="21"/>
        <v>0</v>
      </c>
      <c r="AT63" s="26" t="str">
        <f t="shared" si="22"/>
        <v/>
      </c>
      <c r="AU63" s="23"/>
      <c r="AV63" s="45" t="str">
        <f t="shared" si="23"/>
        <v/>
      </c>
      <c r="AW63" s="25"/>
      <c r="AX63" s="45" t="str">
        <f t="shared" si="24"/>
        <v/>
      </c>
      <c r="AY63" s="47"/>
      <c r="AZ63" s="26" t="str">
        <f t="shared" si="25"/>
        <v/>
      </c>
      <c r="BA63" s="23"/>
      <c r="BB63" s="45" t="str">
        <f t="shared" si="26"/>
        <v/>
      </c>
      <c r="BC63" s="25"/>
      <c r="BD63" s="45" t="str">
        <f t="shared" si="27"/>
        <v/>
      </c>
      <c r="BE63" s="47"/>
      <c r="BF63" s="26"/>
      <c r="BG63" s="23"/>
      <c r="BH63" s="45" t="str">
        <f t="shared" si="28"/>
        <v/>
      </c>
      <c r="BI63" s="25"/>
      <c r="BJ63" s="45" t="str">
        <f t="shared" si="29"/>
        <v/>
      </c>
      <c r="BK63" s="27">
        <v>0.0</v>
      </c>
      <c r="BL63" s="23"/>
      <c r="BM63" s="45" t="str">
        <f t="shared" si="30"/>
        <v/>
      </c>
      <c r="BN63" s="25"/>
      <c r="BO63" s="45" t="str">
        <f t="shared" si="31"/>
        <v/>
      </c>
      <c r="BP63" s="27">
        <v>0.0</v>
      </c>
      <c r="BQ63" s="33"/>
      <c r="BR63" s="23"/>
      <c r="BS63" s="45" t="str">
        <f t="shared" si="32"/>
        <v/>
      </c>
      <c r="BT63" s="25"/>
      <c r="BU63" s="45" t="str">
        <f t="shared" si="33"/>
        <v/>
      </c>
      <c r="BV63" s="29" t="str">
        <f t="shared" si="34"/>
        <v/>
      </c>
      <c r="BW63" s="29">
        <f t="shared" si="35"/>
        <v>0</v>
      </c>
      <c r="BX63" s="29">
        <f t="shared" si="36"/>
        <v>0</v>
      </c>
      <c r="BY63" s="26" t="str">
        <f t="shared" si="37"/>
        <v/>
      </c>
      <c r="BZ63" s="23"/>
      <c r="CA63" s="45" t="str">
        <f t="shared" si="38"/>
        <v/>
      </c>
      <c r="CB63" s="25"/>
      <c r="CC63" s="45" t="str">
        <f t="shared" si="39"/>
        <v/>
      </c>
      <c r="CD63" s="47"/>
      <c r="CE63" s="26" t="str">
        <f t="shared" si="40"/>
        <v/>
      </c>
      <c r="CF63" s="23"/>
      <c r="CG63" s="45" t="str">
        <f t="shared" si="41"/>
        <v/>
      </c>
      <c r="CH63" s="25"/>
      <c r="CI63" s="45" t="str">
        <f t="shared" si="42"/>
        <v/>
      </c>
      <c r="CJ63" s="47"/>
      <c r="CK63" s="26"/>
      <c r="CL63" s="23"/>
      <c r="CM63" s="45" t="str">
        <f t="shared" si="43"/>
        <v/>
      </c>
      <c r="CN63" s="25"/>
      <c r="CO63" s="45" t="str">
        <f t="shared" si="44"/>
        <v/>
      </c>
      <c r="CP63" s="27">
        <v>0.0</v>
      </c>
    </row>
    <row r="64">
      <c r="A64" s="26" t="str">
        <f t="shared" si="1"/>
        <v/>
      </c>
      <c r="B64" s="26"/>
      <c r="C64" s="81"/>
      <c r="D64" s="27"/>
      <c r="E64" s="82"/>
      <c r="F64" s="20"/>
      <c r="G64" s="20"/>
      <c r="H64" s="20"/>
      <c r="I64" s="23"/>
      <c r="J64" s="33"/>
      <c r="K64" s="26" t="str">
        <f t="shared" si="2"/>
        <v/>
      </c>
      <c r="L64" s="23"/>
      <c r="M64" s="45" t="str">
        <f t="shared" si="3"/>
        <v/>
      </c>
      <c r="N64" s="25"/>
      <c r="O64" s="45" t="str">
        <f t="shared" si="4"/>
        <v/>
      </c>
      <c r="P64" s="29" t="str">
        <f t="shared" si="5"/>
        <v/>
      </c>
      <c r="Q64" s="29">
        <f t="shared" si="6"/>
        <v>0</v>
      </c>
      <c r="R64" s="29">
        <f t="shared" si="7"/>
        <v>0</v>
      </c>
      <c r="S64" s="26" t="str">
        <f t="shared" si="8"/>
        <v/>
      </c>
      <c r="T64" s="23"/>
      <c r="U64" s="45" t="str">
        <f t="shared" si="9"/>
        <v/>
      </c>
      <c r="V64" s="25"/>
      <c r="W64" s="45" t="str">
        <f t="shared" si="10"/>
        <v/>
      </c>
      <c r="X64" s="47"/>
      <c r="Y64" s="26" t="str">
        <f t="shared" si="11"/>
        <v/>
      </c>
      <c r="Z64" s="23"/>
      <c r="AA64" s="45" t="str">
        <f t="shared" si="12"/>
        <v/>
      </c>
      <c r="AB64" s="25"/>
      <c r="AC64" s="45" t="str">
        <f t="shared" si="13"/>
        <v/>
      </c>
      <c r="AD64" s="47"/>
      <c r="AE64" s="26"/>
      <c r="AF64" s="23"/>
      <c r="AG64" s="45" t="str">
        <f t="shared" si="14"/>
        <v/>
      </c>
      <c r="AH64" s="25"/>
      <c r="AI64" s="45" t="str">
        <f t="shared" si="15"/>
        <v/>
      </c>
      <c r="AJ64" s="27">
        <v>0.0</v>
      </c>
      <c r="AK64" s="33"/>
      <c r="AL64" s="26" t="str">
        <f t="shared" si="16"/>
        <v/>
      </c>
      <c r="AM64" s="23"/>
      <c r="AN64" s="45" t="str">
        <f t="shared" si="17"/>
        <v/>
      </c>
      <c r="AO64" s="25"/>
      <c r="AP64" s="45" t="str">
        <f t="shared" si="18"/>
        <v/>
      </c>
      <c r="AQ64" s="29" t="str">
        <f t="shared" si="19"/>
        <v/>
      </c>
      <c r="AR64" s="29">
        <f t="shared" si="20"/>
        <v>0</v>
      </c>
      <c r="AS64" s="29">
        <f t="shared" si="21"/>
        <v>0</v>
      </c>
      <c r="AT64" s="26" t="str">
        <f t="shared" si="22"/>
        <v/>
      </c>
      <c r="AU64" s="23"/>
      <c r="AV64" s="45" t="str">
        <f t="shared" si="23"/>
        <v/>
      </c>
      <c r="AW64" s="25"/>
      <c r="AX64" s="45" t="str">
        <f t="shared" si="24"/>
        <v/>
      </c>
      <c r="AY64" s="47"/>
      <c r="AZ64" s="26" t="str">
        <f t="shared" si="25"/>
        <v/>
      </c>
      <c r="BA64" s="23"/>
      <c r="BB64" s="45" t="str">
        <f t="shared" si="26"/>
        <v/>
      </c>
      <c r="BC64" s="25"/>
      <c r="BD64" s="45" t="str">
        <f t="shared" si="27"/>
        <v/>
      </c>
      <c r="BE64" s="47"/>
      <c r="BF64" s="26"/>
      <c r="BG64" s="23"/>
      <c r="BH64" s="45" t="str">
        <f t="shared" si="28"/>
        <v/>
      </c>
      <c r="BI64" s="25"/>
      <c r="BJ64" s="45" t="str">
        <f t="shared" si="29"/>
        <v/>
      </c>
      <c r="BK64" s="27">
        <v>0.0</v>
      </c>
      <c r="BL64" s="23"/>
      <c r="BM64" s="45" t="str">
        <f t="shared" si="30"/>
        <v/>
      </c>
      <c r="BN64" s="25"/>
      <c r="BO64" s="45" t="str">
        <f t="shared" si="31"/>
        <v/>
      </c>
      <c r="BP64" s="27">
        <v>0.0</v>
      </c>
      <c r="BQ64" s="33"/>
      <c r="BR64" s="23"/>
      <c r="BS64" s="45" t="str">
        <f t="shared" si="32"/>
        <v/>
      </c>
      <c r="BT64" s="25"/>
      <c r="BU64" s="45" t="str">
        <f t="shared" si="33"/>
        <v/>
      </c>
      <c r="BV64" s="29" t="str">
        <f t="shared" si="34"/>
        <v/>
      </c>
      <c r="BW64" s="29">
        <f t="shared" si="35"/>
        <v>0</v>
      </c>
      <c r="BX64" s="29">
        <f t="shared" si="36"/>
        <v>0</v>
      </c>
      <c r="BY64" s="26" t="str">
        <f t="shared" si="37"/>
        <v/>
      </c>
      <c r="BZ64" s="23"/>
      <c r="CA64" s="45" t="str">
        <f t="shared" si="38"/>
        <v/>
      </c>
      <c r="CB64" s="25"/>
      <c r="CC64" s="45" t="str">
        <f t="shared" si="39"/>
        <v/>
      </c>
      <c r="CD64" s="47"/>
      <c r="CE64" s="26" t="str">
        <f t="shared" si="40"/>
        <v/>
      </c>
      <c r="CF64" s="23"/>
      <c r="CG64" s="45" t="str">
        <f t="shared" si="41"/>
        <v/>
      </c>
      <c r="CH64" s="25"/>
      <c r="CI64" s="45" t="str">
        <f t="shared" si="42"/>
        <v/>
      </c>
      <c r="CJ64" s="47"/>
      <c r="CK64" s="26"/>
      <c r="CL64" s="23"/>
      <c r="CM64" s="45" t="str">
        <f t="shared" si="43"/>
        <v/>
      </c>
      <c r="CN64" s="25"/>
      <c r="CO64" s="45" t="str">
        <f t="shared" si="44"/>
        <v/>
      </c>
      <c r="CP64" s="27">
        <v>0.0</v>
      </c>
    </row>
    <row r="65">
      <c r="A65" s="26" t="str">
        <f t="shared" si="1"/>
        <v/>
      </c>
      <c r="B65" s="26"/>
      <c r="C65" s="81"/>
      <c r="D65" s="27"/>
      <c r="E65" s="82"/>
      <c r="F65" s="20"/>
      <c r="G65" s="20"/>
      <c r="H65" s="20"/>
      <c r="I65" s="23"/>
      <c r="J65" s="33"/>
      <c r="K65" s="26" t="str">
        <f t="shared" si="2"/>
        <v/>
      </c>
      <c r="L65" s="23"/>
      <c r="M65" s="45" t="str">
        <f t="shared" si="3"/>
        <v/>
      </c>
      <c r="N65" s="25"/>
      <c r="O65" s="45" t="str">
        <f t="shared" si="4"/>
        <v/>
      </c>
      <c r="P65" s="29" t="str">
        <f t="shared" si="5"/>
        <v/>
      </c>
      <c r="Q65" s="29">
        <f t="shared" si="6"/>
        <v>0</v>
      </c>
      <c r="R65" s="29">
        <f t="shared" si="7"/>
        <v>0</v>
      </c>
      <c r="S65" s="26" t="str">
        <f t="shared" si="8"/>
        <v/>
      </c>
      <c r="T65" s="23"/>
      <c r="U65" s="45" t="str">
        <f t="shared" si="9"/>
        <v/>
      </c>
      <c r="V65" s="25"/>
      <c r="W65" s="45" t="str">
        <f t="shared" si="10"/>
        <v/>
      </c>
      <c r="X65" s="47"/>
      <c r="Y65" s="26" t="str">
        <f t="shared" si="11"/>
        <v/>
      </c>
      <c r="Z65" s="23"/>
      <c r="AA65" s="45" t="str">
        <f t="shared" si="12"/>
        <v/>
      </c>
      <c r="AB65" s="25"/>
      <c r="AC65" s="45" t="str">
        <f t="shared" si="13"/>
        <v/>
      </c>
      <c r="AD65" s="47"/>
      <c r="AE65" s="26"/>
      <c r="AF65" s="23"/>
      <c r="AG65" s="45" t="str">
        <f t="shared" si="14"/>
        <v/>
      </c>
      <c r="AH65" s="25"/>
      <c r="AI65" s="45" t="str">
        <f t="shared" si="15"/>
        <v/>
      </c>
      <c r="AJ65" s="27">
        <v>0.0</v>
      </c>
      <c r="AK65" s="33"/>
      <c r="AL65" s="26" t="str">
        <f t="shared" si="16"/>
        <v/>
      </c>
      <c r="AM65" s="23"/>
      <c r="AN65" s="45" t="str">
        <f t="shared" si="17"/>
        <v/>
      </c>
      <c r="AO65" s="25"/>
      <c r="AP65" s="45" t="str">
        <f t="shared" si="18"/>
        <v/>
      </c>
      <c r="AQ65" s="29" t="str">
        <f t="shared" si="19"/>
        <v/>
      </c>
      <c r="AR65" s="29">
        <f t="shared" si="20"/>
        <v>0</v>
      </c>
      <c r="AS65" s="29">
        <f t="shared" si="21"/>
        <v>0</v>
      </c>
      <c r="AT65" s="26" t="str">
        <f t="shared" si="22"/>
        <v/>
      </c>
      <c r="AU65" s="23"/>
      <c r="AV65" s="45" t="str">
        <f t="shared" si="23"/>
        <v/>
      </c>
      <c r="AW65" s="25"/>
      <c r="AX65" s="45" t="str">
        <f t="shared" si="24"/>
        <v/>
      </c>
      <c r="AY65" s="47"/>
      <c r="AZ65" s="26" t="str">
        <f t="shared" si="25"/>
        <v/>
      </c>
      <c r="BA65" s="23"/>
      <c r="BB65" s="45" t="str">
        <f t="shared" si="26"/>
        <v/>
      </c>
      <c r="BC65" s="25"/>
      <c r="BD65" s="45" t="str">
        <f t="shared" si="27"/>
        <v/>
      </c>
      <c r="BE65" s="47"/>
      <c r="BF65" s="26"/>
      <c r="BG65" s="23"/>
      <c r="BH65" s="45" t="str">
        <f t="shared" si="28"/>
        <v/>
      </c>
      <c r="BI65" s="25"/>
      <c r="BJ65" s="45" t="str">
        <f t="shared" si="29"/>
        <v/>
      </c>
      <c r="BK65" s="27">
        <v>0.0</v>
      </c>
      <c r="BL65" s="23"/>
      <c r="BM65" s="45" t="str">
        <f t="shared" si="30"/>
        <v/>
      </c>
      <c r="BN65" s="25"/>
      <c r="BO65" s="45" t="str">
        <f t="shared" si="31"/>
        <v/>
      </c>
      <c r="BP65" s="27">
        <v>0.0</v>
      </c>
      <c r="BQ65" s="33"/>
      <c r="BR65" s="23"/>
      <c r="BS65" s="45" t="str">
        <f t="shared" si="32"/>
        <v/>
      </c>
      <c r="BT65" s="25"/>
      <c r="BU65" s="45" t="str">
        <f t="shared" si="33"/>
        <v/>
      </c>
      <c r="BV65" s="29" t="str">
        <f t="shared" si="34"/>
        <v/>
      </c>
      <c r="BW65" s="29">
        <f t="shared" si="35"/>
        <v>0</v>
      </c>
      <c r="BX65" s="29">
        <f t="shared" si="36"/>
        <v>0</v>
      </c>
      <c r="BY65" s="26" t="str">
        <f t="shared" si="37"/>
        <v/>
      </c>
      <c r="BZ65" s="23"/>
      <c r="CA65" s="45" t="str">
        <f t="shared" si="38"/>
        <v/>
      </c>
      <c r="CB65" s="25"/>
      <c r="CC65" s="45" t="str">
        <f t="shared" si="39"/>
        <v/>
      </c>
      <c r="CD65" s="47"/>
      <c r="CE65" s="26" t="str">
        <f t="shared" si="40"/>
        <v/>
      </c>
      <c r="CF65" s="23"/>
      <c r="CG65" s="45" t="str">
        <f t="shared" si="41"/>
        <v/>
      </c>
      <c r="CH65" s="25"/>
      <c r="CI65" s="45" t="str">
        <f t="shared" si="42"/>
        <v/>
      </c>
      <c r="CJ65" s="47"/>
      <c r="CK65" s="26"/>
      <c r="CL65" s="23"/>
      <c r="CM65" s="45" t="str">
        <f t="shared" si="43"/>
        <v/>
      </c>
      <c r="CN65" s="25"/>
      <c r="CO65" s="45" t="str">
        <f t="shared" si="44"/>
        <v/>
      </c>
      <c r="CP65" s="27">
        <v>0.0</v>
      </c>
    </row>
    <row r="66">
      <c r="A66" s="26" t="str">
        <f t="shared" si="1"/>
        <v/>
      </c>
      <c r="B66" s="26"/>
      <c r="C66" s="81"/>
      <c r="D66" s="27"/>
      <c r="E66" s="82"/>
      <c r="F66" s="20"/>
      <c r="G66" s="20"/>
      <c r="H66" s="20"/>
      <c r="I66" s="23"/>
      <c r="J66" s="33"/>
      <c r="K66" s="26" t="str">
        <f t="shared" si="2"/>
        <v/>
      </c>
      <c r="L66" s="23"/>
      <c r="M66" s="45" t="str">
        <f t="shared" si="3"/>
        <v/>
      </c>
      <c r="N66" s="25"/>
      <c r="O66" s="45" t="str">
        <f t="shared" si="4"/>
        <v/>
      </c>
      <c r="P66" s="29" t="str">
        <f t="shared" si="5"/>
        <v/>
      </c>
      <c r="Q66" s="29">
        <f t="shared" si="6"/>
        <v>0</v>
      </c>
      <c r="R66" s="29">
        <f t="shared" si="7"/>
        <v>0</v>
      </c>
      <c r="S66" s="26" t="str">
        <f t="shared" si="8"/>
        <v/>
      </c>
      <c r="T66" s="23"/>
      <c r="U66" s="45" t="str">
        <f t="shared" si="9"/>
        <v/>
      </c>
      <c r="V66" s="25"/>
      <c r="W66" s="45" t="str">
        <f t="shared" si="10"/>
        <v/>
      </c>
      <c r="X66" s="47"/>
      <c r="Y66" s="26" t="str">
        <f t="shared" si="11"/>
        <v/>
      </c>
      <c r="Z66" s="23"/>
      <c r="AA66" s="45" t="str">
        <f t="shared" si="12"/>
        <v/>
      </c>
      <c r="AB66" s="25"/>
      <c r="AC66" s="45" t="str">
        <f t="shared" si="13"/>
        <v/>
      </c>
      <c r="AD66" s="47"/>
      <c r="AE66" s="26"/>
      <c r="AF66" s="23"/>
      <c r="AG66" s="45" t="str">
        <f t="shared" si="14"/>
        <v/>
      </c>
      <c r="AH66" s="25"/>
      <c r="AI66" s="45" t="str">
        <f t="shared" si="15"/>
        <v/>
      </c>
      <c r="AJ66" s="27">
        <v>0.0</v>
      </c>
      <c r="AK66" s="33"/>
      <c r="AL66" s="26" t="str">
        <f t="shared" si="16"/>
        <v/>
      </c>
      <c r="AM66" s="23"/>
      <c r="AN66" s="45" t="str">
        <f t="shared" si="17"/>
        <v/>
      </c>
      <c r="AO66" s="25"/>
      <c r="AP66" s="45" t="str">
        <f t="shared" si="18"/>
        <v/>
      </c>
      <c r="AQ66" s="29" t="str">
        <f t="shared" si="19"/>
        <v/>
      </c>
      <c r="AR66" s="29">
        <f t="shared" si="20"/>
        <v>0</v>
      </c>
      <c r="AS66" s="29">
        <f t="shared" si="21"/>
        <v>0</v>
      </c>
      <c r="AT66" s="26" t="str">
        <f t="shared" si="22"/>
        <v/>
      </c>
      <c r="AU66" s="23"/>
      <c r="AV66" s="45" t="str">
        <f t="shared" si="23"/>
        <v/>
      </c>
      <c r="AW66" s="25"/>
      <c r="AX66" s="45" t="str">
        <f t="shared" si="24"/>
        <v/>
      </c>
      <c r="AY66" s="47"/>
      <c r="AZ66" s="26" t="str">
        <f t="shared" si="25"/>
        <v/>
      </c>
      <c r="BA66" s="23"/>
      <c r="BB66" s="45" t="str">
        <f t="shared" si="26"/>
        <v/>
      </c>
      <c r="BC66" s="25"/>
      <c r="BD66" s="45" t="str">
        <f t="shared" si="27"/>
        <v/>
      </c>
      <c r="BE66" s="47"/>
      <c r="BF66" s="26"/>
      <c r="BG66" s="23"/>
      <c r="BH66" s="45" t="str">
        <f t="shared" si="28"/>
        <v/>
      </c>
      <c r="BI66" s="25"/>
      <c r="BJ66" s="45" t="str">
        <f t="shared" si="29"/>
        <v/>
      </c>
      <c r="BK66" s="27">
        <v>0.0</v>
      </c>
      <c r="BL66" s="23"/>
      <c r="BM66" s="45" t="str">
        <f t="shared" si="30"/>
        <v/>
      </c>
      <c r="BN66" s="25"/>
      <c r="BO66" s="45" t="str">
        <f t="shared" si="31"/>
        <v/>
      </c>
      <c r="BP66" s="27">
        <v>0.0</v>
      </c>
      <c r="BQ66" s="33"/>
      <c r="BR66" s="23"/>
      <c r="BS66" s="45" t="str">
        <f t="shared" si="32"/>
        <v/>
      </c>
      <c r="BT66" s="25"/>
      <c r="BU66" s="45" t="str">
        <f t="shared" si="33"/>
        <v/>
      </c>
      <c r="BV66" s="29" t="str">
        <f t="shared" si="34"/>
        <v/>
      </c>
      <c r="BW66" s="29">
        <f t="shared" si="35"/>
        <v>0</v>
      </c>
      <c r="BX66" s="29">
        <f t="shared" si="36"/>
        <v>0</v>
      </c>
      <c r="BY66" s="26" t="str">
        <f t="shared" si="37"/>
        <v/>
      </c>
      <c r="BZ66" s="23"/>
      <c r="CA66" s="45" t="str">
        <f t="shared" si="38"/>
        <v/>
      </c>
      <c r="CB66" s="25"/>
      <c r="CC66" s="45" t="str">
        <f t="shared" si="39"/>
        <v/>
      </c>
      <c r="CD66" s="47"/>
      <c r="CE66" s="26" t="str">
        <f t="shared" si="40"/>
        <v/>
      </c>
      <c r="CF66" s="23"/>
      <c r="CG66" s="45" t="str">
        <f t="shared" si="41"/>
        <v/>
      </c>
      <c r="CH66" s="25"/>
      <c r="CI66" s="45" t="str">
        <f t="shared" si="42"/>
        <v/>
      </c>
      <c r="CJ66" s="47"/>
      <c r="CK66" s="26"/>
      <c r="CL66" s="23"/>
      <c r="CM66" s="45" t="str">
        <f t="shared" si="43"/>
        <v/>
      </c>
      <c r="CN66" s="25"/>
      <c r="CO66" s="45" t="str">
        <f t="shared" si="44"/>
        <v/>
      </c>
      <c r="CP66" s="27">
        <v>0.0</v>
      </c>
    </row>
    <row r="67">
      <c r="A67" s="26" t="str">
        <f t="shared" si="1"/>
        <v/>
      </c>
      <c r="B67" s="26"/>
      <c r="C67" s="81"/>
      <c r="D67" s="27"/>
      <c r="E67" s="82"/>
      <c r="F67" s="20"/>
      <c r="G67" s="20"/>
      <c r="H67" s="20"/>
      <c r="I67" s="23"/>
      <c r="J67" s="33"/>
      <c r="K67" s="26" t="str">
        <f t="shared" si="2"/>
        <v/>
      </c>
      <c r="L67" s="23"/>
      <c r="M67" s="45" t="str">
        <f t="shared" si="3"/>
        <v/>
      </c>
      <c r="N67" s="25"/>
      <c r="O67" s="45" t="str">
        <f t="shared" si="4"/>
        <v/>
      </c>
      <c r="P67" s="29" t="str">
        <f t="shared" si="5"/>
        <v/>
      </c>
      <c r="Q67" s="29">
        <f t="shared" si="6"/>
        <v>0</v>
      </c>
      <c r="R67" s="29">
        <f t="shared" si="7"/>
        <v>0</v>
      </c>
      <c r="S67" s="26" t="str">
        <f t="shared" si="8"/>
        <v/>
      </c>
      <c r="T67" s="23"/>
      <c r="U67" s="45" t="str">
        <f t="shared" si="9"/>
        <v/>
      </c>
      <c r="V67" s="25"/>
      <c r="W67" s="45" t="str">
        <f t="shared" si="10"/>
        <v/>
      </c>
      <c r="X67" s="47"/>
      <c r="Y67" s="26" t="str">
        <f t="shared" si="11"/>
        <v/>
      </c>
      <c r="Z67" s="23"/>
      <c r="AA67" s="45" t="str">
        <f t="shared" si="12"/>
        <v/>
      </c>
      <c r="AB67" s="25"/>
      <c r="AC67" s="45" t="str">
        <f t="shared" si="13"/>
        <v/>
      </c>
      <c r="AD67" s="47"/>
      <c r="AE67" s="26"/>
      <c r="AF67" s="23"/>
      <c r="AG67" s="45" t="str">
        <f t="shared" si="14"/>
        <v/>
      </c>
      <c r="AH67" s="25"/>
      <c r="AI67" s="45" t="str">
        <f t="shared" si="15"/>
        <v/>
      </c>
      <c r="AJ67" s="27">
        <v>0.0</v>
      </c>
      <c r="AK67" s="33"/>
      <c r="AL67" s="26" t="str">
        <f t="shared" si="16"/>
        <v/>
      </c>
      <c r="AM67" s="23"/>
      <c r="AN67" s="45" t="str">
        <f t="shared" si="17"/>
        <v/>
      </c>
      <c r="AO67" s="25"/>
      <c r="AP67" s="45" t="str">
        <f t="shared" si="18"/>
        <v/>
      </c>
      <c r="AQ67" s="29" t="str">
        <f t="shared" si="19"/>
        <v/>
      </c>
      <c r="AR67" s="29">
        <f t="shared" si="20"/>
        <v>0</v>
      </c>
      <c r="AS67" s="29">
        <f t="shared" si="21"/>
        <v>0</v>
      </c>
      <c r="AT67" s="26" t="str">
        <f t="shared" si="22"/>
        <v/>
      </c>
      <c r="AU67" s="23"/>
      <c r="AV67" s="45" t="str">
        <f t="shared" si="23"/>
        <v/>
      </c>
      <c r="AW67" s="25"/>
      <c r="AX67" s="45" t="str">
        <f t="shared" si="24"/>
        <v/>
      </c>
      <c r="AY67" s="47"/>
      <c r="AZ67" s="26" t="str">
        <f t="shared" si="25"/>
        <v/>
      </c>
      <c r="BA67" s="23"/>
      <c r="BB67" s="45" t="str">
        <f t="shared" si="26"/>
        <v/>
      </c>
      <c r="BC67" s="25"/>
      <c r="BD67" s="45" t="str">
        <f t="shared" si="27"/>
        <v/>
      </c>
      <c r="BE67" s="47"/>
      <c r="BF67" s="26"/>
      <c r="BG67" s="23"/>
      <c r="BH67" s="45" t="str">
        <f t="shared" si="28"/>
        <v/>
      </c>
      <c r="BI67" s="25"/>
      <c r="BJ67" s="45" t="str">
        <f t="shared" si="29"/>
        <v/>
      </c>
      <c r="BK67" s="27">
        <v>0.0</v>
      </c>
      <c r="BL67" s="23"/>
      <c r="BM67" s="45" t="str">
        <f t="shared" si="30"/>
        <v/>
      </c>
      <c r="BN67" s="25"/>
      <c r="BO67" s="45" t="str">
        <f t="shared" si="31"/>
        <v/>
      </c>
      <c r="BP67" s="27">
        <v>0.0</v>
      </c>
      <c r="BQ67" s="33"/>
      <c r="BR67" s="23"/>
      <c r="BS67" s="45" t="str">
        <f t="shared" si="32"/>
        <v/>
      </c>
      <c r="BT67" s="25"/>
      <c r="BU67" s="45" t="str">
        <f t="shared" si="33"/>
        <v/>
      </c>
      <c r="BV67" s="29" t="str">
        <f t="shared" si="34"/>
        <v/>
      </c>
      <c r="BW67" s="29">
        <f t="shared" si="35"/>
        <v>0</v>
      </c>
      <c r="BX67" s="29">
        <f t="shared" si="36"/>
        <v>0</v>
      </c>
      <c r="BY67" s="26" t="str">
        <f t="shared" si="37"/>
        <v/>
      </c>
      <c r="BZ67" s="23"/>
      <c r="CA67" s="45" t="str">
        <f t="shared" si="38"/>
        <v/>
      </c>
      <c r="CB67" s="25"/>
      <c r="CC67" s="45" t="str">
        <f t="shared" si="39"/>
        <v/>
      </c>
      <c r="CD67" s="47"/>
      <c r="CE67" s="26" t="str">
        <f t="shared" si="40"/>
        <v/>
      </c>
      <c r="CF67" s="23"/>
      <c r="CG67" s="45" t="str">
        <f t="shared" si="41"/>
        <v/>
      </c>
      <c r="CH67" s="25"/>
      <c r="CI67" s="45" t="str">
        <f t="shared" si="42"/>
        <v/>
      </c>
      <c r="CJ67" s="47"/>
      <c r="CK67" s="26"/>
      <c r="CL67" s="23"/>
      <c r="CM67" s="45" t="str">
        <f t="shared" si="43"/>
        <v/>
      </c>
      <c r="CN67" s="25"/>
      <c r="CO67" s="45" t="str">
        <f t="shared" si="44"/>
        <v/>
      </c>
      <c r="CP67" s="27">
        <v>0.0</v>
      </c>
    </row>
    <row r="68">
      <c r="A68" s="26" t="str">
        <f t="shared" si="1"/>
        <v/>
      </c>
      <c r="B68" s="26"/>
      <c r="C68" s="81"/>
      <c r="D68" s="27"/>
      <c r="E68" s="82"/>
      <c r="F68" s="20"/>
      <c r="G68" s="20"/>
      <c r="H68" s="20"/>
      <c r="I68" s="23"/>
      <c r="J68" s="33"/>
      <c r="K68" s="26" t="str">
        <f t="shared" si="2"/>
        <v/>
      </c>
      <c r="L68" s="23"/>
      <c r="M68" s="45" t="str">
        <f t="shared" si="3"/>
        <v/>
      </c>
      <c r="N68" s="25"/>
      <c r="O68" s="45" t="str">
        <f t="shared" si="4"/>
        <v/>
      </c>
      <c r="P68" s="29" t="str">
        <f t="shared" si="5"/>
        <v/>
      </c>
      <c r="Q68" s="29">
        <f t="shared" si="6"/>
        <v>0</v>
      </c>
      <c r="R68" s="29">
        <f t="shared" si="7"/>
        <v>0</v>
      </c>
      <c r="S68" s="26" t="str">
        <f t="shared" si="8"/>
        <v/>
      </c>
      <c r="T68" s="23"/>
      <c r="U68" s="45" t="str">
        <f t="shared" si="9"/>
        <v/>
      </c>
      <c r="V68" s="25"/>
      <c r="W68" s="45" t="str">
        <f t="shared" si="10"/>
        <v/>
      </c>
      <c r="X68" s="47"/>
      <c r="Y68" s="26" t="str">
        <f t="shared" si="11"/>
        <v/>
      </c>
      <c r="Z68" s="23"/>
      <c r="AA68" s="45" t="str">
        <f t="shared" si="12"/>
        <v/>
      </c>
      <c r="AB68" s="25"/>
      <c r="AC68" s="45" t="str">
        <f t="shared" si="13"/>
        <v/>
      </c>
      <c r="AD68" s="47"/>
      <c r="AE68" s="26"/>
      <c r="AF68" s="23"/>
      <c r="AG68" s="45" t="str">
        <f t="shared" si="14"/>
        <v/>
      </c>
      <c r="AH68" s="25"/>
      <c r="AI68" s="45" t="str">
        <f t="shared" si="15"/>
        <v/>
      </c>
      <c r="AJ68" s="27">
        <v>0.0</v>
      </c>
      <c r="AK68" s="33"/>
      <c r="AL68" s="26" t="str">
        <f t="shared" si="16"/>
        <v/>
      </c>
      <c r="AM68" s="23"/>
      <c r="AN68" s="45" t="str">
        <f t="shared" si="17"/>
        <v/>
      </c>
      <c r="AO68" s="25"/>
      <c r="AP68" s="45" t="str">
        <f t="shared" si="18"/>
        <v/>
      </c>
      <c r="AQ68" s="29" t="str">
        <f t="shared" si="19"/>
        <v/>
      </c>
      <c r="AR68" s="29">
        <f t="shared" si="20"/>
        <v>0</v>
      </c>
      <c r="AS68" s="29">
        <f t="shared" si="21"/>
        <v>0</v>
      </c>
      <c r="AT68" s="26" t="str">
        <f t="shared" si="22"/>
        <v/>
      </c>
      <c r="AU68" s="23"/>
      <c r="AV68" s="45" t="str">
        <f t="shared" si="23"/>
        <v/>
      </c>
      <c r="AW68" s="25"/>
      <c r="AX68" s="45" t="str">
        <f t="shared" si="24"/>
        <v/>
      </c>
      <c r="AY68" s="47"/>
      <c r="AZ68" s="26" t="str">
        <f t="shared" si="25"/>
        <v/>
      </c>
      <c r="BA68" s="23"/>
      <c r="BB68" s="45" t="str">
        <f t="shared" si="26"/>
        <v/>
      </c>
      <c r="BC68" s="25"/>
      <c r="BD68" s="45" t="str">
        <f t="shared" si="27"/>
        <v/>
      </c>
      <c r="BE68" s="47"/>
      <c r="BF68" s="26"/>
      <c r="BG68" s="23"/>
      <c r="BH68" s="45" t="str">
        <f t="shared" si="28"/>
        <v/>
      </c>
      <c r="BI68" s="25"/>
      <c r="BJ68" s="45" t="str">
        <f t="shared" si="29"/>
        <v/>
      </c>
      <c r="BK68" s="27">
        <v>0.0</v>
      </c>
      <c r="BL68" s="23"/>
      <c r="BM68" s="45" t="str">
        <f t="shared" si="30"/>
        <v/>
      </c>
      <c r="BN68" s="25"/>
      <c r="BO68" s="45" t="str">
        <f t="shared" si="31"/>
        <v/>
      </c>
      <c r="BP68" s="27">
        <v>0.0</v>
      </c>
      <c r="BQ68" s="33"/>
      <c r="BR68" s="23"/>
      <c r="BS68" s="45" t="str">
        <f t="shared" si="32"/>
        <v/>
      </c>
      <c r="BT68" s="25"/>
      <c r="BU68" s="45" t="str">
        <f t="shared" si="33"/>
        <v/>
      </c>
      <c r="BV68" s="29" t="str">
        <f t="shared" si="34"/>
        <v/>
      </c>
      <c r="BW68" s="29">
        <f t="shared" si="35"/>
        <v>0</v>
      </c>
      <c r="BX68" s="29">
        <f t="shared" si="36"/>
        <v>0</v>
      </c>
      <c r="BY68" s="26" t="str">
        <f t="shared" si="37"/>
        <v/>
      </c>
      <c r="BZ68" s="23"/>
      <c r="CA68" s="45" t="str">
        <f t="shared" si="38"/>
        <v/>
      </c>
      <c r="CB68" s="25"/>
      <c r="CC68" s="45" t="str">
        <f t="shared" si="39"/>
        <v/>
      </c>
      <c r="CD68" s="47"/>
      <c r="CE68" s="26" t="str">
        <f t="shared" si="40"/>
        <v/>
      </c>
      <c r="CF68" s="23"/>
      <c r="CG68" s="45" t="str">
        <f t="shared" si="41"/>
        <v/>
      </c>
      <c r="CH68" s="25"/>
      <c r="CI68" s="45" t="str">
        <f t="shared" si="42"/>
        <v/>
      </c>
      <c r="CJ68" s="47"/>
      <c r="CK68" s="26"/>
      <c r="CL68" s="23"/>
      <c r="CM68" s="45" t="str">
        <f t="shared" si="43"/>
        <v/>
      </c>
      <c r="CN68" s="25"/>
      <c r="CO68" s="45" t="str">
        <f t="shared" si="44"/>
        <v/>
      </c>
      <c r="CP68" s="27">
        <v>0.0</v>
      </c>
    </row>
    <row r="69">
      <c r="A69" s="26" t="str">
        <f t="shared" si="1"/>
        <v/>
      </c>
      <c r="B69" s="26"/>
      <c r="C69" s="81"/>
      <c r="D69" s="27"/>
      <c r="E69" s="82"/>
      <c r="F69" s="20"/>
      <c r="G69" s="20"/>
      <c r="H69" s="20"/>
      <c r="I69" s="23"/>
      <c r="J69" s="33"/>
      <c r="K69" s="26" t="str">
        <f t="shared" si="2"/>
        <v/>
      </c>
      <c r="L69" s="23"/>
      <c r="M69" s="45" t="str">
        <f t="shared" si="3"/>
        <v/>
      </c>
      <c r="N69" s="25"/>
      <c r="O69" s="45" t="str">
        <f t="shared" si="4"/>
        <v/>
      </c>
      <c r="P69" s="29" t="str">
        <f t="shared" si="5"/>
        <v/>
      </c>
      <c r="Q69" s="29">
        <f t="shared" si="6"/>
        <v>0</v>
      </c>
      <c r="R69" s="29">
        <f t="shared" si="7"/>
        <v>0</v>
      </c>
      <c r="S69" s="26" t="str">
        <f t="shared" si="8"/>
        <v/>
      </c>
      <c r="T69" s="23"/>
      <c r="U69" s="45" t="str">
        <f t="shared" si="9"/>
        <v/>
      </c>
      <c r="V69" s="25"/>
      <c r="W69" s="45" t="str">
        <f t="shared" si="10"/>
        <v/>
      </c>
      <c r="X69" s="47"/>
      <c r="Y69" s="26" t="str">
        <f t="shared" si="11"/>
        <v/>
      </c>
      <c r="Z69" s="23"/>
      <c r="AA69" s="45" t="str">
        <f t="shared" si="12"/>
        <v/>
      </c>
      <c r="AB69" s="25"/>
      <c r="AC69" s="45" t="str">
        <f t="shared" si="13"/>
        <v/>
      </c>
      <c r="AD69" s="47"/>
      <c r="AE69" s="26"/>
      <c r="AF69" s="23"/>
      <c r="AG69" s="45" t="str">
        <f t="shared" si="14"/>
        <v/>
      </c>
      <c r="AH69" s="25"/>
      <c r="AI69" s="45" t="str">
        <f t="shared" si="15"/>
        <v/>
      </c>
      <c r="AJ69" s="27">
        <v>0.0</v>
      </c>
      <c r="AK69" s="33"/>
      <c r="AL69" s="26" t="str">
        <f t="shared" si="16"/>
        <v/>
      </c>
      <c r="AM69" s="23"/>
      <c r="AN69" s="45" t="str">
        <f t="shared" si="17"/>
        <v/>
      </c>
      <c r="AO69" s="25"/>
      <c r="AP69" s="45" t="str">
        <f t="shared" si="18"/>
        <v/>
      </c>
      <c r="AQ69" s="29" t="str">
        <f t="shared" si="19"/>
        <v/>
      </c>
      <c r="AR69" s="29">
        <f t="shared" si="20"/>
        <v>0</v>
      </c>
      <c r="AS69" s="29">
        <f t="shared" si="21"/>
        <v>0</v>
      </c>
      <c r="AT69" s="26" t="str">
        <f t="shared" si="22"/>
        <v/>
      </c>
      <c r="AU69" s="23"/>
      <c r="AV69" s="45" t="str">
        <f t="shared" si="23"/>
        <v/>
      </c>
      <c r="AW69" s="25"/>
      <c r="AX69" s="45" t="str">
        <f t="shared" si="24"/>
        <v/>
      </c>
      <c r="AY69" s="47"/>
      <c r="AZ69" s="26" t="str">
        <f t="shared" si="25"/>
        <v/>
      </c>
      <c r="BA69" s="23"/>
      <c r="BB69" s="45" t="str">
        <f t="shared" si="26"/>
        <v/>
      </c>
      <c r="BC69" s="25"/>
      <c r="BD69" s="45" t="str">
        <f t="shared" si="27"/>
        <v/>
      </c>
      <c r="BE69" s="47"/>
      <c r="BF69" s="26"/>
      <c r="BG69" s="23"/>
      <c r="BH69" s="45" t="str">
        <f t="shared" si="28"/>
        <v/>
      </c>
      <c r="BI69" s="25"/>
      <c r="BJ69" s="45" t="str">
        <f t="shared" si="29"/>
        <v/>
      </c>
      <c r="BK69" s="27">
        <v>0.0</v>
      </c>
      <c r="BL69" s="23"/>
      <c r="BM69" s="45" t="str">
        <f t="shared" si="30"/>
        <v/>
      </c>
      <c r="BN69" s="25"/>
      <c r="BO69" s="45" t="str">
        <f t="shared" si="31"/>
        <v/>
      </c>
      <c r="BP69" s="27">
        <v>0.0</v>
      </c>
      <c r="BQ69" s="33"/>
      <c r="BR69" s="23"/>
      <c r="BS69" s="45" t="str">
        <f t="shared" si="32"/>
        <v/>
      </c>
      <c r="BT69" s="25"/>
      <c r="BU69" s="45" t="str">
        <f t="shared" si="33"/>
        <v/>
      </c>
      <c r="BV69" s="29" t="str">
        <f t="shared" si="34"/>
        <v/>
      </c>
      <c r="BW69" s="29">
        <f t="shared" si="35"/>
        <v>0</v>
      </c>
      <c r="BX69" s="29">
        <f t="shared" si="36"/>
        <v>0</v>
      </c>
      <c r="BY69" s="26" t="str">
        <f t="shared" si="37"/>
        <v/>
      </c>
      <c r="BZ69" s="23"/>
      <c r="CA69" s="45" t="str">
        <f t="shared" si="38"/>
        <v/>
      </c>
      <c r="CB69" s="25"/>
      <c r="CC69" s="45" t="str">
        <f t="shared" si="39"/>
        <v/>
      </c>
      <c r="CD69" s="47"/>
      <c r="CE69" s="26" t="str">
        <f t="shared" si="40"/>
        <v/>
      </c>
      <c r="CF69" s="23"/>
      <c r="CG69" s="45" t="str">
        <f t="shared" si="41"/>
        <v/>
      </c>
      <c r="CH69" s="25"/>
      <c r="CI69" s="45" t="str">
        <f t="shared" si="42"/>
        <v/>
      </c>
      <c r="CJ69" s="47"/>
      <c r="CK69" s="26"/>
      <c r="CL69" s="23"/>
      <c r="CM69" s="45" t="str">
        <f t="shared" si="43"/>
        <v/>
      </c>
      <c r="CN69" s="25"/>
      <c r="CO69" s="45" t="str">
        <f t="shared" si="44"/>
        <v/>
      </c>
      <c r="CP69" s="27">
        <v>0.0</v>
      </c>
    </row>
    <row r="70">
      <c r="A70" s="26" t="str">
        <f t="shared" si="1"/>
        <v/>
      </c>
      <c r="B70" s="26"/>
      <c r="C70" s="81"/>
      <c r="D70" s="27"/>
      <c r="E70" s="82"/>
      <c r="F70" s="20"/>
      <c r="G70" s="20"/>
      <c r="H70" s="20"/>
      <c r="I70" s="23"/>
      <c r="J70" s="33"/>
      <c r="K70" s="26" t="str">
        <f t="shared" si="2"/>
        <v/>
      </c>
      <c r="L70" s="23"/>
      <c r="M70" s="45" t="str">
        <f t="shared" si="3"/>
        <v/>
      </c>
      <c r="N70" s="25"/>
      <c r="O70" s="45" t="str">
        <f t="shared" si="4"/>
        <v/>
      </c>
      <c r="P70" s="29" t="str">
        <f t="shared" si="5"/>
        <v/>
      </c>
      <c r="Q70" s="29">
        <f t="shared" si="6"/>
        <v>0</v>
      </c>
      <c r="R70" s="29">
        <f t="shared" si="7"/>
        <v>0</v>
      </c>
      <c r="S70" s="26" t="str">
        <f t="shared" si="8"/>
        <v/>
      </c>
      <c r="T70" s="23"/>
      <c r="U70" s="45" t="str">
        <f t="shared" si="9"/>
        <v/>
      </c>
      <c r="V70" s="25"/>
      <c r="W70" s="45" t="str">
        <f t="shared" si="10"/>
        <v/>
      </c>
      <c r="X70" s="47"/>
      <c r="Y70" s="26" t="str">
        <f t="shared" si="11"/>
        <v/>
      </c>
      <c r="Z70" s="23"/>
      <c r="AA70" s="45" t="str">
        <f t="shared" si="12"/>
        <v/>
      </c>
      <c r="AB70" s="25"/>
      <c r="AC70" s="45" t="str">
        <f t="shared" si="13"/>
        <v/>
      </c>
      <c r="AD70" s="47"/>
      <c r="AE70" s="26"/>
      <c r="AF70" s="23"/>
      <c r="AG70" s="45" t="str">
        <f t="shared" si="14"/>
        <v/>
      </c>
      <c r="AH70" s="25"/>
      <c r="AI70" s="45" t="str">
        <f t="shared" si="15"/>
        <v/>
      </c>
      <c r="AJ70" s="27">
        <v>0.0</v>
      </c>
      <c r="AK70" s="33"/>
      <c r="AL70" s="26" t="str">
        <f t="shared" si="16"/>
        <v/>
      </c>
      <c r="AM70" s="23"/>
      <c r="AN70" s="45" t="str">
        <f t="shared" si="17"/>
        <v/>
      </c>
      <c r="AO70" s="25"/>
      <c r="AP70" s="45" t="str">
        <f t="shared" si="18"/>
        <v/>
      </c>
      <c r="AQ70" s="29" t="str">
        <f t="shared" si="19"/>
        <v/>
      </c>
      <c r="AR70" s="29">
        <f t="shared" si="20"/>
        <v>0</v>
      </c>
      <c r="AS70" s="29">
        <f t="shared" si="21"/>
        <v>0</v>
      </c>
      <c r="AT70" s="26" t="str">
        <f t="shared" si="22"/>
        <v/>
      </c>
      <c r="AU70" s="23"/>
      <c r="AV70" s="45" t="str">
        <f t="shared" si="23"/>
        <v/>
      </c>
      <c r="AW70" s="25"/>
      <c r="AX70" s="45" t="str">
        <f t="shared" si="24"/>
        <v/>
      </c>
      <c r="AY70" s="47"/>
      <c r="AZ70" s="26" t="str">
        <f t="shared" si="25"/>
        <v/>
      </c>
      <c r="BA70" s="23"/>
      <c r="BB70" s="45" t="str">
        <f t="shared" si="26"/>
        <v/>
      </c>
      <c r="BC70" s="25"/>
      <c r="BD70" s="45" t="str">
        <f t="shared" si="27"/>
        <v/>
      </c>
      <c r="BE70" s="47"/>
      <c r="BF70" s="26"/>
      <c r="BG70" s="23"/>
      <c r="BH70" s="45" t="str">
        <f t="shared" si="28"/>
        <v/>
      </c>
      <c r="BI70" s="25"/>
      <c r="BJ70" s="45" t="str">
        <f t="shared" si="29"/>
        <v/>
      </c>
      <c r="BK70" s="27">
        <v>0.0</v>
      </c>
      <c r="BL70" s="23"/>
      <c r="BM70" s="45" t="str">
        <f t="shared" si="30"/>
        <v/>
      </c>
      <c r="BN70" s="25"/>
      <c r="BO70" s="45" t="str">
        <f t="shared" si="31"/>
        <v/>
      </c>
      <c r="BP70" s="27">
        <v>0.0</v>
      </c>
      <c r="BQ70" s="33"/>
      <c r="BR70" s="23"/>
      <c r="BS70" s="45" t="str">
        <f t="shared" si="32"/>
        <v/>
      </c>
      <c r="BT70" s="25"/>
      <c r="BU70" s="45" t="str">
        <f t="shared" si="33"/>
        <v/>
      </c>
      <c r="BV70" s="29" t="str">
        <f t="shared" si="34"/>
        <v/>
      </c>
      <c r="BW70" s="29">
        <f t="shared" si="35"/>
        <v>0</v>
      </c>
      <c r="BX70" s="29">
        <f t="shared" si="36"/>
        <v>0</v>
      </c>
      <c r="BY70" s="26" t="str">
        <f t="shared" si="37"/>
        <v/>
      </c>
      <c r="BZ70" s="23"/>
      <c r="CA70" s="45" t="str">
        <f t="shared" si="38"/>
        <v/>
      </c>
      <c r="CB70" s="25"/>
      <c r="CC70" s="45" t="str">
        <f t="shared" si="39"/>
        <v/>
      </c>
      <c r="CD70" s="47"/>
      <c r="CE70" s="26" t="str">
        <f t="shared" si="40"/>
        <v/>
      </c>
      <c r="CF70" s="23"/>
      <c r="CG70" s="45" t="str">
        <f t="shared" si="41"/>
        <v/>
      </c>
      <c r="CH70" s="25"/>
      <c r="CI70" s="45" t="str">
        <f t="shared" si="42"/>
        <v/>
      </c>
      <c r="CJ70" s="47"/>
      <c r="CK70" s="26"/>
      <c r="CL70" s="23"/>
      <c r="CM70" s="45" t="str">
        <f t="shared" si="43"/>
        <v/>
      </c>
      <c r="CN70" s="25"/>
      <c r="CO70" s="45" t="str">
        <f t="shared" si="44"/>
        <v/>
      </c>
      <c r="CP70" s="27">
        <v>0.0</v>
      </c>
    </row>
    <row r="71">
      <c r="A71" s="26" t="str">
        <f t="shared" si="1"/>
        <v/>
      </c>
      <c r="B71" s="26"/>
      <c r="C71" s="81"/>
      <c r="D71" s="27"/>
      <c r="E71" s="82"/>
      <c r="F71" s="20"/>
      <c r="G71" s="20"/>
      <c r="H71" s="20"/>
      <c r="I71" s="23"/>
      <c r="J71" s="33"/>
      <c r="K71" s="26" t="str">
        <f t="shared" si="2"/>
        <v/>
      </c>
      <c r="L71" s="23"/>
      <c r="M71" s="45" t="str">
        <f t="shared" si="3"/>
        <v/>
      </c>
      <c r="N71" s="25"/>
      <c r="O71" s="45" t="str">
        <f t="shared" si="4"/>
        <v/>
      </c>
      <c r="P71" s="29" t="str">
        <f t="shared" si="5"/>
        <v/>
      </c>
      <c r="Q71" s="29">
        <f t="shared" si="6"/>
        <v>0</v>
      </c>
      <c r="R71" s="29">
        <f t="shared" si="7"/>
        <v>0</v>
      </c>
      <c r="S71" s="26" t="str">
        <f t="shared" si="8"/>
        <v/>
      </c>
      <c r="T71" s="23"/>
      <c r="U71" s="45" t="str">
        <f t="shared" si="9"/>
        <v/>
      </c>
      <c r="V71" s="25"/>
      <c r="W71" s="45" t="str">
        <f t="shared" si="10"/>
        <v/>
      </c>
      <c r="X71" s="47"/>
      <c r="Y71" s="26" t="str">
        <f t="shared" si="11"/>
        <v/>
      </c>
      <c r="Z71" s="23"/>
      <c r="AA71" s="45" t="str">
        <f t="shared" si="12"/>
        <v/>
      </c>
      <c r="AB71" s="25"/>
      <c r="AC71" s="45" t="str">
        <f t="shared" si="13"/>
        <v/>
      </c>
      <c r="AD71" s="47"/>
      <c r="AE71" s="26"/>
      <c r="AF71" s="23"/>
      <c r="AG71" s="45" t="str">
        <f t="shared" si="14"/>
        <v/>
      </c>
      <c r="AH71" s="25"/>
      <c r="AI71" s="45" t="str">
        <f t="shared" si="15"/>
        <v/>
      </c>
      <c r="AJ71" s="27">
        <v>0.0</v>
      </c>
      <c r="AK71" s="33"/>
      <c r="AL71" s="26" t="str">
        <f t="shared" si="16"/>
        <v/>
      </c>
      <c r="AM71" s="23"/>
      <c r="AN71" s="45" t="str">
        <f t="shared" si="17"/>
        <v/>
      </c>
      <c r="AO71" s="25"/>
      <c r="AP71" s="45" t="str">
        <f t="shared" si="18"/>
        <v/>
      </c>
      <c r="AQ71" s="29" t="str">
        <f t="shared" si="19"/>
        <v/>
      </c>
      <c r="AR71" s="29">
        <f t="shared" si="20"/>
        <v>0</v>
      </c>
      <c r="AS71" s="29">
        <f t="shared" si="21"/>
        <v>0</v>
      </c>
      <c r="AT71" s="26" t="str">
        <f t="shared" si="22"/>
        <v/>
      </c>
      <c r="AU71" s="23"/>
      <c r="AV71" s="45" t="str">
        <f t="shared" si="23"/>
        <v/>
      </c>
      <c r="AW71" s="25"/>
      <c r="AX71" s="45" t="str">
        <f t="shared" si="24"/>
        <v/>
      </c>
      <c r="AY71" s="47"/>
      <c r="AZ71" s="26" t="str">
        <f t="shared" si="25"/>
        <v/>
      </c>
      <c r="BA71" s="23"/>
      <c r="BB71" s="45" t="str">
        <f t="shared" si="26"/>
        <v/>
      </c>
      <c r="BC71" s="25"/>
      <c r="BD71" s="45" t="str">
        <f t="shared" si="27"/>
        <v/>
      </c>
      <c r="BE71" s="47"/>
      <c r="BF71" s="26"/>
      <c r="BG71" s="23"/>
      <c r="BH71" s="45" t="str">
        <f t="shared" si="28"/>
        <v/>
      </c>
      <c r="BI71" s="25"/>
      <c r="BJ71" s="45" t="str">
        <f t="shared" si="29"/>
        <v/>
      </c>
      <c r="BK71" s="27">
        <v>0.0</v>
      </c>
      <c r="BL71" s="23"/>
      <c r="BM71" s="45" t="str">
        <f t="shared" si="30"/>
        <v/>
      </c>
      <c r="BN71" s="25"/>
      <c r="BO71" s="45" t="str">
        <f t="shared" si="31"/>
        <v/>
      </c>
      <c r="BP71" s="27">
        <v>0.0</v>
      </c>
      <c r="BQ71" s="33"/>
      <c r="BR71" s="23"/>
      <c r="BS71" s="45" t="str">
        <f t="shared" si="32"/>
        <v/>
      </c>
      <c r="BT71" s="25"/>
      <c r="BU71" s="45" t="str">
        <f t="shared" si="33"/>
        <v/>
      </c>
      <c r="BV71" s="29" t="str">
        <f t="shared" si="34"/>
        <v/>
      </c>
      <c r="BW71" s="29">
        <f t="shared" si="35"/>
        <v>0</v>
      </c>
      <c r="BX71" s="29">
        <f t="shared" si="36"/>
        <v>0</v>
      </c>
      <c r="BY71" s="26" t="str">
        <f t="shared" si="37"/>
        <v/>
      </c>
      <c r="BZ71" s="23"/>
      <c r="CA71" s="45" t="str">
        <f t="shared" si="38"/>
        <v/>
      </c>
      <c r="CB71" s="25"/>
      <c r="CC71" s="45" t="str">
        <f t="shared" si="39"/>
        <v/>
      </c>
      <c r="CD71" s="47"/>
      <c r="CE71" s="26" t="str">
        <f t="shared" si="40"/>
        <v/>
      </c>
      <c r="CF71" s="23"/>
      <c r="CG71" s="45" t="str">
        <f t="shared" si="41"/>
        <v/>
      </c>
      <c r="CH71" s="25"/>
      <c r="CI71" s="45" t="str">
        <f t="shared" si="42"/>
        <v/>
      </c>
      <c r="CJ71" s="47"/>
      <c r="CK71" s="26"/>
      <c r="CL71" s="23"/>
      <c r="CM71" s="45" t="str">
        <f t="shared" si="43"/>
        <v/>
      </c>
      <c r="CN71" s="25"/>
      <c r="CO71" s="45" t="str">
        <f t="shared" si="44"/>
        <v/>
      </c>
      <c r="CP71" s="27">
        <v>0.0</v>
      </c>
    </row>
    <row r="72">
      <c r="A72" s="26" t="str">
        <f t="shared" si="1"/>
        <v/>
      </c>
      <c r="B72" s="26"/>
      <c r="C72" s="81"/>
      <c r="D72" s="27"/>
      <c r="E72" s="82"/>
      <c r="F72" s="20"/>
      <c r="G72" s="20"/>
      <c r="H72" s="20"/>
      <c r="I72" s="23"/>
      <c r="J72" s="33"/>
      <c r="K72" s="26" t="str">
        <f t="shared" si="2"/>
        <v/>
      </c>
      <c r="L72" s="23"/>
      <c r="M72" s="45" t="str">
        <f t="shared" si="3"/>
        <v/>
      </c>
      <c r="N72" s="25"/>
      <c r="O72" s="45" t="str">
        <f t="shared" si="4"/>
        <v/>
      </c>
      <c r="P72" s="29" t="str">
        <f t="shared" si="5"/>
        <v/>
      </c>
      <c r="Q72" s="29">
        <f t="shared" si="6"/>
        <v>0</v>
      </c>
      <c r="R72" s="29">
        <f t="shared" si="7"/>
        <v>0</v>
      </c>
      <c r="S72" s="26" t="str">
        <f t="shared" si="8"/>
        <v/>
      </c>
      <c r="T72" s="23"/>
      <c r="U72" s="45" t="str">
        <f t="shared" si="9"/>
        <v/>
      </c>
      <c r="V72" s="25"/>
      <c r="W72" s="45" t="str">
        <f t="shared" si="10"/>
        <v/>
      </c>
      <c r="X72" s="47"/>
      <c r="Y72" s="26" t="str">
        <f t="shared" si="11"/>
        <v/>
      </c>
      <c r="Z72" s="23"/>
      <c r="AA72" s="45" t="str">
        <f t="shared" si="12"/>
        <v/>
      </c>
      <c r="AB72" s="25"/>
      <c r="AC72" s="45" t="str">
        <f t="shared" si="13"/>
        <v/>
      </c>
      <c r="AD72" s="47"/>
      <c r="AE72" s="26"/>
      <c r="AF72" s="23"/>
      <c r="AG72" s="45" t="str">
        <f t="shared" si="14"/>
        <v/>
      </c>
      <c r="AH72" s="25"/>
      <c r="AI72" s="45" t="str">
        <f t="shared" si="15"/>
        <v/>
      </c>
      <c r="AJ72" s="27">
        <v>0.0</v>
      </c>
      <c r="AK72" s="33"/>
      <c r="AL72" s="26" t="str">
        <f t="shared" si="16"/>
        <v/>
      </c>
      <c r="AM72" s="23"/>
      <c r="AN72" s="45" t="str">
        <f t="shared" si="17"/>
        <v/>
      </c>
      <c r="AO72" s="25"/>
      <c r="AP72" s="45" t="str">
        <f t="shared" si="18"/>
        <v/>
      </c>
      <c r="AQ72" s="29" t="str">
        <f t="shared" si="19"/>
        <v/>
      </c>
      <c r="AR72" s="29">
        <f t="shared" si="20"/>
        <v>0</v>
      </c>
      <c r="AS72" s="29">
        <f t="shared" si="21"/>
        <v>0</v>
      </c>
      <c r="AT72" s="26" t="str">
        <f t="shared" si="22"/>
        <v/>
      </c>
      <c r="AU72" s="23"/>
      <c r="AV72" s="45" t="str">
        <f t="shared" si="23"/>
        <v/>
      </c>
      <c r="AW72" s="25"/>
      <c r="AX72" s="45" t="str">
        <f t="shared" si="24"/>
        <v/>
      </c>
      <c r="AY72" s="47"/>
      <c r="AZ72" s="26" t="str">
        <f t="shared" si="25"/>
        <v/>
      </c>
      <c r="BA72" s="23"/>
      <c r="BB72" s="45" t="str">
        <f t="shared" si="26"/>
        <v/>
      </c>
      <c r="BC72" s="25"/>
      <c r="BD72" s="45" t="str">
        <f t="shared" si="27"/>
        <v/>
      </c>
      <c r="BE72" s="47"/>
      <c r="BF72" s="26"/>
      <c r="BG72" s="23"/>
      <c r="BH72" s="45" t="str">
        <f t="shared" si="28"/>
        <v/>
      </c>
      <c r="BI72" s="25"/>
      <c r="BJ72" s="45" t="str">
        <f t="shared" si="29"/>
        <v/>
      </c>
      <c r="BK72" s="27">
        <v>0.0</v>
      </c>
      <c r="BL72" s="23"/>
      <c r="BM72" s="45" t="str">
        <f t="shared" si="30"/>
        <v/>
      </c>
      <c r="BN72" s="25"/>
      <c r="BO72" s="45" t="str">
        <f t="shared" si="31"/>
        <v/>
      </c>
      <c r="BP72" s="27">
        <v>0.0</v>
      </c>
      <c r="BQ72" s="33"/>
      <c r="BR72" s="23"/>
      <c r="BS72" s="45" t="str">
        <f t="shared" si="32"/>
        <v/>
      </c>
      <c r="BT72" s="25"/>
      <c r="BU72" s="45" t="str">
        <f t="shared" si="33"/>
        <v/>
      </c>
      <c r="BV72" s="29" t="str">
        <f t="shared" si="34"/>
        <v/>
      </c>
      <c r="BW72" s="29">
        <f t="shared" si="35"/>
        <v>0</v>
      </c>
      <c r="BX72" s="29">
        <f t="shared" si="36"/>
        <v>0</v>
      </c>
      <c r="BY72" s="26" t="str">
        <f t="shared" si="37"/>
        <v/>
      </c>
      <c r="BZ72" s="23"/>
      <c r="CA72" s="45" t="str">
        <f t="shared" si="38"/>
        <v/>
      </c>
      <c r="CB72" s="25"/>
      <c r="CC72" s="45" t="str">
        <f t="shared" si="39"/>
        <v/>
      </c>
      <c r="CD72" s="47"/>
      <c r="CE72" s="26" t="str">
        <f t="shared" si="40"/>
        <v/>
      </c>
      <c r="CF72" s="23"/>
      <c r="CG72" s="45" t="str">
        <f t="shared" si="41"/>
        <v/>
      </c>
      <c r="CH72" s="25"/>
      <c r="CI72" s="45" t="str">
        <f t="shared" si="42"/>
        <v/>
      </c>
      <c r="CJ72" s="47"/>
      <c r="CK72" s="26"/>
      <c r="CL72" s="23"/>
      <c r="CM72" s="45" t="str">
        <f t="shared" si="43"/>
        <v/>
      </c>
      <c r="CN72" s="25"/>
      <c r="CO72" s="45" t="str">
        <f t="shared" si="44"/>
        <v/>
      </c>
      <c r="CP72" s="27">
        <v>0.0</v>
      </c>
    </row>
    <row r="73">
      <c r="A73" s="26" t="str">
        <f t="shared" si="1"/>
        <v/>
      </c>
      <c r="B73" s="26"/>
      <c r="C73" s="81"/>
      <c r="D73" s="27"/>
      <c r="E73" s="82"/>
      <c r="F73" s="20"/>
      <c r="G73" s="20"/>
      <c r="H73" s="20"/>
      <c r="I73" s="23"/>
      <c r="J73" s="33"/>
      <c r="K73" s="26" t="str">
        <f t="shared" si="2"/>
        <v/>
      </c>
      <c r="L73" s="23"/>
      <c r="M73" s="45" t="str">
        <f t="shared" si="3"/>
        <v/>
      </c>
      <c r="N73" s="25"/>
      <c r="O73" s="45" t="str">
        <f t="shared" si="4"/>
        <v/>
      </c>
      <c r="P73" s="29" t="str">
        <f t="shared" si="5"/>
        <v/>
      </c>
      <c r="Q73" s="29">
        <f t="shared" si="6"/>
        <v>0</v>
      </c>
      <c r="R73" s="29">
        <f t="shared" si="7"/>
        <v>0</v>
      </c>
      <c r="S73" s="26" t="str">
        <f t="shared" si="8"/>
        <v/>
      </c>
      <c r="T73" s="23"/>
      <c r="U73" s="45" t="str">
        <f t="shared" si="9"/>
        <v/>
      </c>
      <c r="V73" s="25"/>
      <c r="W73" s="45" t="str">
        <f t="shared" si="10"/>
        <v/>
      </c>
      <c r="X73" s="47"/>
      <c r="Y73" s="26" t="str">
        <f t="shared" si="11"/>
        <v/>
      </c>
      <c r="Z73" s="23"/>
      <c r="AA73" s="45" t="str">
        <f t="shared" si="12"/>
        <v/>
      </c>
      <c r="AB73" s="25"/>
      <c r="AC73" s="45" t="str">
        <f t="shared" si="13"/>
        <v/>
      </c>
      <c r="AD73" s="47"/>
      <c r="AE73" s="26"/>
      <c r="AF73" s="23"/>
      <c r="AG73" s="45" t="str">
        <f t="shared" si="14"/>
        <v/>
      </c>
      <c r="AH73" s="25"/>
      <c r="AI73" s="45" t="str">
        <f t="shared" si="15"/>
        <v/>
      </c>
      <c r="AJ73" s="27">
        <v>0.0</v>
      </c>
      <c r="AK73" s="33"/>
      <c r="AL73" s="26" t="str">
        <f t="shared" si="16"/>
        <v/>
      </c>
      <c r="AM73" s="23"/>
      <c r="AN73" s="45" t="str">
        <f t="shared" si="17"/>
        <v/>
      </c>
      <c r="AO73" s="25"/>
      <c r="AP73" s="45" t="str">
        <f t="shared" si="18"/>
        <v/>
      </c>
      <c r="AQ73" s="29" t="str">
        <f t="shared" si="19"/>
        <v/>
      </c>
      <c r="AR73" s="29">
        <f t="shared" si="20"/>
        <v>0</v>
      </c>
      <c r="AS73" s="29">
        <f t="shared" si="21"/>
        <v>0</v>
      </c>
      <c r="AT73" s="26" t="str">
        <f t="shared" si="22"/>
        <v/>
      </c>
      <c r="AU73" s="23"/>
      <c r="AV73" s="45" t="str">
        <f t="shared" si="23"/>
        <v/>
      </c>
      <c r="AW73" s="25"/>
      <c r="AX73" s="45" t="str">
        <f t="shared" si="24"/>
        <v/>
      </c>
      <c r="AY73" s="47"/>
      <c r="AZ73" s="26" t="str">
        <f t="shared" si="25"/>
        <v/>
      </c>
      <c r="BA73" s="23"/>
      <c r="BB73" s="45" t="str">
        <f t="shared" si="26"/>
        <v/>
      </c>
      <c r="BC73" s="25"/>
      <c r="BD73" s="45" t="str">
        <f t="shared" si="27"/>
        <v/>
      </c>
      <c r="BE73" s="47"/>
      <c r="BF73" s="26"/>
      <c r="BG73" s="23"/>
      <c r="BH73" s="45" t="str">
        <f t="shared" si="28"/>
        <v/>
      </c>
      <c r="BI73" s="25"/>
      <c r="BJ73" s="45" t="str">
        <f t="shared" si="29"/>
        <v/>
      </c>
      <c r="BK73" s="27">
        <v>0.0</v>
      </c>
      <c r="BL73" s="23"/>
      <c r="BM73" s="45" t="str">
        <f t="shared" si="30"/>
        <v/>
      </c>
      <c r="BN73" s="25"/>
      <c r="BO73" s="45" t="str">
        <f t="shared" si="31"/>
        <v/>
      </c>
      <c r="BP73" s="27">
        <v>0.0</v>
      </c>
      <c r="BQ73" s="33"/>
      <c r="BR73" s="23"/>
      <c r="BS73" s="45" t="str">
        <f t="shared" si="32"/>
        <v/>
      </c>
      <c r="BT73" s="25"/>
      <c r="BU73" s="45" t="str">
        <f t="shared" si="33"/>
        <v/>
      </c>
      <c r="BV73" s="29" t="str">
        <f t="shared" si="34"/>
        <v/>
      </c>
      <c r="BW73" s="29">
        <f t="shared" si="35"/>
        <v>0</v>
      </c>
      <c r="BX73" s="29">
        <f t="shared" si="36"/>
        <v>0</v>
      </c>
      <c r="BY73" s="26" t="str">
        <f t="shared" si="37"/>
        <v/>
      </c>
      <c r="BZ73" s="23"/>
      <c r="CA73" s="45" t="str">
        <f t="shared" si="38"/>
        <v/>
      </c>
      <c r="CB73" s="25"/>
      <c r="CC73" s="45" t="str">
        <f t="shared" si="39"/>
        <v/>
      </c>
      <c r="CD73" s="47"/>
      <c r="CE73" s="26" t="str">
        <f t="shared" si="40"/>
        <v/>
      </c>
      <c r="CF73" s="23"/>
      <c r="CG73" s="45" t="str">
        <f t="shared" si="41"/>
        <v/>
      </c>
      <c r="CH73" s="25"/>
      <c r="CI73" s="45" t="str">
        <f t="shared" si="42"/>
        <v/>
      </c>
      <c r="CJ73" s="47"/>
      <c r="CK73" s="26"/>
      <c r="CL73" s="23"/>
      <c r="CM73" s="45" t="str">
        <f t="shared" si="43"/>
        <v/>
      </c>
      <c r="CN73" s="25"/>
      <c r="CO73" s="45" t="str">
        <f t="shared" si="44"/>
        <v/>
      </c>
      <c r="CP73" s="27">
        <v>0.0</v>
      </c>
    </row>
    <row r="74">
      <c r="A74" s="26" t="str">
        <f t="shared" si="1"/>
        <v/>
      </c>
      <c r="B74" s="26"/>
      <c r="C74" s="81"/>
      <c r="D74" s="27"/>
      <c r="E74" s="82"/>
      <c r="F74" s="20"/>
      <c r="G74" s="20"/>
      <c r="H74" s="20"/>
      <c r="I74" s="23"/>
      <c r="J74" s="33"/>
      <c r="K74" s="26" t="str">
        <f t="shared" si="2"/>
        <v/>
      </c>
      <c r="L74" s="23"/>
      <c r="M74" s="45" t="str">
        <f t="shared" si="3"/>
        <v/>
      </c>
      <c r="N74" s="25"/>
      <c r="O74" s="45" t="str">
        <f t="shared" si="4"/>
        <v/>
      </c>
      <c r="P74" s="29" t="str">
        <f t="shared" si="5"/>
        <v/>
      </c>
      <c r="Q74" s="29">
        <f t="shared" si="6"/>
        <v>0</v>
      </c>
      <c r="R74" s="29">
        <f t="shared" si="7"/>
        <v>0</v>
      </c>
      <c r="S74" s="26" t="str">
        <f t="shared" si="8"/>
        <v/>
      </c>
      <c r="T74" s="23"/>
      <c r="U74" s="45" t="str">
        <f t="shared" si="9"/>
        <v/>
      </c>
      <c r="V74" s="25"/>
      <c r="W74" s="45" t="str">
        <f t="shared" si="10"/>
        <v/>
      </c>
      <c r="X74" s="47"/>
      <c r="Y74" s="26" t="str">
        <f t="shared" si="11"/>
        <v/>
      </c>
      <c r="Z74" s="23"/>
      <c r="AA74" s="45" t="str">
        <f t="shared" si="12"/>
        <v/>
      </c>
      <c r="AB74" s="25"/>
      <c r="AC74" s="45" t="str">
        <f t="shared" si="13"/>
        <v/>
      </c>
      <c r="AD74" s="47"/>
      <c r="AE74" s="26"/>
      <c r="AF74" s="23"/>
      <c r="AG74" s="45" t="str">
        <f t="shared" si="14"/>
        <v/>
      </c>
      <c r="AH74" s="25"/>
      <c r="AI74" s="45" t="str">
        <f t="shared" si="15"/>
        <v/>
      </c>
      <c r="AJ74" s="27">
        <v>0.0</v>
      </c>
      <c r="AK74" s="33"/>
      <c r="AL74" s="26" t="str">
        <f t="shared" si="16"/>
        <v/>
      </c>
      <c r="AM74" s="23"/>
      <c r="AN74" s="45" t="str">
        <f t="shared" si="17"/>
        <v/>
      </c>
      <c r="AO74" s="25"/>
      <c r="AP74" s="45" t="str">
        <f t="shared" si="18"/>
        <v/>
      </c>
      <c r="AQ74" s="29" t="str">
        <f t="shared" si="19"/>
        <v/>
      </c>
      <c r="AR74" s="29">
        <f t="shared" si="20"/>
        <v>0</v>
      </c>
      <c r="AS74" s="29">
        <f t="shared" si="21"/>
        <v>0</v>
      </c>
      <c r="AT74" s="26" t="str">
        <f t="shared" si="22"/>
        <v/>
      </c>
      <c r="AU74" s="23"/>
      <c r="AV74" s="45" t="str">
        <f t="shared" si="23"/>
        <v/>
      </c>
      <c r="AW74" s="25"/>
      <c r="AX74" s="45" t="str">
        <f t="shared" si="24"/>
        <v/>
      </c>
      <c r="AY74" s="47"/>
      <c r="AZ74" s="26" t="str">
        <f t="shared" si="25"/>
        <v/>
      </c>
      <c r="BA74" s="23"/>
      <c r="BB74" s="45" t="str">
        <f t="shared" si="26"/>
        <v/>
      </c>
      <c r="BC74" s="25"/>
      <c r="BD74" s="45" t="str">
        <f t="shared" si="27"/>
        <v/>
      </c>
      <c r="BE74" s="47"/>
      <c r="BF74" s="26"/>
      <c r="BG74" s="23"/>
      <c r="BH74" s="45" t="str">
        <f t="shared" si="28"/>
        <v/>
      </c>
      <c r="BI74" s="25"/>
      <c r="BJ74" s="45" t="str">
        <f t="shared" si="29"/>
        <v/>
      </c>
      <c r="BK74" s="27">
        <v>0.0</v>
      </c>
      <c r="BL74" s="23"/>
      <c r="BM74" s="45" t="str">
        <f t="shared" si="30"/>
        <v/>
      </c>
      <c r="BN74" s="25"/>
      <c r="BO74" s="45" t="str">
        <f t="shared" si="31"/>
        <v/>
      </c>
      <c r="BP74" s="27">
        <v>0.0</v>
      </c>
      <c r="BQ74" s="33"/>
      <c r="BR74" s="23"/>
      <c r="BS74" s="45" t="str">
        <f t="shared" si="32"/>
        <v/>
      </c>
      <c r="BT74" s="25"/>
      <c r="BU74" s="45" t="str">
        <f t="shared" si="33"/>
        <v/>
      </c>
      <c r="BV74" s="29" t="str">
        <f t="shared" si="34"/>
        <v/>
      </c>
      <c r="BW74" s="29">
        <f t="shared" si="35"/>
        <v>0</v>
      </c>
      <c r="BX74" s="29">
        <f t="shared" si="36"/>
        <v>0</v>
      </c>
      <c r="BY74" s="26" t="str">
        <f t="shared" si="37"/>
        <v/>
      </c>
      <c r="BZ74" s="23"/>
      <c r="CA74" s="45" t="str">
        <f t="shared" si="38"/>
        <v/>
      </c>
      <c r="CB74" s="25"/>
      <c r="CC74" s="45" t="str">
        <f t="shared" si="39"/>
        <v/>
      </c>
      <c r="CD74" s="47"/>
      <c r="CE74" s="26" t="str">
        <f t="shared" si="40"/>
        <v/>
      </c>
      <c r="CF74" s="23"/>
      <c r="CG74" s="45" t="str">
        <f t="shared" si="41"/>
        <v/>
      </c>
      <c r="CH74" s="25"/>
      <c r="CI74" s="45" t="str">
        <f t="shared" si="42"/>
        <v/>
      </c>
      <c r="CJ74" s="47"/>
      <c r="CK74" s="26"/>
      <c r="CL74" s="23"/>
      <c r="CM74" s="45" t="str">
        <f t="shared" si="43"/>
        <v/>
      </c>
      <c r="CN74" s="25"/>
      <c r="CO74" s="45" t="str">
        <f t="shared" si="44"/>
        <v/>
      </c>
      <c r="CP74" s="27">
        <v>0.0</v>
      </c>
    </row>
    <row r="75">
      <c r="A75" s="26" t="str">
        <f t="shared" si="1"/>
        <v/>
      </c>
      <c r="B75" s="26"/>
      <c r="C75" s="81"/>
      <c r="D75" s="27"/>
      <c r="E75" s="82"/>
      <c r="F75" s="20"/>
      <c r="G75" s="20"/>
      <c r="H75" s="20"/>
      <c r="I75" s="23"/>
      <c r="J75" s="33"/>
      <c r="K75" s="26" t="str">
        <f t="shared" si="2"/>
        <v/>
      </c>
      <c r="L75" s="23"/>
      <c r="M75" s="45" t="str">
        <f t="shared" si="3"/>
        <v/>
      </c>
      <c r="N75" s="25"/>
      <c r="O75" s="45" t="str">
        <f t="shared" si="4"/>
        <v/>
      </c>
      <c r="P75" s="29" t="str">
        <f t="shared" si="5"/>
        <v/>
      </c>
      <c r="Q75" s="29">
        <f t="shared" si="6"/>
        <v>0</v>
      </c>
      <c r="R75" s="29">
        <f t="shared" si="7"/>
        <v>0</v>
      </c>
      <c r="S75" s="26" t="str">
        <f t="shared" si="8"/>
        <v/>
      </c>
      <c r="T75" s="23"/>
      <c r="U75" s="45" t="str">
        <f t="shared" si="9"/>
        <v/>
      </c>
      <c r="V75" s="25"/>
      <c r="W75" s="45" t="str">
        <f t="shared" si="10"/>
        <v/>
      </c>
      <c r="X75" s="47"/>
      <c r="Y75" s="26" t="str">
        <f t="shared" si="11"/>
        <v/>
      </c>
      <c r="Z75" s="23"/>
      <c r="AA75" s="45" t="str">
        <f t="shared" si="12"/>
        <v/>
      </c>
      <c r="AB75" s="25"/>
      <c r="AC75" s="45" t="str">
        <f t="shared" si="13"/>
        <v/>
      </c>
      <c r="AD75" s="47"/>
      <c r="AE75" s="26"/>
      <c r="AF75" s="23"/>
      <c r="AG75" s="45" t="str">
        <f t="shared" si="14"/>
        <v/>
      </c>
      <c r="AH75" s="25"/>
      <c r="AI75" s="45" t="str">
        <f t="shared" si="15"/>
        <v/>
      </c>
      <c r="AJ75" s="27">
        <v>0.0</v>
      </c>
      <c r="AK75" s="33"/>
      <c r="AL75" s="26" t="str">
        <f t="shared" si="16"/>
        <v/>
      </c>
      <c r="AM75" s="23"/>
      <c r="AN75" s="45" t="str">
        <f t="shared" si="17"/>
        <v/>
      </c>
      <c r="AO75" s="25"/>
      <c r="AP75" s="45" t="str">
        <f t="shared" si="18"/>
        <v/>
      </c>
      <c r="AQ75" s="29" t="str">
        <f t="shared" si="19"/>
        <v/>
      </c>
      <c r="AR75" s="29">
        <f t="shared" si="20"/>
        <v>0</v>
      </c>
      <c r="AS75" s="29">
        <f t="shared" si="21"/>
        <v>0</v>
      </c>
      <c r="AT75" s="26" t="str">
        <f t="shared" si="22"/>
        <v/>
      </c>
      <c r="AU75" s="23"/>
      <c r="AV75" s="45" t="str">
        <f t="shared" si="23"/>
        <v/>
      </c>
      <c r="AW75" s="25"/>
      <c r="AX75" s="45" t="str">
        <f t="shared" si="24"/>
        <v/>
      </c>
      <c r="AY75" s="47"/>
      <c r="AZ75" s="26" t="str">
        <f t="shared" si="25"/>
        <v/>
      </c>
      <c r="BA75" s="23"/>
      <c r="BB75" s="45" t="str">
        <f t="shared" si="26"/>
        <v/>
      </c>
      <c r="BC75" s="25"/>
      <c r="BD75" s="45" t="str">
        <f t="shared" si="27"/>
        <v/>
      </c>
      <c r="BE75" s="47"/>
      <c r="BF75" s="26"/>
      <c r="BG75" s="23"/>
      <c r="BH75" s="45" t="str">
        <f t="shared" si="28"/>
        <v/>
      </c>
      <c r="BI75" s="25"/>
      <c r="BJ75" s="45" t="str">
        <f t="shared" si="29"/>
        <v/>
      </c>
      <c r="BK75" s="27">
        <v>0.0</v>
      </c>
      <c r="BL75" s="23"/>
      <c r="BM75" s="45" t="str">
        <f t="shared" si="30"/>
        <v/>
      </c>
      <c r="BN75" s="25"/>
      <c r="BO75" s="45" t="str">
        <f t="shared" si="31"/>
        <v/>
      </c>
      <c r="BP75" s="27">
        <v>0.0</v>
      </c>
      <c r="BQ75" s="33"/>
      <c r="BR75" s="23"/>
      <c r="BS75" s="45" t="str">
        <f t="shared" si="32"/>
        <v/>
      </c>
      <c r="BT75" s="25"/>
      <c r="BU75" s="45" t="str">
        <f t="shared" si="33"/>
        <v/>
      </c>
      <c r="BV75" s="29" t="str">
        <f t="shared" si="34"/>
        <v/>
      </c>
      <c r="BW75" s="29">
        <f t="shared" si="35"/>
        <v>0</v>
      </c>
      <c r="BX75" s="29">
        <f t="shared" si="36"/>
        <v>0</v>
      </c>
      <c r="BY75" s="26" t="str">
        <f t="shared" si="37"/>
        <v/>
      </c>
      <c r="BZ75" s="23"/>
      <c r="CA75" s="45" t="str">
        <f t="shared" si="38"/>
        <v/>
      </c>
      <c r="CB75" s="25"/>
      <c r="CC75" s="45" t="str">
        <f t="shared" si="39"/>
        <v/>
      </c>
      <c r="CD75" s="47"/>
      <c r="CE75" s="26" t="str">
        <f t="shared" si="40"/>
        <v/>
      </c>
      <c r="CF75" s="23"/>
      <c r="CG75" s="45" t="str">
        <f t="shared" si="41"/>
        <v/>
      </c>
      <c r="CH75" s="25"/>
      <c r="CI75" s="45" t="str">
        <f t="shared" si="42"/>
        <v/>
      </c>
      <c r="CJ75" s="47"/>
      <c r="CK75" s="26"/>
      <c r="CL75" s="23"/>
      <c r="CM75" s="45" t="str">
        <f t="shared" si="43"/>
        <v/>
      </c>
      <c r="CN75" s="25"/>
      <c r="CO75" s="45" t="str">
        <f t="shared" si="44"/>
        <v/>
      </c>
      <c r="CP75" s="27">
        <v>0.0</v>
      </c>
    </row>
    <row r="76">
      <c r="A76" s="26" t="str">
        <f t="shared" si="1"/>
        <v/>
      </c>
      <c r="B76" s="26"/>
      <c r="C76" s="81"/>
      <c r="D76" s="27"/>
      <c r="E76" s="82"/>
      <c r="F76" s="20"/>
      <c r="G76" s="20"/>
      <c r="H76" s="20"/>
      <c r="I76" s="23"/>
      <c r="J76" s="33"/>
      <c r="K76" s="26" t="str">
        <f t="shared" si="2"/>
        <v/>
      </c>
      <c r="L76" s="23"/>
      <c r="M76" s="45" t="str">
        <f t="shared" si="3"/>
        <v/>
      </c>
      <c r="N76" s="25"/>
      <c r="O76" s="45" t="str">
        <f t="shared" si="4"/>
        <v/>
      </c>
      <c r="P76" s="29" t="str">
        <f t="shared" si="5"/>
        <v/>
      </c>
      <c r="Q76" s="29">
        <f t="shared" si="6"/>
        <v>0</v>
      </c>
      <c r="R76" s="29">
        <f t="shared" si="7"/>
        <v>0</v>
      </c>
      <c r="S76" s="26" t="str">
        <f t="shared" si="8"/>
        <v/>
      </c>
      <c r="T76" s="23"/>
      <c r="U76" s="45" t="str">
        <f t="shared" si="9"/>
        <v/>
      </c>
      <c r="V76" s="25"/>
      <c r="W76" s="45" t="str">
        <f t="shared" si="10"/>
        <v/>
      </c>
      <c r="X76" s="47"/>
      <c r="Y76" s="26" t="str">
        <f t="shared" si="11"/>
        <v/>
      </c>
      <c r="Z76" s="23"/>
      <c r="AA76" s="45" t="str">
        <f t="shared" si="12"/>
        <v/>
      </c>
      <c r="AB76" s="25"/>
      <c r="AC76" s="45" t="str">
        <f t="shared" si="13"/>
        <v/>
      </c>
      <c r="AD76" s="47"/>
      <c r="AE76" s="26"/>
      <c r="AF76" s="23"/>
      <c r="AG76" s="45" t="str">
        <f t="shared" si="14"/>
        <v/>
      </c>
      <c r="AH76" s="25"/>
      <c r="AI76" s="45" t="str">
        <f t="shared" si="15"/>
        <v/>
      </c>
      <c r="AJ76" s="27">
        <v>0.0</v>
      </c>
      <c r="AK76" s="33"/>
      <c r="AL76" s="26" t="str">
        <f t="shared" si="16"/>
        <v/>
      </c>
      <c r="AM76" s="23"/>
      <c r="AN76" s="45" t="str">
        <f t="shared" si="17"/>
        <v/>
      </c>
      <c r="AO76" s="25"/>
      <c r="AP76" s="45" t="str">
        <f t="shared" si="18"/>
        <v/>
      </c>
      <c r="AQ76" s="29" t="str">
        <f t="shared" si="19"/>
        <v/>
      </c>
      <c r="AR76" s="29">
        <f t="shared" si="20"/>
        <v>0</v>
      </c>
      <c r="AS76" s="29">
        <f t="shared" si="21"/>
        <v>0</v>
      </c>
      <c r="AT76" s="26" t="str">
        <f t="shared" si="22"/>
        <v/>
      </c>
      <c r="AU76" s="23"/>
      <c r="AV76" s="45" t="str">
        <f t="shared" si="23"/>
        <v/>
      </c>
      <c r="AW76" s="25"/>
      <c r="AX76" s="45" t="str">
        <f t="shared" si="24"/>
        <v/>
      </c>
      <c r="AY76" s="47"/>
      <c r="AZ76" s="26" t="str">
        <f t="shared" si="25"/>
        <v/>
      </c>
      <c r="BA76" s="23"/>
      <c r="BB76" s="45" t="str">
        <f t="shared" si="26"/>
        <v/>
      </c>
      <c r="BC76" s="25"/>
      <c r="BD76" s="45" t="str">
        <f t="shared" si="27"/>
        <v/>
      </c>
      <c r="BE76" s="47"/>
      <c r="BF76" s="26"/>
      <c r="BG76" s="23"/>
      <c r="BH76" s="45" t="str">
        <f t="shared" si="28"/>
        <v/>
      </c>
      <c r="BI76" s="25"/>
      <c r="BJ76" s="45" t="str">
        <f t="shared" si="29"/>
        <v/>
      </c>
      <c r="BK76" s="27">
        <v>0.0</v>
      </c>
      <c r="BL76" s="23"/>
      <c r="BM76" s="45" t="str">
        <f t="shared" si="30"/>
        <v/>
      </c>
      <c r="BN76" s="25"/>
      <c r="BO76" s="45" t="str">
        <f t="shared" si="31"/>
        <v/>
      </c>
      <c r="BP76" s="27">
        <v>0.0</v>
      </c>
      <c r="BQ76" s="33"/>
      <c r="BR76" s="23"/>
      <c r="BS76" s="45" t="str">
        <f t="shared" si="32"/>
        <v/>
      </c>
      <c r="BT76" s="25"/>
      <c r="BU76" s="45" t="str">
        <f t="shared" si="33"/>
        <v/>
      </c>
      <c r="BV76" s="29" t="str">
        <f t="shared" si="34"/>
        <v/>
      </c>
      <c r="BW76" s="29">
        <f t="shared" si="35"/>
        <v>0</v>
      </c>
      <c r="BX76" s="29">
        <f t="shared" si="36"/>
        <v>0</v>
      </c>
      <c r="BY76" s="26" t="str">
        <f t="shared" si="37"/>
        <v/>
      </c>
      <c r="BZ76" s="23"/>
      <c r="CA76" s="45" t="str">
        <f t="shared" si="38"/>
        <v/>
      </c>
      <c r="CB76" s="25"/>
      <c r="CC76" s="45" t="str">
        <f t="shared" si="39"/>
        <v/>
      </c>
      <c r="CD76" s="47"/>
      <c r="CE76" s="26" t="str">
        <f t="shared" si="40"/>
        <v/>
      </c>
      <c r="CF76" s="23"/>
      <c r="CG76" s="45" t="str">
        <f t="shared" si="41"/>
        <v/>
      </c>
      <c r="CH76" s="25"/>
      <c r="CI76" s="45" t="str">
        <f t="shared" si="42"/>
        <v/>
      </c>
      <c r="CJ76" s="47"/>
      <c r="CK76" s="26"/>
      <c r="CL76" s="23"/>
      <c r="CM76" s="45" t="str">
        <f t="shared" si="43"/>
        <v/>
      </c>
      <c r="CN76" s="25"/>
      <c r="CO76" s="45" t="str">
        <f t="shared" si="44"/>
        <v/>
      </c>
      <c r="CP76" s="27">
        <v>0.0</v>
      </c>
    </row>
    <row r="77">
      <c r="A77" s="26" t="str">
        <f t="shared" si="1"/>
        <v/>
      </c>
      <c r="B77" s="26"/>
      <c r="C77" s="81"/>
      <c r="D77" s="27"/>
      <c r="E77" s="82"/>
      <c r="F77" s="20"/>
      <c r="G77" s="20"/>
      <c r="H77" s="20"/>
      <c r="I77" s="23"/>
      <c r="J77" s="33"/>
      <c r="K77" s="26" t="str">
        <f t="shared" si="2"/>
        <v/>
      </c>
      <c r="L77" s="23"/>
      <c r="M77" s="45" t="str">
        <f t="shared" si="3"/>
        <v/>
      </c>
      <c r="N77" s="25"/>
      <c r="O77" s="45" t="str">
        <f t="shared" si="4"/>
        <v/>
      </c>
      <c r="P77" s="29" t="str">
        <f t="shared" si="5"/>
        <v/>
      </c>
      <c r="Q77" s="29">
        <f t="shared" si="6"/>
        <v>0</v>
      </c>
      <c r="R77" s="29">
        <f t="shared" si="7"/>
        <v>0</v>
      </c>
      <c r="S77" s="26" t="str">
        <f t="shared" si="8"/>
        <v/>
      </c>
      <c r="T77" s="23"/>
      <c r="U77" s="45" t="str">
        <f t="shared" si="9"/>
        <v/>
      </c>
      <c r="V77" s="25"/>
      <c r="W77" s="45" t="str">
        <f t="shared" si="10"/>
        <v/>
      </c>
      <c r="X77" s="47"/>
      <c r="Y77" s="26" t="str">
        <f t="shared" si="11"/>
        <v/>
      </c>
      <c r="Z77" s="23"/>
      <c r="AA77" s="45" t="str">
        <f t="shared" si="12"/>
        <v/>
      </c>
      <c r="AB77" s="25"/>
      <c r="AC77" s="45" t="str">
        <f t="shared" si="13"/>
        <v/>
      </c>
      <c r="AD77" s="47"/>
      <c r="AE77" s="26"/>
      <c r="AF77" s="23"/>
      <c r="AG77" s="45" t="str">
        <f t="shared" si="14"/>
        <v/>
      </c>
      <c r="AH77" s="25"/>
      <c r="AI77" s="45" t="str">
        <f t="shared" si="15"/>
        <v/>
      </c>
      <c r="AJ77" s="27">
        <v>0.0</v>
      </c>
      <c r="AK77" s="33"/>
      <c r="AL77" s="26" t="str">
        <f t="shared" si="16"/>
        <v/>
      </c>
      <c r="AM77" s="23"/>
      <c r="AN77" s="45" t="str">
        <f t="shared" si="17"/>
        <v/>
      </c>
      <c r="AO77" s="25"/>
      <c r="AP77" s="45" t="str">
        <f t="shared" si="18"/>
        <v/>
      </c>
      <c r="AQ77" s="29" t="str">
        <f t="shared" si="19"/>
        <v/>
      </c>
      <c r="AR77" s="29">
        <f t="shared" si="20"/>
        <v>0</v>
      </c>
      <c r="AS77" s="29">
        <f t="shared" si="21"/>
        <v>0</v>
      </c>
      <c r="AT77" s="26" t="str">
        <f t="shared" si="22"/>
        <v/>
      </c>
      <c r="AU77" s="23"/>
      <c r="AV77" s="45" t="str">
        <f t="shared" si="23"/>
        <v/>
      </c>
      <c r="AW77" s="25"/>
      <c r="AX77" s="45" t="str">
        <f t="shared" si="24"/>
        <v/>
      </c>
      <c r="AY77" s="47"/>
      <c r="AZ77" s="26" t="str">
        <f t="shared" si="25"/>
        <v/>
      </c>
      <c r="BA77" s="23"/>
      <c r="BB77" s="45" t="str">
        <f t="shared" si="26"/>
        <v/>
      </c>
      <c r="BC77" s="25"/>
      <c r="BD77" s="45" t="str">
        <f t="shared" si="27"/>
        <v/>
      </c>
      <c r="BE77" s="47"/>
      <c r="BF77" s="26"/>
      <c r="BG77" s="23"/>
      <c r="BH77" s="45" t="str">
        <f t="shared" si="28"/>
        <v/>
      </c>
      <c r="BI77" s="25"/>
      <c r="BJ77" s="45" t="str">
        <f t="shared" si="29"/>
        <v/>
      </c>
      <c r="BK77" s="27">
        <v>0.0</v>
      </c>
      <c r="BL77" s="23"/>
      <c r="BM77" s="45" t="str">
        <f t="shared" si="30"/>
        <v/>
      </c>
      <c r="BN77" s="25"/>
      <c r="BO77" s="45" t="str">
        <f t="shared" si="31"/>
        <v/>
      </c>
      <c r="BP77" s="27">
        <v>0.0</v>
      </c>
      <c r="BQ77" s="33"/>
      <c r="BR77" s="23"/>
      <c r="BS77" s="45" t="str">
        <f t="shared" si="32"/>
        <v/>
      </c>
      <c r="BT77" s="25"/>
      <c r="BU77" s="45" t="str">
        <f t="shared" si="33"/>
        <v/>
      </c>
      <c r="BV77" s="29" t="str">
        <f t="shared" si="34"/>
        <v/>
      </c>
      <c r="BW77" s="29">
        <f t="shared" si="35"/>
        <v>0</v>
      </c>
      <c r="BX77" s="29">
        <f t="shared" si="36"/>
        <v>0</v>
      </c>
      <c r="BY77" s="26" t="str">
        <f t="shared" si="37"/>
        <v/>
      </c>
      <c r="BZ77" s="23"/>
      <c r="CA77" s="45" t="str">
        <f t="shared" si="38"/>
        <v/>
      </c>
      <c r="CB77" s="25"/>
      <c r="CC77" s="45" t="str">
        <f t="shared" si="39"/>
        <v/>
      </c>
      <c r="CD77" s="47"/>
      <c r="CE77" s="26" t="str">
        <f t="shared" si="40"/>
        <v/>
      </c>
      <c r="CF77" s="23"/>
      <c r="CG77" s="45" t="str">
        <f t="shared" si="41"/>
        <v/>
      </c>
      <c r="CH77" s="25"/>
      <c r="CI77" s="45" t="str">
        <f t="shared" si="42"/>
        <v/>
      </c>
      <c r="CJ77" s="47"/>
      <c r="CK77" s="26"/>
      <c r="CL77" s="23"/>
      <c r="CM77" s="45" t="str">
        <f t="shared" si="43"/>
        <v/>
      </c>
      <c r="CN77" s="25"/>
      <c r="CO77" s="45" t="str">
        <f t="shared" si="44"/>
        <v/>
      </c>
      <c r="CP77" s="27">
        <v>0.0</v>
      </c>
    </row>
    <row r="78">
      <c r="A78" s="26" t="str">
        <f t="shared" si="1"/>
        <v/>
      </c>
      <c r="B78" s="26"/>
      <c r="C78" s="81"/>
      <c r="D78" s="27"/>
      <c r="E78" s="82"/>
      <c r="F78" s="20"/>
      <c r="G78" s="20"/>
      <c r="H78" s="20"/>
      <c r="I78" s="23"/>
      <c r="J78" s="33"/>
      <c r="K78" s="26" t="str">
        <f t="shared" si="2"/>
        <v/>
      </c>
      <c r="L78" s="23"/>
      <c r="M78" s="45" t="str">
        <f t="shared" si="3"/>
        <v/>
      </c>
      <c r="N78" s="25"/>
      <c r="O78" s="45" t="str">
        <f t="shared" si="4"/>
        <v/>
      </c>
      <c r="P78" s="29" t="str">
        <f t="shared" si="5"/>
        <v/>
      </c>
      <c r="Q78" s="29">
        <f t="shared" si="6"/>
        <v>0</v>
      </c>
      <c r="R78" s="29">
        <f t="shared" si="7"/>
        <v>0</v>
      </c>
      <c r="S78" s="26" t="str">
        <f t="shared" si="8"/>
        <v/>
      </c>
      <c r="T78" s="23"/>
      <c r="U78" s="45" t="str">
        <f t="shared" si="9"/>
        <v/>
      </c>
      <c r="V78" s="25"/>
      <c r="W78" s="45" t="str">
        <f t="shared" si="10"/>
        <v/>
      </c>
      <c r="X78" s="47"/>
      <c r="Y78" s="26" t="str">
        <f t="shared" si="11"/>
        <v/>
      </c>
      <c r="Z78" s="23"/>
      <c r="AA78" s="45" t="str">
        <f t="shared" si="12"/>
        <v/>
      </c>
      <c r="AB78" s="25"/>
      <c r="AC78" s="45" t="str">
        <f t="shared" si="13"/>
        <v/>
      </c>
      <c r="AD78" s="47"/>
      <c r="AE78" s="26"/>
      <c r="AF78" s="23"/>
      <c r="AG78" s="45" t="str">
        <f t="shared" si="14"/>
        <v/>
      </c>
      <c r="AH78" s="25"/>
      <c r="AI78" s="45" t="str">
        <f t="shared" si="15"/>
        <v/>
      </c>
      <c r="AJ78" s="27">
        <v>0.0</v>
      </c>
      <c r="AK78" s="33"/>
      <c r="AL78" s="26" t="str">
        <f t="shared" si="16"/>
        <v/>
      </c>
      <c r="AM78" s="23"/>
      <c r="AN78" s="45" t="str">
        <f t="shared" si="17"/>
        <v/>
      </c>
      <c r="AO78" s="25"/>
      <c r="AP78" s="45" t="str">
        <f t="shared" si="18"/>
        <v/>
      </c>
      <c r="AQ78" s="29" t="str">
        <f t="shared" si="19"/>
        <v/>
      </c>
      <c r="AR78" s="29">
        <f t="shared" si="20"/>
        <v>0</v>
      </c>
      <c r="AS78" s="29">
        <f t="shared" si="21"/>
        <v>0</v>
      </c>
      <c r="AT78" s="26" t="str">
        <f t="shared" si="22"/>
        <v/>
      </c>
      <c r="AU78" s="23"/>
      <c r="AV78" s="45" t="str">
        <f t="shared" si="23"/>
        <v/>
      </c>
      <c r="AW78" s="25"/>
      <c r="AX78" s="45" t="str">
        <f t="shared" si="24"/>
        <v/>
      </c>
      <c r="AY78" s="47"/>
      <c r="AZ78" s="26" t="str">
        <f t="shared" si="25"/>
        <v/>
      </c>
      <c r="BA78" s="23"/>
      <c r="BB78" s="45" t="str">
        <f t="shared" si="26"/>
        <v/>
      </c>
      <c r="BC78" s="25"/>
      <c r="BD78" s="45" t="str">
        <f t="shared" si="27"/>
        <v/>
      </c>
      <c r="BE78" s="47"/>
      <c r="BF78" s="26"/>
      <c r="BG78" s="23"/>
      <c r="BH78" s="45" t="str">
        <f t="shared" si="28"/>
        <v/>
      </c>
      <c r="BI78" s="25"/>
      <c r="BJ78" s="45" t="str">
        <f t="shared" si="29"/>
        <v/>
      </c>
      <c r="BK78" s="27">
        <v>0.0</v>
      </c>
      <c r="BL78" s="23"/>
      <c r="BM78" s="45" t="str">
        <f t="shared" si="30"/>
        <v/>
      </c>
      <c r="BN78" s="25"/>
      <c r="BO78" s="45" t="str">
        <f t="shared" si="31"/>
        <v/>
      </c>
      <c r="BP78" s="27">
        <v>0.0</v>
      </c>
      <c r="BQ78" s="33"/>
      <c r="BR78" s="23"/>
      <c r="BS78" s="45" t="str">
        <f t="shared" si="32"/>
        <v/>
      </c>
      <c r="BT78" s="25"/>
      <c r="BU78" s="45" t="str">
        <f t="shared" si="33"/>
        <v/>
      </c>
      <c r="BV78" s="29" t="str">
        <f t="shared" si="34"/>
        <v/>
      </c>
      <c r="BW78" s="29">
        <f t="shared" si="35"/>
        <v>0</v>
      </c>
      <c r="BX78" s="29">
        <f t="shared" si="36"/>
        <v>0</v>
      </c>
      <c r="BY78" s="26" t="str">
        <f t="shared" si="37"/>
        <v/>
      </c>
      <c r="BZ78" s="23"/>
      <c r="CA78" s="45" t="str">
        <f t="shared" si="38"/>
        <v/>
      </c>
      <c r="CB78" s="25"/>
      <c r="CC78" s="45" t="str">
        <f t="shared" si="39"/>
        <v/>
      </c>
      <c r="CD78" s="47"/>
      <c r="CE78" s="26" t="str">
        <f t="shared" si="40"/>
        <v/>
      </c>
      <c r="CF78" s="23"/>
      <c r="CG78" s="45" t="str">
        <f t="shared" si="41"/>
        <v/>
      </c>
      <c r="CH78" s="25"/>
      <c r="CI78" s="45" t="str">
        <f t="shared" si="42"/>
        <v/>
      </c>
      <c r="CJ78" s="47"/>
      <c r="CK78" s="26"/>
      <c r="CL78" s="23"/>
      <c r="CM78" s="45" t="str">
        <f t="shared" si="43"/>
        <v/>
      </c>
      <c r="CN78" s="25"/>
      <c r="CO78" s="45" t="str">
        <f t="shared" si="44"/>
        <v/>
      </c>
      <c r="CP78" s="27">
        <v>0.0</v>
      </c>
    </row>
    <row r="79">
      <c r="A79" s="26" t="str">
        <f t="shared" si="1"/>
        <v/>
      </c>
      <c r="B79" s="26"/>
      <c r="C79" s="81"/>
      <c r="D79" s="27"/>
      <c r="E79" s="82"/>
      <c r="F79" s="20"/>
      <c r="G79" s="20"/>
      <c r="H79" s="20"/>
      <c r="I79" s="23"/>
      <c r="J79" s="33"/>
      <c r="K79" s="26" t="str">
        <f t="shared" si="2"/>
        <v/>
      </c>
      <c r="L79" s="23"/>
      <c r="M79" s="45" t="str">
        <f t="shared" si="3"/>
        <v/>
      </c>
      <c r="N79" s="25"/>
      <c r="O79" s="45" t="str">
        <f t="shared" si="4"/>
        <v/>
      </c>
      <c r="P79" s="29" t="str">
        <f t="shared" si="5"/>
        <v/>
      </c>
      <c r="Q79" s="29">
        <f t="shared" si="6"/>
        <v>0</v>
      </c>
      <c r="R79" s="29">
        <f t="shared" si="7"/>
        <v>0</v>
      </c>
      <c r="S79" s="26" t="str">
        <f t="shared" si="8"/>
        <v/>
      </c>
      <c r="T79" s="23"/>
      <c r="U79" s="45" t="str">
        <f t="shared" si="9"/>
        <v/>
      </c>
      <c r="V79" s="25"/>
      <c r="W79" s="45" t="str">
        <f t="shared" si="10"/>
        <v/>
      </c>
      <c r="X79" s="47"/>
      <c r="Y79" s="26" t="str">
        <f t="shared" si="11"/>
        <v/>
      </c>
      <c r="Z79" s="23"/>
      <c r="AA79" s="45" t="str">
        <f t="shared" si="12"/>
        <v/>
      </c>
      <c r="AB79" s="25"/>
      <c r="AC79" s="45" t="str">
        <f t="shared" si="13"/>
        <v/>
      </c>
      <c r="AD79" s="47"/>
      <c r="AE79" s="26"/>
      <c r="AF79" s="23"/>
      <c r="AG79" s="45" t="str">
        <f t="shared" si="14"/>
        <v/>
      </c>
      <c r="AH79" s="25"/>
      <c r="AI79" s="45" t="str">
        <f t="shared" si="15"/>
        <v/>
      </c>
      <c r="AJ79" s="27">
        <v>0.0</v>
      </c>
      <c r="AK79" s="33"/>
      <c r="AL79" s="26" t="str">
        <f t="shared" si="16"/>
        <v/>
      </c>
      <c r="AM79" s="23"/>
      <c r="AN79" s="45" t="str">
        <f t="shared" si="17"/>
        <v/>
      </c>
      <c r="AO79" s="25"/>
      <c r="AP79" s="45" t="str">
        <f t="shared" si="18"/>
        <v/>
      </c>
      <c r="AQ79" s="29" t="str">
        <f t="shared" si="19"/>
        <v/>
      </c>
      <c r="AR79" s="29">
        <f t="shared" si="20"/>
        <v>0</v>
      </c>
      <c r="AS79" s="29">
        <f t="shared" si="21"/>
        <v>0</v>
      </c>
      <c r="AT79" s="26" t="str">
        <f t="shared" si="22"/>
        <v/>
      </c>
      <c r="AU79" s="23"/>
      <c r="AV79" s="45" t="str">
        <f t="shared" si="23"/>
        <v/>
      </c>
      <c r="AW79" s="25"/>
      <c r="AX79" s="45" t="str">
        <f t="shared" si="24"/>
        <v/>
      </c>
      <c r="AY79" s="47"/>
      <c r="AZ79" s="26" t="str">
        <f t="shared" si="25"/>
        <v/>
      </c>
      <c r="BA79" s="23"/>
      <c r="BB79" s="45" t="str">
        <f t="shared" si="26"/>
        <v/>
      </c>
      <c r="BC79" s="25"/>
      <c r="BD79" s="45" t="str">
        <f t="shared" si="27"/>
        <v/>
      </c>
      <c r="BE79" s="47"/>
      <c r="BF79" s="26"/>
      <c r="BG79" s="23"/>
      <c r="BH79" s="45" t="str">
        <f t="shared" si="28"/>
        <v/>
      </c>
      <c r="BI79" s="25"/>
      <c r="BJ79" s="45" t="str">
        <f t="shared" si="29"/>
        <v/>
      </c>
      <c r="BK79" s="27">
        <v>0.0</v>
      </c>
      <c r="BL79" s="23"/>
      <c r="BM79" s="45" t="str">
        <f t="shared" si="30"/>
        <v/>
      </c>
      <c r="BN79" s="25"/>
      <c r="BO79" s="45" t="str">
        <f t="shared" si="31"/>
        <v/>
      </c>
      <c r="BP79" s="27">
        <v>0.0</v>
      </c>
      <c r="BQ79" s="33"/>
      <c r="BR79" s="23"/>
      <c r="BS79" s="45" t="str">
        <f t="shared" si="32"/>
        <v/>
      </c>
      <c r="BT79" s="25"/>
      <c r="BU79" s="45" t="str">
        <f t="shared" si="33"/>
        <v/>
      </c>
      <c r="BV79" s="29" t="str">
        <f t="shared" si="34"/>
        <v/>
      </c>
      <c r="BW79" s="29">
        <f t="shared" si="35"/>
        <v>0</v>
      </c>
      <c r="BX79" s="29">
        <f t="shared" si="36"/>
        <v>0</v>
      </c>
      <c r="BY79" s="26" t="str">
        <f t="shared" si="37"/>
        <v/>
      </c>
      <c r="BZ79" s="23"/>
      <c r="CA79" s="45" t="str">
        <f t="shared" si="38"/>
        <v/>
      </c>
      <c r="CB79" s="25"/>
      <c r="CC79" s="45" t="str">
        <f t="shared" si="39"/>
        <v/>
      </c>
      <c r="CD79" s="47"/>
      <c r="CE79" s="26" t="str">
        <f t="shared" si="40"/>
        <v/>
      </c>
      <c r="CF79" s="23"/>
      <c r="CG79" s="45" t="str">
        <f t="shared" si="41"/>
        <v/>
      </c>
      <c r="CH79" s="25"/>
      <c r="CI79" s="45" t="str">
        <f t="shared" si="42"/>
        <v/>
      </c>
      <c r="CJ79" s="47"/>
      <c r="CK79" s="26"/>
      <c r="CL79" s="23"/>
      <c r="CM79" s="45" t="str">
        <f t="shared" si="43"/>
        <v/>
      </c>
      <c r="CN79" s="25"/>
      <c r="CO79" s="45" t="str">
        <f t="shared" si="44"/>
        <v/>
      </c>
      <c r="CP79" s="27">
        <v>0.0</v>
      </c>
    </row>
    <row r="80">
      <c r="A80" s="26" t="str">
        <f t="shared" si="1"/>
        <v/>
      </c>
      <c r="B80" s="26"/>
      <c r="C80" s="81"/>
      <c r="D80" s="27"/>
      <c r="E80" s="82"/>
      <c r="F80" s="20"/>
      <c r="G80" s="20"/>
      <c r="H80" s="20"/>
      <c r="I80" s="23"/>
      <c r="J80" s="33"/>
      <c r="K80" s="26" t="str">
        <f t="shared" si="2"/>
        <v/>
      </c>
      <c r="L80" s="23"/>
      <c r="M80" s="45" t="str">
        <f t="shared" si="3"/>
        <v/>
      </c>
      <c r="N80" s="25"/>
      <c r="O80" s="45" t="str">
        <f t="shared" si="4"/>
        <v/>
      </c>
      <c r="P80" s="29" t="str">
        <f t="shared" si="5"/>
        <v/>
      </c>
      <c r="Q80" s="29">
        <f t="shared" si="6"/>
        <v>0</v>
      </c>
      <c r="R80" s="29">
        <f t="shared" si="7"/>
        <v>0</v>
      </c>
      <c r="S80" s="26" t="str">
        <f t="shared" si="8"/>
        <v/>
      </c>
      <c r="T80" s="23"/>
      <c r="U80" s="45" t="str">
        <f t="shared" si="9"/>
        <v/>
      </c>
      <c r="V80" s="25"/>
      <c r="W80" s="45" t="str">
        <f t="shared" si="10"/>
        <v/>
      </c>
      <c r="X80" s="47"/>
      <c r="Y80" s="26" t="str">
        <f t="shared" si="11"/>
        <v/>
      </c>
      <c r="Z80" s="23"/>
      <c r="AA80" s="45" t="str">
        <f t="shared" si="12"/>
        <v/>
      </c>
      <c r="AB80" s="25"/>
      <c r="AC80" s="45" t="str">
        <f t="shared" si="13"/>
        <v/>
      </c>
      <c r="AD80" s="47"/>
      <c r="AE80" s="26"/>
      <c r="AF80" s="23"/>
      <c r="AG80" s="45" t="str">
        <f t="shared" si="14"/>
        <v/>
      </c>
      <c r="AH80" s="25"/>
      <c r="AI80" s="45" t="str">
        <f t="shared" si="15"/>
        <v/>
      </c>
      <c r="AJ80" s="27">
        <v>0.0</v>
      </c>
      <c r="AK80" s="33"/>
      <c r="AL80" s="26" t="str">
        <f t="shared" si="16"/>
        <v/>
      </c>
      <c r="AM80" s="23"/>
      <c r="AN80" s="45" t="str">
        <f t="shared" si="17"/>
        <v/>
      </c>
      <c r="AO80" s="25"/>
      <c r="AP80" s="45" t="str">
        <f t="shared" si="18"/>
        <v/>
      </c>
      <c r="AQ80" s="29" t="str">
        <f t="shared" si="19"/>
        <v/>
      </c>
      <c r="AR80" s="29">
        <f t="shared" si="20"/>
        <v>0</v>
      </c>
      <c r="AS80" s="29">
        <f t="shared" si="21"/>
        <v>0</v>
      </c>
      <c r="AT80" s="26" t="str">
        <f t="shared" si="22"/>
        <v/>
      </c>
      <c r="AU80" s="23"/>
      <c r="AV80" s="45" t="str">
        <f t="shared" si="23"/>
        <v/>
      </c>
      <c r="AW80" s="25"/>
      <c r="AX80" s="45" t="str">
        <f t="shared" si="24"/>
        <v/>
      </c>
      <c r="AY80" s="47"/>
      <c r="AZ80" s="26" t="str">
        <f t="shared" si="25"/>
        <v/>
      </c>
      <c r="BA80" s="23"/>
      <c r="BB80" s="45" t="str">
        <f t="shared" si="26"/>
        <v/>
      </c>
      <c r="BC80" s="25"/>
      <c r="BD80" s="45" t="str">
        <f t="shared" si="27"/>
        <v/>
      </c>
      <c r="BE80" s="47"/>
      <c r="BF80" s="26"/>
      <c r="BG80" s="23"/>
      <c r="BH80" s="45" t="str">
        <f t="shared" si="28"/>
        <v/>
      </c>
      <c r="BI80" s="25"/>
      <c r="BJ80" s="45" t="str">
        <f t="shared" si="29"/>
        <v/>
      </c>
      <c r="BK80" s="27">
        <v>0.0</v>
      </c>
      <c r="BL80" s="23"/>
      <c r="BM80" s="45" t="str">
        <f t="shared" si="30"/>
        <v/>
      </c>
      <c r="BN80" s="25"/>
      <c r="BO80" s="45" t="str">
        <f t="shared" si="31"/>
        <v/>
      </c>
      <c r="BP80" s="27">
        <v>0.0</v>
      </c>
      <c r="BQ80" s="33"/>
      <c r="BR80" s="23"/>
      <c r="BS80" s="45" t="str">
        <f t="shared" si="32"/>
        <v/>
      </c>
      <c r="BT80" s="25"/>
      <c r="BU80" s="45" t="str">
        <f t="shared" si="33"/>
        <v/>
      </c>
      <c r="BV80" s="29" t="str">
        <f t="shared" si="34"/>
        <v/>
      </c>
      <c r="BW80" s="29">
        <f t="shared" si="35"/>
        <v>0</v>
      </c>
      <c r="BX80" s="29">
        <f t="shared" si="36"/>
        <v>0</v>
      </c>
      <c r="BY80" s="26" t="str">
        <f t="shared" si="37"/>
        <v/>
      </c>
      <c r="BZ80" s="23"/>
      <c r="CA80" s="45" t="str">
        <f t="shared" si="38"/>
        <v/>
      </c>
      <c r="CB80" s="25"/>
      <c r="CC80" s="45" t="str">
        <f t="shared" si="39"/>
        <v/>
      </c>
      <c r="CD80" s="47"/>
      <c r="CE80" s="26" t="str">
        <f t="shared" si="40"/>
        <v/>
      </c>
      <c r="CF80" s="23"/>
      <c r="CG80" s="45" t="str">
        <f t="shared" si="41"/>
        <v/>
      </c>
      <c r="CH80" s="25"/>
      <c r="CI80" s="45" t="str">
        <f t="shared" si="42"/>
        <v/>
      </c>
      <c r="CJ80" s="47"/>
      <c r="CK80" s="26"/>
      <c r="CL80" s="23"/>
      <c r="CM80" s="45" t="str">
        <f t="shared" si="43"/>
        <v/>
      </c>
      <c r="CN80" s="25"/>
      <c r="CO80" s="45" t="str">
        <f t="shared" si="44"/>
        <v/>
      </c>
      <c r="CP80" s="27">
        <v>0.0</v>
      </c>
    </row>
    <row r="81">
      <c r="A81" s="26" t="str">
        <f t="shared" si="1"/>
        <v/>
      </c>
      <c r="B81" s="26"/>
      <c r="C81" s="81"/>
      <c r="D81" s="27"/>
      <c r="E81" s="82"/>
      <c r="F81" s="20"/>
      <c r="G81" s="20"/>
      <c r="H81" s="20"/>
      <c r="I81" s="23"/>
      <c r="J81" s="33"/>
      <c r="K81" s="26" t="str">
        <f t="shared" si="2"/>
        <v/>
      </c>
      <c r="L81" s="23"/>
      <c r="M81" s="45" t="str">
        <f t="shared" si="3"/>
        <v/>
      </c>
      <c r="N81" s="25"/>
      <c r="O81" s="45" t="str">
        <f t="shared" si="4"/>
        <v/>
      </c>
      <c r="P81" s="29" t="str">
        <f t="shared" si="5"/>
        <v/>
      </c>
      <c r="Q81" s="29">
        <f t="shared" si="6"/>
        <v>0</v>
      </c>
      <c r="R81" s="29">
        <f t="shared" si="7"/>
        <v>0</v>
      </c>
      <c r="S81" s="26" t="str">
        <f t="shared" si="8"/>
        <v/>
      </c>
      <c r="T81" s="23"/>
      <c r="U81" s="45" t="str">
        <f t="shared" si="9"/>
        <v/>
      </c>
      <c r="V81" s="25"/>
      <c r="W81" s="45" t="str">
        <f t="shared" si="10"/>
        <v/>
      </c>
      <c r="X81" s="47"/>
      <c r="Y81" s="26" t="str">
        <f t="shared" si="11"/>
        <v/>
      </c>
      <c r="Z81" s="23"/>
      <c r="AA81" s="45" t="str">
        <f t="shared" si="12"/>
        <v/>
      </c>
      <c r="AB81" s="25"/>
      <c r="AC81" s="45" t="str">
        <f t="shared" si="13"/>
        <v/>
      </c>
      <c r="AD81" s="47"/>
      <c r="AE81" s="26"/>
      <c r="AF81" s="23"/>
      <c r="AG81" s="45" t="str">
        <f t="shared" si="14"/>
        <v/>
      </c>
      <c r="AH81" s="25"/>
      <c r="AI81" s="45" t="str">
        <f t="shared" si="15"/>
        <v/>
      </c>
      <c r="AJ81" s="27">
        <v>0.0</v>
      </c>
      <c r="AK81" s="33"/>
      <c r="AL81" s="26" t="str">
        <f t="shared" si="16"/>
        <v/>
      </c>
      <c r="AM81" s="23"/>
      <c r="AN81" s="45" t="str">
        <f t="shared" si="17"/>
        <v/>
      </c>
      <c r="AO81" s="25"/>
      <c r="AP81" s="45" t="str">
        <f t="shared" si="18"/>
        <v/>
      </c>
      <c r="AQ81" s="29" t="str">
        <f t="shared" si="19"/>
        <v/>
      </c>
      <c r="AR81" s="29">
        <f t="shared" si="20"/>
        <v>0</v>
      </c>
      <c r="AS81" s="29">
        <f t="shared" si="21"/>
        <v>0</v>
      </c>
      <c r="AT81" s="26" t="str">
        <f t="shared" si="22"/>
        <v/>
      </c>
      <c r="AU81" s="23"/>
      <c r="AV81" s="45" t="str">
        <f t="shared" si="23"/>
        <v/>
      </c>
      <c r="AW81" s="25"/>
      <c r="AX81" s="45" t="str">
        <f t="shared" si="24"/>
        <v/>
      </c>
      <c r="AY81" s="47"/>
      <c r="AZ81" s="26" t="str">
        <f t="shared" si="25"/>
        <v/>
      </c>
      <c r="BA81" s="23"/>
      <c r="BB81" s="45" t="str">
        <f t="shared" si="26"/>
        <v/>
      </c>
      <c r="BC81" s="25"/>
      <c r="BD81" s="45" t="str">
        <f t="shared" si="27"/>
        <v/>
      </c>
      <c r="BE81" s="47"/>
      <c r="BF81" s="26"/>
      <c r="BG81" s="23"/>
      <c r="BH81" s="45" t="str">
        <f t="shared" si="28"/>
        <v/>
      </c>
      <c r="BI81" s="25"/>
      <c r="BJ81" s="45" t="str">
        <f t="shared" si="29"/>
        <v/>
      </c>
      <c r="BK81" s="27">
        <v>0.0</v>
      </c>
      <c r="BL81" s="23"/>
      <c r="BM81" s="45" t="str">
        <f t="shared" si="30"/>
        <v/>
      </c>
      <c r="BN81" s="25"/>
      <c r="BO81" s="45" t="str">
        <f t="shared" si="31"/>
        <v/>
      </c>
      <c r="BP81" s="27">
        <v>0.0</v>
      </c>
      <c r="BQ81" s="33"/>
      <c r="BR81" s="23"/>
      <c r="BS81" s="45" t="str">
        <f t="shared" si="32"/>
        <v/>
      </c>
      <c r="BT81" s="25"/>
      <c r="BU81" s="45" t="str">
        <f t="shared" si="33"/>
        <v/>
      </c>
      <c r="BV81" s="29" t="str">
        <f t="shared" si="34"/>
        <v/>
      </c>
      <c r="BW81" s="29">
        <f t="shared" si="35"/>
        <v>0</v>
      </c>
      <c r="BX81" s="29">
        <f t="shared" si="36"/>
        <v>0</v>
      </c>
      <c r="BY81" s="26" t="str">
        <f t="shared" si="37"/>
        <v/>
      </c>
      <c r="BZ81" s="23"/>
      <c r="CA81" s="45" t="str">
        <f t="shared" si="38"/>
        <v/>
      </c>
      <c r="CB81" s="25"/>
      <c r="CC81" s="45" t="str">
        <f t="shared" si="39"/>
        <v/>
      </c>
      <c r="CD81" s="47"/>
      <c r="CE81" s="26" t="str">
        <f t="shared" si="40"/>
        <v/>
      </c>
      <c r="CF81" s="23"/>
      <c r="CG81" s="45" t="str">
        <f t="shared" si="41"/>
        <v/>
      </c>
      <c r="CH81" s="25"/>
      <c r="CI81" s="45" t="str">
        <f t="shared" si="42"/>
        <v/>
      </c>
      <c r="CJ81" s="47"/>
      <c r="CK81" s="26"/>
      <c r="CL81" s="23"/>
      <c r="CM81" s="45" t="str">
        <f t="shared" si="43"/>
        <v/>
      </c>
      <c r="CN81" s="25"/>
      <c r="CO81" s="45" t="str">
        <f t="shared" si="44"/>
        <v/>
      </c>
      <c r="CP81" s="27">
        <v>0.0</v>
      </c>
    </row>
    <row r="82">
      <c r="A82" s="26" t="str">
        <f t="shared" si="1"/>
        <v/>
      </c>
      <c r="B82" s="26"/>
      <c r="C82" s="81"/>
      <c r="D82" s="27"/>
      <c r="E82" s="82"/>
      <c r="F82" s="20"/>
      <c r="G82" s="20"/>
      <c r="H82" s="20"/>
      <c r="I82" s="23"/>
      <c r="J82" s="33"/>
      <c r="K82" s="26" t="str">
        <f t="shared" si="2"/>
        <v/>
      </c>
      <c r="L82" s="23"/>
      <c r="M82" s="45" t="str">
        <f t="shared" si="3"/>
        <v/>
      </c>
      <c r="N82" s="25"/>
      <c r="O82" s="45" t="str">
        <f t="shared" si="4"/>
        <v/>
      </c>
      <c r="P82" s="29" t="str">
        <f t="shared" si="5"/>
        <v/>
      </c>
      <c r="Q82" s="29">
        <f t="shared" si="6"/>
        <v>0</v>
      </c>
      <c r="R82" s="29">
        <f t="shared" si="7"/>
        <v>0</v>
      </c>
      <c r="S82" s="26" t="str">
        <f t="shared" si="8"/>
        <v/>
      </c>
      <c r="T82" s="23"/>
      <c r="U82" s="45" t="str">
        <f t="shared" si="9"/>
        <v/>
      </c>
      <c r="V82" s="25"/>
      <c r="W82" s="45" t="str">
        <f t="shared" si="10"/>
        <v/>
      </c>
      <c r="X82" s="47"/>
      <c r="Y82" s="26" t="str">
        <f t="shared" si="11"/>
        <v/>
      </c>
      <c r="Z82" s="23"/>
      <c r="AA82" s="45" t="str">
        <f t="shared" si="12"/>
        <v/>
      </c>
      <c r="AB82" s="25"/>
      <c r="AC82" s="45" t="str">
        <f t="shared" si="13"/>
        <v/>
      </c>
      <c r="AD82" s="47"/>
      <c r="AE82" s="26"/>
      <c r="AF82" s="23"/>
      <c r="AG82" s="45" t="str">
        <f t="shared" si="14"/>
        <v/>
      </c>
      <c r="AH82" s="25"/>
      <c r="AI82" s="45" t="str">
        <f t="shared" si="15"/>
        <v/>
      </c>
      <c r="AJ82" s="27">
        <v>0.0</v>
      </c>
      <c r="AK82" s="33"/>
      <c r="AL82" s="26" t="str">
        <f t="shared" si="16"/>
        <v/>
      </c>
      <c r="AM82" s="23"/>
      <c r="AN82" s="45" t="str">
        <f t="shared" si="17"/>
        <v/>
      </c>
      <c r="AO82" s="25"/>
      <c r="AP82" s="45" t="str">
        <f t="shared" si="18"/>
        <v/>
      </c>
      <c r="AQ82" s="29" t="str">
        <f t="shared" si="19"/>
        <v/>
      </c>
      <c r="AR82" s="29">
        <f t="shared" si="20"/>
        <v>0</v>
      </c>
      <c r="AS82" s="29">
        <f t="shared" si="21"/>
        <v>0</v>
      </c>
      <c r="AT82" s="26" t="str">
        <f t="shared" si="22"/>
        <v/>
      </c>
      <c r="AU82" s="23"/>
      <c r="AV82" s="45" t="str">
        <f t="shared" si="23"/>
        <v/>
      </c>
      <c r="AW82" s="25"/>
      <c r="AX82" s="45" t="str">
        <f t="shared" si="24"/>
        <v/>
      </c>
      <c r="AY82" s="47"/>
      <c r="AZ82" s="26" t="str">
        <f t="shared" si="25"/>
        <v/>
      </c>
      <c r="BA82" s="23"/>
      <c r="BB82" s="45" t="str">
        <f t="shared" si="26"/>
        <v/>
      </c>
      <c r="BC82" s="25"/>
      <c r="BD82" s="45" t="str">
        <f t="shared" si="27"/>
        <v/>
      </c>
      <c r="BE82" s="47"/>
      <c r="BF82" s="26"/>
      <c r="BG82" s="23"/>
      <c r="BH82" s="45" t="str">
        <f t="shared" si="28"/>
        <v/>
      </c>
      <c r="BI82" s="25"/>
      <c r="BJ82" s="45" t="str">
        <f t="shared" si="29"/>
        <v/>
      </c>
      <c r="BK82" s="27">
        <v>0.0</v>
      </c>
      <c r="BL82" s="23"/>
      <c r="BM82" s="45" t="str">
        <f t="shared" si="30"/>
        <v/>
      </c>
      <c r="BN82" s="25"/>
      <c r="BO82" s="45" t="str">
        <f t="shared" si="31"/>
        <v/>
      </c>
      <c r="BP82" s="27">
        <v>0.0</v>
      </c>
      <c r="BQ82" s="33"/>
      <c r="BR82" s="23"/>
      <c r="BS82" s="45" t="str">
        <f t="shared" si="32"/>
        <v/>
      </c>
      <c r="BT82" s="25"/>
      <c r="BU82" s="45" t="str">
        <f t="shared" si="33"/>
        <v/>
      </c>
      <c r="BV82" s="29" t="str">
        <f t="shared" si="34"/>
        <v/>
      </c>
      <c r="BW82" s="29">
        <f t="shared" si="35"/>
        <v>0</v>
      </c>
      <c r="BX82" s="29">
        <f t="shared" si="36"/>
        <v>0</v>
      </c>
      <c r="BY82" s="26" t="str">
        <f t="shared" si="37"/>
        <v/>
      </c>
      <c r="BZ82" s="23"/>
      <c r="CA82" s="45" t="str">
        <f t="shared" si="38"/>
        <v/>
      </c>
      <c r="CB82" s="25"/>
      <c r="CC82" s="45" t="str">
        <f t="shared" si="39"/>
        <v/>
      </c>
      <c r="CD82" s="47"/>
      <c r="CE82" s="26" t="str">
        <f t="shared" si="40"/>
        <v/>
      </c>
      <c r="CF82" s="23"/>
      <c r="CG82" s="45" t="str">
        <f t="shared" si="41"/>
        <v/>
      </c>
      <c r="CH82" s="25"/>
      <c r="CI82" s="45" t="str">
        <f t="shared" si="42"/>
        <v/>
      </c>
      <c r="CJ82" s="47"/>
      <c r="CK82" s="26"/>
      <c r="CL82" s="23"/>
      <c r="CM82" s="45" t="str">
        <f t="shared" si="43"/>
        <v/>
      </c>
      <c r="CN82" s="25"/>
      <c r="CO82" s="45" t="str">
        <f t="shared" si="44"/>
        <v/>
      </c>
      <c r="CP82" s="27">
        <v>0.0</v>
      </c>
    </row>
    <row r="83">
      <c r="A83" s="26" t="str">
        <f t="shared" si="1"/>
        <v/>
      </c>
      <c r="B83" s="26"/>
      <c r="C83" s="81"/>
      <c r="D83" s="27"/>
      <c r="E83" s="82"/>
      <c r="F83" s="20"/>
      <c r="G83" s="20"/>
      <c r="H83" s="20"/>
      <c r="I83" s="23"/>
      <c r="J83" s="33"/>
      <c r="K83" s="26" t="str">
        <f t="shared" si="2"/>
        <v/>
      </c>
      <c r="L83" s="23"/>
      <c r="M83" s="45" t="str">
        <f t="shared" si="3"/>
        <v/>
      </c>
      <c r="N83" s="25"/>
      <c r="O83" s="45" t="str">
        <f t="shared" si="4"/>
        <v/>
      </c>
      <c r="P83" s="29" t="str">
        <f t="shared" si="5"/>
        <v/>
      </c>
      <c r="Q83" s="29">
        <f t="shared" si="6"/>
        <v>0</v>
      </c>
      <c r="R83" s="29">
        <f t="shared" si="7"/>
        <v>0</v>
      </c>
      <c r="S83" s="26" t="str">
        <f t="shared" si="8"/>
        <v/>
      </c>
      <c r="T83" s="23"/>
      <c r="U83" s="45" t="str">
        <f t="shared" si="9"/>
        <v/>
      </c>
      <c r="V83" s="25"/>
      <c r="W83" s="45" t="str">
        <f t="shared" si="10"/>
        <v/>
      </c>
      <c r="X83" s="47"/>
      <c r="Y83" s="26" t="str">
        <f t="shared" si="11"/>
        <v/>
      </c>
      <c r="Z83" s="23"/>
      <c r="AA83" s="45" t="str">
        <f t="shared" si="12"/>
        <v/>
      </c>
      <c r="AB83" s="25"/>
      <c r="AC83" s="45" t="str">
        <f t="shared" si="13"/>
        <v/>
      </c>
      <c r="AD83" s="47"/>
      <c r="AE83" s="26"/>
      <c r="AF83" s="23"/>
      <c r="AG83" s="45" t="str">
        <f t="shared" si="14"/>
        <v/>
      </c>
      <c r="AH83" s="25"/>
      <c r="AI83" s="45" t="str">
        <f t="shared" si="15"/>
        <v/>
      </c>
      <c r="AJ83" s="27">
        <v>0.0</v>
      </c>
      <c r="AK83" s="33"/>
      <c r="AL83" s="26" t="str">
        <f t="shared" si="16"/>
        <v/>
      </c>
      <c r="AM83" s="23"/>
      <c r="AN83" s="45" t="str">
        <f t="shared" si="17"/>
        <v/>
      </c>
      <c r="AO83" s="25"/>
      <c r="AP83" s="45" t="str">
        <f t="shared" si="18"/>
        <v/>
      </c>
      <c r="AQ83" s="29" t="str">
        <f t="shared" si="19"/>
        <v/>
      </c>
      <c r="AR83" s="29">
        <f t="shared" si="20"/>
        <v>0</v>
      </c>
      <c r="AS83" s="29">
        <f t="shared" si="21"/>
        <v>0</v>
      </c>
      <c r="AT83" s="26" t="str">
        <f t="shared" si="22"/>
        <v/>
      </c>
      <c r="AU83" s="23"/>
      <c r="AV83" s="45" t="str">
        <f t="shared" si="23"/>
        <v/>
      </c>
      <c r="AW83" s="25"/>
      <c r="AX83" s="45" t="str">
        <f t="shared" si="24"/>
        <v/>
      </c>
      <c r="AY83" s="47"/>
      <c r="AZ83" s="26" t="str">
        <f t="shared" si="25"/>
        <v/>
      </c>
      <c r="BA83" s="23"/>
      <c r="BB83" s="45" t="str">
        <f t="shared" si="26"/>
        <v/>
      </c>
      <c r="BC83" s="25"/>
      <c r="BD83" s="45" t="str">
        <f t="shared" si="27"/>
        <v/>
      </c>
      <c r="BE83" s="47"/>
      <c r="BF83" s="26"/>
      <c r="BG83" s="23"/>
      <c r="BH83" s="45" t="str">
        <f t="shared" si="28"/>
        <v/>
      </c>
      <c r="BI83" s="25"/>
      <c r="BJ83" s="45" t="str">
        <f t="shared" si="29"/>
        <v/>
      </c>
      <c r="BK83" s="27">
        <v>0.0</v>
      </c>
      <c r="BL83" s="23"/>
      <c r="BM83" s="45" t="str">
        <f t="shared" si="30"/>
        <v/>
      </c>
      <c r="BN83" s="25"/>
      <c r="BO83" s="45" t="str">
        <f t="shared" si="31"/>
        <v/>
      </c>
      <c r="BP83" s="27">
        <v>0.0</v>
      </c>
      <c r="BQ83" s="33"/>
      <c r="BR83" s="23"/>
      <c r="BS83" s="45" t="str">
        <f t="shared" si="32"/>
        <v/>
      </c>
      <c r="BT83" s="25"/>
      <c r="BU83" s="45" t="str">
        <f t="shared" si="33"/>
        <v/>
      </c>
      <c r="BV83" s="29" t="str">
        <f t="shared" si="34"/>
        <v/>
      </c>
      <c r="BW83" s="29">
        <f t="shared" si="35"/>
        <v>0</v>
      </c>
      <c r="BX83" s="29">
        <f t="shared" si="36"/>
        <v>0</v>
      </c>
      <c r="BY83" s="26" t="str">
        <f t="shared" si="37"/>
        <v/>
      </c>
      <c r="BZ83" s="23"/>
      <c r="CA83" s="45" t="str">
        <f t="shared" si="38"/>
        <v/>
      </c>
      <c r="CB83" s="25"/>
      <c r="CC83" s="45" t="str">
        <f t="shared" si="39"/>
        <v/>
      </c>
      <c r="CD83" s="47"/>
      <c r="CE83" s="26" t="str">
        <f t="shared" si="40"/>
        <v/>
      </c>
      <c r="CF83" s="23"/>
      <c r="CG83" s="45" t="str">
        <f t="shared" si="41"/>
        <v/>
      </c>
      <c r="CH83" s="25"/>
      <c r="CI83" s="45" t="str">
        <f t="shared" si="42"/>
        <v/>
      </c>
      <c r="CJ83" s="47"/>
      <c r="CK83" s="26"/>
      <c r="CL83" s="23"/>
      <c r="CM83" s="45" t="str">
        <f t="shared" si="43"/>
        <v/>
      </c>
      <c r="CN83" s="25"/>
      <c r="CO83" s="45" t="str">
        <f t="shared" si="44"/>
        <v/>
      </c>
      <c r="CP83" s="27">
        <v>0.0</v>
      </c>
    </row>
    <row r="84">
      <c r="A84" s="26" t="str">
        <f t="shared" si="1"/>
        <v/>
      </c>
      <c r="B84" s="26"/>
      <c r="C84" s="81"/>
      <c r="D84" s="27"/>
      <c r="E84" s="82"/>
      <c r="F84" s="20"/>
      <c r="G84" s="20"/>
      <c r="H84" s="20"/>
      <c r="I84" s="23"/>
      <c r="J84" s="33"/>
      <c r="K84" s="26" t="str">
        <f t="shared" si="2"/>
        <v/>
      </c>
      <c r="L84" s="23"/>
      <c r="M84" s="45" t="str">
        <f t="shared" si="3"/>
        <v/>
      </c>
      <c r="N84" s="25"/>
      <c r="O84" s="45" t="str">
        <f t="shared" si="4"/>
        <v/>
      </c>
      <c r="P84" s="29" t="str">
        <f t="shared" si="5"/>
        <v/>
      </c>
      <c r="Q84" s="29">
        <f t="shared" si="6"/>
        <v>0</v>
      </c>
      <c r="R84" s="29">
        <f t="shared" si="7"/>
        <v>0</v>
      </c>
      <c r="S84" s="26" t="str">
        <f t="shared" si="8"/>
        <v/>
      </c>
      <c r="T84" s="23"/>
      <c r="U84" s="45" t="str">
        <f t="shared" si="9"/>
        <v/>
      </c>
      <c r="V84" s="25"/>
      <c r="W84" s="45" t="str">
        <f t="shared" si="10"/>
        <v/>
      </c>
      <c r="X84" s="47"/>
      <c r="Y84" s="26" t="str">
        <f t="shared" si="11"/>
        <v/>
      </c>
      <c r="Z84" s="23"/>
      <c r="AA84" s="45" t="str">
        <f t="shared" si="12"/>
        <v/>
      </c>
      <c r="AB84" s="25"/>
      <c r="AC84" s="45" t="str">
        <f t="shared" si="13"/>
        <v/>
      </c>
      <c r="AD84" s="47"/>
      <c r="AE84" s="26"/>
      <c r="AF84" s="23"/>
      <c r="AG84" s="45" t="str">
        <f t="shared" si="14"/>
        <v/>
      </c>
      <c r="AH84" s="25"/>
      <c r="AI84" s="45" t="str">
        <f t="shared" si="15"/>
        <v/>
      </c>
      <c r="AJ84" s="27">
        <v>0.0</v>
      </c>
      <c r="AK84" s="33"/>
      <c r="AL84" s="26" t="str">
        <f t="shared" si="16"/>
        <v/>
      </c>
      <c r="AM84" s="23"/>
      <c r="AN84" s="45" t="str">
        <f t="shared" si="17"/>
        <v/>
      </c>
      <c r="AO84" s="25"/>
      <c r="AP84" s="45" t="str">
        <f t="shared" si="18"/>
        <v/>
      </c>
      <c r="AQ84" s="29" t="str">
        <f t="shared" si="19"/>
        <v/>
      </c>
      <c r="AR84" s="29">
        <f t="shared" si="20"/>
        <v>0</v>
      </c>
      <c r="AS84" s="29">
        <f t="shared" si="21"/>
        <v>0</v>
      </c>
      <c r="AT84" s="26" t="str">
        <f t="shared" si="22"/>
        <v/>
      </c>
      <c r="AU84" s="23"/>
      <c r="AV84" s="45" t="str">
        <f t="shared" si="23"/>
        <v/>
      </c>
      <c r="AW84" s="25"/>
      <c r="AX84" s="45" t="str">
        <f t="shared" si="24"/>
        <v/>
      </c>
      <c r="AY84" s="47"/>
      <c r="AZ84" s="26" t="str">
        <f t="shared" si="25"/>
        <v/>
      </c>
      <c r="BA84" s="23"/>
      <c r="BB84" s="45" t="str">
        <f t="shared" si="26"/>
        <v/>
      </c>
      <c r="BC84" s="25"/>
      <c r="BD84" s="45" t="str">
        <f t="shared" si="27"/>
        <v/>
      </c>
      <c r="BE84" s="47"/>
      <c r="BF84" s="26"/>
      <c r="BG84" s="23"/>
      <c r="BH84" s="45" t="str">
        <f t="shared" si="28"/>
        <v/>
      </c>
      <c r="BI84" s="25"/>
      <c r="BJ84" s="45" t="str">
        <f t="shared" si="29"/>
        <v/>
      </c>
      <c r="BK84" s="27">
        <v>0.0</v>
      </c>
      <c r="BL84" s="23"/>
      <c r="BM84" s="45" t="str">
        <f t="shared" si="30"/>
        <v/>
      </c>
      <c r="BN84" s="25"/>
      <c r="BO84" s="45" t="str">
        <f t="shared" si="31"/>
        <v/>
      </c>
      <c r="BP84" s="27">
        <v>0.0</v>
      </c>
      <c r="BQ84" s="33"/>
      <c r="BR84" s="23"/>
      <c r="BS84" s="45" t="str">
        <f t="shared" si="32"/>
        <v/>
      </c>
      <c r="BT84" s="25"/>
      <c r="BU84" s="45" t="str">
        <f t="shared" si="33"/>
        <v/>
      </c>
      <c r="BV84" s="29" t="str">
        <f t="shared" si="34"/>
        <v/>
      </c>
      <c r="BW84" s="29">
        <f t="shared" si="35"/>
        <v>0</v>
      </c>
      <c r="BX84" s="29">
        <f t="shared" si="36"/>
        <v>0</v>
      </c>
      <c r="BY84" s="26" t="str">
        <f t="shared" si="37"/>
        <v/>
      </c>
      <c r="BZ84" s="23"/>
      <c r="CA84" s="45" t="str">
        <f t="shared" si="38"/>
        <v/>
      </c>
      <c r="CB84" s="25"/>
      <c r="CC84" s="45" t="str">
        <f t="shared" si="39"/>
        <v/>
      </c>
      <c r="CD84" s="47"/>
      <c r="CE84" s="26" t="str">
        <f t="shared" si="40"/>
        <v/>
      </c>
      <c r="CF84" s="23"/>
      <c r="CG84" s="45" t="str">
        <f t="shared" si="41"/>
        <v/>
      </c>
      <c r="CH84" s="25"/>
      <c r="CI84" s="45" t="str">
        <f t="shared" si="42"/>
        <v/>
      </c>
      <c r="CJ84" s="47"/>
      <c r="CK84" s="26"/>
      <c r="CL84" s="23"/>
      <c r="CM84" s="45" t="str">
        <f t="shared" si="43"/>
        <v/>
      </c>
      <c r="CN84" s="25"/>
      <c r="CO84" s="45" t="str">
        <f t="shared" si="44"/>
        <v/>
      </c>
      <c r="CP84" s="27">
        <v>0.0</v>
      </c>
    </row>
    <row r="85">
      <c r="A85" s="26" t="str">
        <f t="shared" si="1"/>
        <v/>
      </c>
      <c r="B85" s="26"/>
      <c r="C85" s="81"/>
      <c r="D85" s="27"/>
      <c r="E85" s="82"/>
      <c r="F85" s="20"/>
      <c r="G85" s="20"/>
      <c r="H85" s="20"/>
      <c r="I85" s="23"/>
      <c r="J85" s="33"/>
      <c r="K85" s="26" t="str">
        <f t="shared" si="2"/>
        <v/>
      </c>
      <c r="L85" s="23"/>
      <c r="M85" s="45" t="str">
        <f t="shared" si="3"/>
        <v/>
      </c>
      <c r="N85" s="25"/>
      <c r="O85" s="45" t="str">
        <f t="shared" si="4"/>
        <v/>
      </c>
      <c r="P85" s="29" t="str">
        <f t="shared" si="5"/>
        <v/>
      </c>
      <c r="Q85" s="29">
        <f t="shared" si="6"/>
        <v>0</v>
      </c>
      <c r="R85" s="29">
        <f t="shared" si="7"/>
        <v>0</v>
      </c>
      <c r="S85" s="26" t="str">
        <f t="shared" si="8"/>
        <v/>
      </c>
      <c r="T85" s="23"/>
      <c r="U85" s="45" t="str">
        <f t="shared" si="9"/>
        <v/>
      </c>
      <c r="V85" s="25"/>
      <c r="W85" s="45" t="str">
        <f t="shared" si="10"/>
        <v/>
      </c>
      <c r="X85" s="47"/>
      <c r="Y85" s="26" t="str">
        <f t="shared" si="11"/>
        <v/>
      </c>
      <c r="Z85" s="23"/>
      <c r="AA85" s="45" t="str">
        <f t="shared" si="12"/>
        <v/>
      </c>
      <c r="AB85" s="25"/>
      <c r="AC85" s="45" t="str">
        <f t="shared" si="13"/>
        <v/>
      </c>
      <c r="AD85" s="47"/>
      <c r="AE85" s="26"/>
      <c r="AF85" s="23"/>
      <c r="AG85" s="45" t="str">
        <f t="shared" si="14"/>
        <v/>
      </c>
      <c r="AH85" s="25"/>
      <c r="AI85" s="45" t="str">
        <f t="shared" si="15"/>
        <v/>
      </c>
      <c r="AJ85" s="27">
        <v>0.0</v>
      </c>
      <c r="AK85" s="33"/>
      <c r="AL85" s="26" t="str">
        <f t="shared" si="16"/>
        <v/>
      </c>
      <c r="AM85" s="23"/>
      <c r="AN85" s="45" t="str">
        <f t="shared" si="17"/>
        <v/>
      </c>
      <c r="AO85" s="25"/>
      <c r="AP85" s="45" t="str">
        <f t="shared" si="18"/>
        <v/>
      </c>
      <c r="AQ85" s="29" t="str">
        <f t="shared" si="19"/>
        <v/>
      </c>
      <c r="AR85" s="29">
        <f t="shared" si="20"/>
        <v>0</v>
      </c>
      <c r="AS85" s="29">
        <f t="shared" si="21"/>
        <v>0</v>
      </c>
      <c r="AT85" s="26" t="str">
        <f t="shared" si="22"/>
        <v/>
      </c>
      <c r="AU85" s="23"/>
      <c r="AV85" s="45" t="str">
        <f t="shared" si="23"/>
        <v/>
      </c>
      <c r="AW85" s="25"/>
      <c r="AX85" s="45" t="str">
        <f t="shared" si="24"/>
        <v/>
      </c>
      <c r="AY85" s="47"/>
      <c r="AZ85" s="26" t="str">
        <f t="shared" si="25"/>
        <v/>
      </c>
      <c r="BA85" s="23"/>
      <c r="BB85" s="45" t="str">
        <f t="shared" si="26"/>
        <v/>
      </c>
      <c r="BC85" s="25"/>
      <c r="BD85" s="45" t="str">
        <f t="shared" si="27"/>
        <v/>
      </c>
      <c r="BE85" s="47"/>
      <c r="BF85" s="26"/>
      <c r="BG85" s="23"/>
      <c r="BH85" s="45" t="str">
        <f t="shared" si="28"/>
        <v/>
      </c>
      <c r="BI85" s="25"/>
      <c r="BJ85" s="45" t="str">
        <f t="shared" si="29"/>
        <v/>
      </c>
      <c r="BK85" s="27">
        <v>0.0</v>
      </c>
      <c r="BL85" s="23"/>
      <c r="BM85" s="45" t="str">
        <f t="shared" si="30"/>
        <v/>
      </c>
      <c r="BN85" s="25"/>
      <c r="BO85" s="45" t="str">
        <f t="shared" si="31"/>
        <v/>
      </c>
      <c r="BP85" s="27">
        <v>0.0</v>
      </c>
      <c r="BQ85" s="33"/>
      <c r="BR85" s="23"/>
      <c r="BS85" s="45" t="str">
        <f t="shared" si="32"/>
        <v/>
      </c>
      <c r="BT85" s="25"/>
      <c r="BU85" s="45" t="str">
        <f t="shared" si="33"/>
        <v/>
      </c>
      <c r="BV85" s="29" t="str">
        <f t="shared" si="34"/>
        <v/>
      </c>
      <c r="BW85" s="29">
        <f t="shared" si="35"/>
        <v>0</v>
      </c>
      <c r="BX85" s="29">
        <f t="shared" si="36"/>
        <v>0</v>
      </c>
      <c r="BY85" s="26" t="str">
        <f t="shared" si="37"/>
        <v/>
      </c>
      <c r="BZ85" s="23"/>
      <c r="CA85" s="45" t="str">
        <f t="shared" si="38"/>
        <v/>
      </c>
      <c r="CB85" s="25"/>
      <c r="CC85" s="45" t="str">
        <f t="shared" si="39"/>
        <v/>
      </c>
      <c r="CD85" s="47"/>
      <c r="CE85" s="26" t="str">
        <f t="shared" si="40"/>
        <v/>
      </c>
      <c r="CF85" s="23"/>
      <c r="CG85" s="45" t="str">
        <f t="shared" si="41"/>
        <v/>
      </c>
      <c r="CH85" s="25"/>
      <c r="CI85" s="45" t="str">
        <f t="shared" si="42"/>
        <v/>
      </c>
      <c r="CJ85" s="47"/>
      <c r="CK85" s="26"/>
      <c r="CL85" s="23"/>
      <c r="CM85" s="45" t="str">
        <f t="shared" si="43"/>
        <v/>
      </c>
      <c r="CN85" s="25"/>
      <c r="CO85" s="45" t="str">
        <f t="shared" si="44"/>
        <v/>
      </c>
      <c r="CP85" s="27">
        <v>0.0</v>
      </c>
    </row>
    <row r="86">
      <c r="A86" s="26" t="str">
        <f t="shared" si="1"/>
        <v/>
      </c>
      <c r="B86" s="26"/>
      <c r="C86" s="81"/>
      <c r="D86" s="27"/>
      <c r="E86" s="82"/>
      <c r="F86" s="20"/>
      <c r="G86" s="20"/>
      <c r="H86" s="20"/>
      <c r="I86" s="23"/>
      <c r="J86" s="33"/>
      <c r="K86" s="26" t="str">
        <f t="shared" si="2"/>
        <v/>
      </c>
      <c r="L86" s="23"/>
      <c r="M86" s="45" t="str">
        <f t="shared" si="3"/>
        <v/>
      </c>
      <c r="N86" s="25"/>
      <c r="O86" s="45" t="str">
        <f t="shared" si="4"/>
        <v/>
      </c>
      <c r="P86" s="29" t="str">
        <f t="shared" si="5"/>
        <v/>
      </c>
      <c r="Q86" s="29">
        <f t="shared" si="6"/>
        <v>0</v>
      </c>
      <c r="R86" s="29">
        <f t="shared" si="7"/>
        <v>0</v>
      </c>
      <c r="S86" s="26" t="str">
        <f t="shared" si="8"/>
        <v/>
      </c>
      <c r="T86" s="23"/>
      <c r="U86" s="45" t="str">
        <f t="shared" si="9"/>
        <v/>
      </c>
      <c r="V86" s="25"/>
      <c r="W86" s="45" t="str">
        <f t="shared" si="10"/>
        <v/>
      </c>
      <c r="X86" s="47"/>
      <c r="Y86" s="26" t="str">
        <f t="shared" si="11"/>
        <v/>
      </c>
      <c r="Z86" s="23"/>
      <c r="AA86" s="45" t="str">
        <f t="shared" si="12"/>
        <v/>
      </c>
      <c r="AB86" s="25"/>
      <c r="AC86" s="45" t="str">
        <f t="shared" si="13"/>
        <v/>
      </c>
      <c r="AD86" s="47"/>
      <c r="AE86" s="26"/>
      <c r="AF86" s="23"/>
      <c r="AG86" s="45" t="str">
        <f t="shared" si="14"/>
        <v/>
      </c>
      <c r="AH86" s="25"/>
      <c r="AI86" s="45" t="str">
        <f t="shared" si="15"/>
        <v/>
      </c>
      <c r="AJ86" s="27">
        <v>0.0</v>
      </c>
      <c r="AK86" s="33"/>
      <c r="AL86" s="26" t="str">
        <f t="shared" si="16"/>
        <v/>
      </c>
      <c r="AM86" s="23"/>
      <c r="AN86" s="45" t="str">
        <f t="shared" si="17"/>
        <v/>
      </c>
      <c r="AO86" s="25"/>
      <c r="AP86" s="45" t="str">
        <f t="shared" si="18"/>
        <v/>
      </c>
      <c r="AQ86" s="29" t="str">
        <f t="shared" si="19"/>
        <v/>
      </c>
      <c r="AR86" s="29">
        <f t="shared" si="20"/>
        <v>0</v>
      </c>
      <c r="AS86" s="29">
        <f t="shared" si="21"/>
        <v>0</v>
      </c>
      <c r="AT86" s="26" t="str">
        <f t="shared" si="22"/>
        <v/>
      </c>
      <c r="AU86" s="23"/>
      <c r="AV86" s="45" t="str">
        <f t="shared" si="23"/>
        <v/>
      </c>
      <c r="AW86" s="25"/>
      <c r="AX86" s="45" t="str">
        <f t="shared" si="24"/>
        <v/>
      </c>
      <c r="AY86" s="47"/>
      <c r="AZ86" s="26" t="str">
        <f t="shared" si="25"/>
        <v/>
      </c>
      <c r="BA86" s="23"/>
      <c r="BB86" s="45" t="str">
        <f t="shared" si="26"/>
        <v/>
      </c>
      <c r="BC86" s="25"/>
      <c r="BD86" s="45" t="str">
        <f t="shared" si="27"/>
        <v/>
      </c>
      <c r="BE86" s="47"/>
      <c r="BF86" s="26"/>
      <c r="BG86" s="23"/>
      <c r="BH86" s="45" t="str">
        <f t="shared" si="28"/>
        <v/>
      </c>
      <c r="BI86" s="25"/>
      <c r="BJ86" s="45" t="str">
        <f t="shared" si="29"/>
        <v/>
      </c>
      <c r="BK86" s="27">
        <v>0.0</v>
      </c>
      <c r="BL86" s="23"/>
      <c r="BM86" s="45" t="str">
        <f t="shared" si="30"/>
        <v/>
      </c>
      <c r="BN86" s="25"/>
      <c r="BO86" s="45" t="str">
        <f t="shared" si="31"/>
        <v/>
      </c>
      <c r="BP86" s="27">
        <v>0.0</v>
      </c>
      <c r="BQ86" s="33"/>
      <c r="BR86" s="23"/>
      <c r="BS86" s="45" t="str">
        <f t="shared" si="32"/>
        <v/>
      </c>
      <c r="BT86" s="25"/>
      <c r="BU86" s="45" t="str">
        <f t="shared" si="33"/>
        <v/>
      </c>
      <c r="BV86" s="29" t="str">
        <f t="shared" si="34"/>
        <v/>
      </c>
      <c r="BW86" s="29">
        <f t="shared" si="35"/>
        <v>0</v>
      </c>
      <c r="BX86" s="29">
        <f t="shared" si="36"/>
        <v>0</v>
      </c>
      <c r="BY86" s="26" t="str">
        <f t="shared" si="37"/>
        <v/>
      </c>
      <c r="BZ86" s="23"/>
      <c r="CA86" s="45" t="str">
        <f t="shared" si="38"/>
        <v/>
      </c>
      <c r="CB86" s="25"/>
      <c r="CC86" s="45" t="str">
        <f t="shared" si="39"/>
        <v/>
      </c>
      <c r="CD86" s="47"/>
      <c r="CE86" s="26" t="str">
        <f t="shared" si="40"/>
        <v/>
      </c>
      <c r="CF86" s="23"/>
      <c r="CG86" s="45" t="str">
        <f t="shared" si="41"/>
        <v/>
      </c>
      <c r="CH86" s="25"/>
      <c r="CI86" s="45" t="str">
        <f t="shared" si="42"/>
        <v/>
      </c>
      <c r="CJ86" s="47"/>
      <c r="CK86" s="26"/>
      <c r="CL86" s="23"/>
      <c r="CM86" s="45" t="str">
        <f t="shared" si="43"/>
        <v/>
      </c>
      <c r="CN86" s="25"/>
      <c r="CO86" s="45" t="str">
        <f t="shared" si="44"/>
        <v/>
      </c>
      <c r="CP86" s="27">
        <v>0.0</v>
      </c>
    </row>
    <row r="87">
      <c r="A87" s="26" t="str">
        <f t="shared" si="1"/>
        <v/>
      </c>
      <c r="B87" s="26"/>
      <c r="C87" s="81"/>
      <c r="D87" s="27"/>
      <c r="E87" s="82"/>
      <c r="F87" s="20"/>
      <c r="G87" s="20"/>
      <c r="H87" s="20"/>
      <c r="I87" s="23"/>
      <c r="J87" s="33"/>
      <c r="K87" s="26" t="str">
        <f t="shared" si="2"/>
        <v/>
      </c>
      <c r="L87" s="23"/>
      <c r="M87" s="45" t="str">
        <f t="shared" si="3"/>
        <v/>
      </c>
      <c r="N87" s="25"/>
      <c r="O87" s="45" t="str">
        <f t="shared" si="4"/>
        <v/>
      </c>
      <c r="P87" s="29" t="str">
        <f t="shared" si="5"/>
        <v/>
      </c>
      <c r="Q87" s="29">
        <f t="shared" si="6"/>
        <v>0</v>
      </c>
      <c r="R87" s="29">
        <f t="shared" si="7"/>
        <v>0</v>
      </c>
      <c r="S87" s="26" t="str">
        <f t="shared" si="8"/>
        <v/>
      </c>
      <c r="T87" s="23"/>
      <c r="U87" s="45" t="str">
        <f t="shared" si="9"/>
        <v/>
      </c>
      <c r="V87" s="25"/>
      <c r="W87" s="45" t="str">
        <f t="shared" si="10"/>
        <v/>
      </c>
      <c r="X87" s="47"/>
      <c r="Y87" s="26" t="str">
        <f t="shared" si="11"/>
        <v/>
      </c>
      <c r="Z87" s="23"/>
      <c r="AA87" s="45" t="str">
        <f t="shared" si="12"/>
        <v/>
      </c>
      <c r="AB87" s="25"/>
      <c r="AC87" s="45" t="str">
        <f t="shared" si="13"/>
        <v/>
      </c>
      <c r="AD87" s="47"/>
      <c r="AE87" s="26"/>
      <c r="AF87" s="23"/>
      <c r="AG87" s="45" t="str">
        <f t="shared" si="14"/>
        <v/>
      </c>
      <c r="AH87" s="25"/>
      <c r="AI87" s="45" t="str">
        <f t="shared" si="15"/>
        <v/>
      </c>
      <c r="AJ87" s="27">
        <v>0.0</v>
      </c>
      <c r="AK87" s="33"/>
      <c r="AL87" s="26" t="str">
        <f t="shared" si="16"/>
        <v/>
      </c>
      <c r="AM87" s="23"/>
      <c r="AN87" s="45" t="str">
        <f t="shared" si="17"/>
        <v/>
      </c>
      <c r="AO87" s="25"/>
      <c r="AP87" s="45" t="str">
        <f t="shared" si="18"/>
        <v/>
      </c>
      <c r="AQ87" s="29" t="str">
        <f t="shared" si="19"/>
        <v/>
      </c>
      <c r="AR87" s="29">
        <f t="shared" si="20"/>
        <v>0</v>
      </c>
      <c r="AS87" s="29">
        <f t="shared" si="21"/>
        <v>0</v>
      </c>
      <c r="AT87" s="26" t="str">
        <f t="shared" si="22"/>
        <v/>
      </c>
      <c r="AU87" s="23"/>
      <c r="AV87" s="45" t="str">
        <f t="shared" si="23"/>
        <v/>
      </c>
      <c r="AW87" s="25"/>
      <c r="AX87" s="45" t="str">
        <f t="shared" si="24"/>
        <v/>
      </c>
      <c r="AY87" s="47"/>
      <c r="AZ87" s="26" t="str">
        <f t="shared" si="25"/>
        <v/>
      </c>
      <c r="BA87" s="23"/>
      <c r="BB87" s="45" t="str">
        <f t="shared" si="26"/>
        <v/>
      </c>
      <c r="BC87" s="25"/>
      <c r="BD87" s="45" t="str">
        <f t="shared" si="27"/>
        <v/>
      </c>
      <c r="BE87" s="47"/>
      <c r="BF87" s="26"/>
      <c r="BG87" s="23"/>
      <c r="BH87" s="45" t="str">
        <f t="shared" si="28"/>
        <v/>
      </c>
      <c r="BI87" s="25"/>
      <c r="BJ87" s="45" t="str">
        <f t="shared" si="29"/>
        <v/>
      </c>
      <c r="BK87" s="27">
        <v>0.0</v>
      </c>
      <c r="BL87" s="23"/>
      <c r="BM87" s="45" t="str">
        <f t="shared" si="30"/>
        <v/>
      </c>
      <c r="BN87" s="25"/>
      <c r="BO87" s="45" t="str">
        <f t="shared" si="31"/>
        <v/>
      </c>
      <c r="BP87" s="27">
        <v>0.0</v>
      </c>
      <c r="BQ87" s="33"/>
      <c r="BR87" s="23"/>
      <c r="BS87" s="45" t="str">
        <f t="shared" si="32"/>
        <v/>
      </c>
      <c r="BT87" s="25"/>
      <c r="BU87" s="45" t="str">
        <f t="shared" si="33"/>
        <v/>
      </c>
      <c r="BV87" s="29" t="str">
        <f t="shared" si="34"/>
        <v/>
      </c>
      <c r="BW87" s="29">
        <f t="shared" si="35"/>
        <v>0</v>
      </c>
      <c r="BX87" s="29">
        <f t="shared" si="36"/>
        <v>0</v>
      </c>
      <c r="BY87" s="26" t="str">
        <f t="shared" si="37"/>
        <v/>
      </c>
      <c r="BZ87" s="23"/>
      <c r="CA87" s="45" t="str">
        <f t="shared" si="38"/>
        <v/>
      </c>
      <c r="CB87" s="25"/>
      <c r="CC87" s="45" t="str">
        <f t="shared" si="39"/>
        <v/>
      </c>
      <c r="CD87" s="47"/>
      <c r="CE87" s="26" t="str">
        <f t="shared" si="40"/>
        <v/>
      </c>
      <c r="CF87" s="23"/>
      <c r="CG87" s="45" t="str">
        <f t="shared" si="41"/>
        <v/>
      </c>
      <c r="CH87" s="25"/>
      <c r="CI87" s="45" t="str">
        <f t="shared" si="42"/>
        <v/>
      </c>
      <c r="CJ87" s="47"/>
      <c r="CK87" s="26"/>
      <c r="CL87" s="23"/>
      <c r="CM87" s="45" t="str">
        <f t="shared" si="43"/>
        <v/>
      </c>
      <c r="CN87" s="25"/>
      <c r="CO87" s="45" t="str">
        <f t="shared" si="44"/>
        <v/>
      </c>
      <c r="CP87" s="27">
        <v>0.0</v>
      </c>
    </row>
    <row r="88">
      <c r="A88" s="26" t="str">
        <f t="shared" si="1"/>
        <v/>
      </c>
      <c r="B88" s="26"/>
      <c r="C88" s="81"/>
      <c r="D88" s="27"/>
      <c r="E88" s="82"/>
      <c r="F88" s="20"/>
      <c r="G88" s="20"/>
      <c r="H88" s="20"/>
      <c r="I88" s="23"/>
      <c r="J88" s="33"/>
      <c r="K88" s="26" t="str">
        <f t="shared" si="2"/>
        <v/>
      </c>
      <c r="L88" s="23"/>
      <c r="M88" s="45" t="str">
        <f t="shared" si="3"/>
        <v/>
      </c>
      <c r="N88" s="25"/>
      <c r="O88" s="45" t="str">
        <f t="shared" si="4"/>
        <v/>
      </c>
      <c r="P88" s="29" t="str">
        <f t="shared" si="5"/>
        <v/>
      </c>
      <c r="Q88" s="29">
        <f t="shared" si="6"/>
        <v>0</v>
      </c>
      <c r="R88" s="29">
        <f t="shared" si="7"/>
        <v>0</v>
      </c>
      <c r="S88" s="26" t="str">
        <f t="shared" si="8"/>
        <v/>
      </c>
      <c r="T88" s="23"/>
      <c r="U88" s="45" t="str">
        <f t="shared" si="9"/>
        <v/>
      </c>
      <c r="V88" s="25"/>
      <c r="W88" s="45" t="str">
        <f t="shared" si="10"/>
        <v/>
      </c>
      <c r="X88" s="47"/>
      <c r="Y88" s="26" t="str">
        <f t="shared" si="11"/>
        <v/>
      </c>
      <c r="Z88" s="23"/>
      <c r="AA88" s="45" t="str">
        <f t="shared" si="12"/>
        <v/>
      </c>
      <c r="AB88" s="25"/>
      <c r="AC88" s="45" t="str">
        <f t="shared" si="13"/>
        <v/>
      </c>
      <c r="AD88" s="47"/>
      <c r="AE88" s="26"/>
      <c r="AF88" s="23"/>
      <c r="AG88" s="45" t="str">
        <f t="shared" si="14"/>
        <v/>
      </c>
      <c r="AH88" s="25"/>
      <c r="AI88" s="45" t="str">
        <f t="shared" si="15"/>
        <v/>
      </c>
      <c r="AJ88" s="27">
        <v>0.0</v>
      </c>
      <c r="AK88" s="33"/>
      <c r="AL88" s="26" t="str">
        <f t="shared" si="16"/>
        <v/>
      </c>
      <c r="AM88" s="23"/>
      <c r="AN88" s="45" t="str">
        <f t="shared" si="17"/>
        <v/>
      </c>
      <c r="AO88" s="25"/>
      <c r="AP88" s="45" t="str">
        <f t="shared" si="18"/>
        <v/>
      </c>
      <c r="AQ88" s="29" t="str">
        <f t="shared" si="19"/>
        <v/>
      </c>
      <c r="AR88" s="29">
        <f t="shared" si="20"/>
        <v>0</v>
      </c>
      <c r="AS88" s="29">
        <f t="shared" si="21"/>
        <v>0</v>
      </c>
      <c r="AT88" s="26" t="str">
        <f t="shared" si="22"/>
        <v/>
      </c>
      <c r="AU88" s="23"/>
      <c r="AV88" s="45" t="str">
        <f t="shared" si="23"/>
        <v/>
      </c>
      <c r="AW88" s="25"/>
      <c r="AX88" s="45" t="str">
        <f t="shared" si="24"/>
        <v/>
      </c>
      <c r="AY88" s="47"/>
      <c r="AZ88" s="26" t="str">
        <f t="shared" si="25"/>
        <v/>
      </c>
      <c r="BA88" s="23"/>
      <c r="BB88" s="45" t="str">
        <f t="shared" si="26"/>
        <v/>
      </c>
      <c r="BC88" s="25"/>
      <c r="BD88" s="45" t="str">
        <f t="shared" si="27"/>
        <v/>
      </c>
      <c r="BE88" s="47"/>
      <c r="BF88" s="26"/>
      <c r="BG88" s="23"/>
      <c r="BH88" s="45" t="str">
        <f t="shared" si="28"/>
        <v/>
      </c>
      <c r="BI88" s="25"/>
      <c r="BJ88" s="45" t="str">
        <f t="shared" si="29"/>
        <v/>
      </c>
      <c r="BK88" s="27">
        <v>0.0</v>
      </c>
      <c r="BL88" s="23"/>
      <c r="BM88" s="45" t="str">
        <f t="shared" si="30"/>
        <v/>
      </c>
      <c r="BN88" s="25"/>
      <c r="BO88" s="45" t="str">
        <f t="shared" si="31"/>
        <v/>
      </c>
      <c r="BP88" s="27">
        <v>0.0</v>
      </c>
      <c r="BQ88" s="33"/>
      <c r="BR88" s="23"/>
      <c r="BS88" s="45" t="str">
        <f t="shared" si="32"/>
        <v/>
      </c>
      <c r="BT88" s="25"/>
      <c r="BU88" s="45" t="str">
        <f t="shared" si="33"/>
        <v/>
      </c>
      <c r="BV88" s="29" t="str">
        <f t="shared" si="34"/>
        <v/>
      </c>
      <c r="BW88" s="29">
        <f t="shared" si="35"/>
        <v>0</v>
      </c>
      <c r="BX88" s="29">
        <f t="shared" si="36"/>
        <v>0</v>
      </c>
      <c r="BY88" s="26" t="str">
        <f t="shared" si="37"/>
        <v/>
      </c>
      <c r="BZ88" s="23"/>
      <c r="CA88" s="45" t="str">
        <f t="shared" si="38"/>
        <v/>
      </c>
      <c r="CB88" s="25"/>
      <c r="CC88" s="45" t="str">
        <f t="shared" si="39"/>
        <v/>
      </c>
      <c r="CD88" s="47"/>
      <c r="CE88" s="26" t="str">
        <f t="shared" si="40"/>
        <v/>
      </c>
      <c r="CF88" s="23"/>
      <c r="CG88" s="45" t="str">
        <f t="shared" si="41"/>
        <v/>
      </c>
      <c r="CH88" s="25"/>
      <c r="CI88" s="45" t="str">
        <f t="shared" si="42"/>
        <v/>
      </c>
      <c r="CJ88" s="47"/>
      <c r="CK88" s="26"/>
      <c r="CL88" s="23"/>
      <c r="CM88" s="45" t="str">
        <f t="shared" si="43"/>
        <v/>
      </c>
      <c r="CN88" s="25"/>
      <c r="CO88" s="45" t="str">
        <f t="shared" si="44"/>
        <v/>
      </c>
      <c r="CP88" s="27">
        <v>0.0</v>
      </c>
    </row>
    <row r="89">
      <c r="A89" s="26" t="str">
        <f t="shared" si="1"/>
        <v/>
      </c>
      <c r="B89" s="26"/>
      <c r="C89" s="81"/>
      <c r="D89" s="27"/>
      <c r="E89" s="82"/>
      <c r="F89" s="20"/>
      <c r="G89" s="20"/>
      <c r="H89" s="20"/>
      <c r="I89" s="23"/>
      <c r="J89" s="33"/>
      <c r="K89" s="26" t="str">
        <f t="shared" si="2"/>
        <v/>
      </c>
      <c r="L89" s="23"/>
      <c r="M89" s="45" t="str">
        <f t="shared" si="3"/>
        <v/>
      </c>
      <c r="N89" s="25"/>
      <c r="O89" s="45" t="str">
        <f t="shared" si="4"/>
        <v/>
      </c>
      <c r="P89" s="29" t="str">
        <f t="shared" si="5"/>
        <v/>
      </c>
      <c r="Q89" s="29">
        <f t="shared" si="6"/>
        <v>0</v>
      </c>
      <c r="R89" s="29">
        <f t="shared" si="7"/>
        <v>0</v>
      </c>
      <c r="S89" s="26" t="str">
        <f t="shared" si="8"/>
        <v/>
      </c>
      <c r="T89" s="23"/>
      <c r="U89" s="45" t="str">
        <f t="shared" si="9"/>
        <v/>
      </c>
      <c r="V89" s="25"/>
      <c r="W89" s="45" t="str">
        <f t="shared" si="10"/>
        <v/>
      </c>
      <c r="X89" s="47"/>
      <c r="Y89" s="26" t="str">
        <f t="shared" si="11"/>
        <v/>
      </c>
      <c r="Z89" s="23"/>
      <c r="AA89" s="45" t="str">
        <f t="shared" si="12"/>
        <v/>
      </c>
      <c r="AB89" s="25"/>
      <c r="AC89" s="45" t="str">
        <f t="shared" si="13"/>
        <v/>
      </c>
      <c r="AD89" s="47"/>
      <c r="AE89" s="26"/>
      <c r="AF89" s="23"/>
      <c r="AG89" s="45" t="str">
        <f t="shared" si="14"/>
        <v/>
      </c>
      <c r="AH89" s="25"/>
      <c r="AI89" s="45" t="str">
        <f t="shared" si="15"/>
        <v/>
      </c>
      <c r="AJ89" s="27">
        <v>0.0</v>
      </c>
      <c r="AK89" s="33"/>
      <c r="AL89" s="26" t="str">
        <f t="shared" si="16"/>
        <v/>
      </c>
      <c r="AM89" s="23"/>
      <c r="AN89" s="45" t="str">
        <f t="shared" si="17"/>
        <v/>
      </c>
      <c r="AO89" s="25"/>
      <c r="AP89" s="45" t="str">
        <f t="shared" si="18"/>
        <v/>
      </c>
      <c r="AQ89" s="29" t="str">
        <f t="shared" si="19"/>
        <v/>
      </c>
      <c r="AR89" s="29">
        <f t="shared" si="20"/>
        <v>0</v>
      </c>
      <c r="AS89" s="29">
        <f t="shared" si="21"/>
        <v>0</v>
      </c>
      <c r="AT89" s="26" t="str">
        <f t="shared" si="22"/>
        <v/>
      </c>
      <c r="AU89" s="23"/>
      <c r="AV89" s="45" t="str">
        <f t="shared" si="23"/>
        <v/>
      </c>
      <c r="AW89" s="25"/>
      <c r="AX89" s="45" t="str">
        <f t="shared" si="24"/>
        <v/>
      </c>
      <c r="AY89" s="47"/>
      <c r="AZ89" s="26" t="str">
        <f t="shared" si="25"/>
        <v/>
      </c>
      <c r="BA89" s="23"/>
      <c r="BB89" s="45" t="str">
        <f t="shared" si="26"/>
        <v/>
      </c>
      <c r="BC89" s="25"/>
      <c r="BD89" s="45" t="str">
        <f t="shared" si="27"/>
        <v/>
      </c>
      <c r="BE89" s="47"/>
      <c r="BF89" s="26"/>
      <c r="BG89" s="23"/>
      <c r="BH89" s="45" t="str">
        <f t="shared" si="28"/>
        <v/>
      </c>
      <c r="BI89" s="25"/>
      <c r="BJ89" s="45" t="str">
        <f t="shared" si="29"/>
        <v/>
      </c>
      <c r="BK89" s="27">
        <v>0.0</v>
      </c>
      <c r="BL89" s="23"/>
      <c r="BM89" s="45" t="str">
        <f t="shared" si="30"/>
        <v/>
      </c>
      <c r="BN89" s="25"/>
      <c r="BO89" s="45" t="str">
        <f t="shared" si="31"/>
        <v/>
      </c>
      <c r="BP89" s="27">
        <v>0.0</v>
      </c>
      <c r="BQ89" s="33"/>
      <c r="BR89" s="23"/>
      <c r="BS89" s="45" t="str">
        <f t="shared" si="32"/>
        <v/>
      </c>
      <c r="BT89" s="25"/>
      <c r="BU89" s="45" t="str">
        <f t="shared" si="33"/>
        <v/>
      </c>
      <c r="BV89" s="29" t="str">
        <f t="shared" si="34"/>
        <v/>
      </c>
      <c r="BW89" s="29">
        <f t="shared" si="35"/>
        <v>0</v>
      </c>
      <c r="BX89" s="29">
        <f t="shared" si="36"/>
        <v>0</v>
      </c>
      <c r="BY89" s="26" t="str">
        <f t="shared" si="37"/>
        <v/>
      </c>
      <c r="BZ89" s="23"/>
      <c r="CA89" s="45" t="str">
        <f t="shared" si="38"/>
        <v/>
      </c>
      <c r="CB89" s="25"/>
      <c r="CC89" s="45" t="str">
        <f t="shared" si="39"/>
        <v/>
      </c>
      <c r="CD89" s="47"/>
      <c r="CE89" s="26" t="str">
        <f t="shared" si="40"/>
        <v/>
      </c>
      <c r="CF89" s="23"/>
      <c r="CG89" s="45" t="str">
        <f t="shared" si="41"/>
        <v/>
      </c>
      <c r="CH89" s="25"/>
      <c r="CI89" s="45" t="str">
        <f t="shared" si="42"/>
        <v/>
      </c>
      <c r="CJ89" s="47"/>
      <c r="CK89" s="26"/>
      <c r="CL89" s="23"/>
      <c r="CM89" s="45" t="str">
        <f t="shared" si="43"/>
        <v/>
      </c>
      <c r="CN89" s="25"/>
      <c r="CO89" s="45" t="str">
        <f t="shared" si="44"/>
        <v/>
      </c>
      <c r="CP89" s="27">
        <v>0.0</v>
      </c>
    </row>
    <row r="90">
      <c r="A90" s="26" t="str">
        <f t="shared" si="1"/>
        <v/>
      </c>
      <c r="B90" s="26"/>
      <c r="C90" s="81"/>
      <c r="D90" s="27"/>
      <c r="E90" s="82"/>
      <c r="F90" s="20"/>
      <c r="G90" s="20"/>
      <c r="H90" s="20"/>
      <c r="I90" s="23"/>
      <c r="J90" s="33"/>
      <c r="K90" s="26" t="str">
        <f t="shared" si="2"/>
        <v/>
      </c>
      <c r="L90" s="23"/>
      <c r="M90" s="45" t="str">
        <f t="shared" si="3"/>
        <v/>
      </c>
      <c r="N90" s="25"/>
      <c r="O90" s="45" t="str">
        <f t="shared" si="4"/>
        <v/>
      </c>
      <c r="P90" s="29" t="str">
        <f t="shared" si="5"/>
        <v/>
      </c>
      <c r="Q90" s="29">
        <f t="shared" si="6"/>
        <v>0</v>
      </c>
      <c r="R90" s="29">
        <f t="shared" si="7"/>
        <v>0</v>
      </c>
      <c r="S90" s="26" t="str">
        <f t="shared" si="8"/>
        <v/>
      </c>
      <c r="T90" s="23"/>
      <c r="U90" s="45" t="str">
        <f t="shared" si="9"/>
        <v/>
      </c>
      <c r="V90" s="25"/>
      <c r="W90" s="45" t="str">
        <f t="shared" si="10"/>
        <v/>
      </c>
      <c r="X90" s="47"/>
      <c r="Y90" s="26" t="str">
        <f t="shared" si="11"/>
        <v/>
      </c>
      <c r="Z90" s="23"/>
      <c r="AA90" s="45" t="str">
        <f t="shared" si="12"/>
        <v/>
      </c>
      <c r="AB90" s="25"/>
      <c r="AC90" s="45" t="str">
        <f t="shared" si="13"/>
        <v/>
      </c>
      <c r="AD90" s="47"/>
      <c r="AE90" s="26"/>
      <c r="AF90" s="23"/>
      <c r="AG90" s="45" t="str">
        <f t="shared" si="14"/>
        <v/>
      </c>
      <c r="AH90" s="25"/>
      <c r="AI90" s="45" t="str">
        <f t="shared" si="15"/>
        <v/>
      </c>
      <c r="AJ90" s="27">
        <v>0.0</v>
      </c>
      <c r="AK90" s="33"/>
      <c r="AL90" s="26" t="str">
        <f t="shared" si="16"/>
        <v/>
      </c>
      <c r="AM90" s="23"/>
      <c r="AN90" s="45" t="str">
        <f t="shared" si="17"/>
        <v/>
      </c>
      <c r="AO90" s="25"/>
      <c r="AP90" s="45" t="str">
        <f t="shared" si="18"/>
        <v/>
      </c>
      <c r="AQ90" s="29" t="str">
        <f t="shared" si="19"/>
        <v/>
      </c>
      <c r="AR90" s="29">
        <f t="shared" si="20"/>
        <v>0</v>
      </c>
      <c r="AS90" s="29">
        <f t="shared" si="21"/>
        <v>0</v>
      </c>
      <c r="AT90" s="26" t="str">
        <f t="shared" si="22"/>
        <v/>
      </c>
      <c r="AU90" s="23"/>
      <c r="AV90" s="45" t="str">
        <f t="shared" si="23"/>
        <v/>
      </c>
      <c r="AW90" s="25"/>
      <c r="AX90" s="45" t="str">
        <f t="shared" si="24"/>
        <v/>
      </c>
      <c r="AY90" s="47"/>
      <c r="AZ90" s="26" t="str">
        <f t="shared" si="25"/>
        <v/>
      </c>
      <c r="BA90" s="23"/>
      <c r="BB90" s="45" t="str">
        <f t="shared" si="26"/>
        <v/>
      </c>
      <c r="BC90" s="25"/>
      <c r="BD90" s="45" t="str">
        <f t="shared" si="27"/>
        <v/>
      </c>
      <c r="BE90" s="47"/>
      <c r="BF90" s="26"/>
      <c r="BG90" s="23"/>
      <c r="BH90" s="45" t="str">
        <f t="shared" si="28"/>
        <v/>
      </c>
      <c r="BI90" s="25"/>
      <c r="BJ90" s="45" t="str">
        <f t="shared" si="29"/>
        <v/>
      </c>
      <c r="BK90" s="27">
        <v>0.0</v>
      </c>
      <c r="BL90" s="23"/>
      <c r="BM90" s="45" t="str">
        <f t="shared" si="30"/>
        <v/>
      </c>
      <c r="BN90" s="25"/>
      <c r="BO90" s="45" t="str">
        <f t="shared" si="31"/>
        <v/>
      </c>
      <c r="BP90" s="27">
        <v>0.0</v>
      </c>
      <c r="BQ90" s="33"/>
      <c r="BR90" s="23"/>
      <c r="BS90" s="45" t="str">
        <f t="shared" si="32"/>
        <v/>
      </c>
      <c r="BT90" s="25"/>
      <c r="BU90" s="45" t="str">
        <f t="shared" si="33"/>
        <v/>
      </c>
      <c r="BV90" s="29" t="str">
        <f t="shared" si="34"/>
        <v/>
      </c>
      <c r="BW90" s="29">
        <f t="shared" si="35"/>
        <v>0</v>
      </c>
      <c r="BX90" s="29">
        <f t="shared" si="36"/>
        <v>0</v>
      </c>
      <c r="BY90" s="26" t="str">
        <f t="shared" si="37"/>
        <v/>
      </c>
      <c r="BZ90" s="23"/>
      <c r="CA90" s="45" t="str">
        <f t="shared" si="38"/>
        <v/>
      </c>
      <c r="CB90" s="25"/>
      <c r="CC90" s="45" t="str">
        <f t="shared" si="39"/>
        <v/>
      </c>
      <c r="CD90" s="47"/>
      <c r="CE90" s="26" t="str">
        <f t="shared" si="40"/>
        <v/>
      </c>
      <c r="CF90" s="23"/>
      <c r="CG90" s="45" t="str">
        <f t="shared" si="41"/>
        <v/>
      </c>
      <c r="CH90" s="25"/>
      <c r="CI90" s="45" t="str">
        <f t="shared" si="42"/>
        <v/>
      </c>
      <c r="CJ90" s="47"/>
      <c r="CK90" s="26"/>
      <c r="CL90" s="23"/>
      <c r="CM90" s="45" t="str">
        <f t="shared" si="43"/>
        <v/>
      </c>
      <c r="CN90" s="25"/>
      <c r="CO90" s="45" t="str">
        <f t="shared" si="44"/>
        <v/>
      </c>
      <c r="CP90" s="27">
        <v>0.0</v>
      </c>
    </row>
    <row r="91">
      <c r="A91" s="26" t="str">
        <f t="shared" si="1"/>
        <v/>
      </c>
      <c r="B91" s="26"/>
      <c r="C91" s="81"/>
      <c r="D91" s="27"/>
      <c r="E91" s="82"/>
      <c r="F91" s="20"/>
      <c r="G91" s="20"/>
      <c r="H91" s="20"/>
      <c r="I91" s="23"/>
      <c r="J91" s="33"/>
      <c r="K91" s="26" t="str">
        <f t="shared" si="2"/>
        <v/>
      </c>
      <c r="L91" s="23"/>
      <c r="M91" s="45" t="str">
        <f t="shared" si="3"/>
        <v/>
      </c>
      <c r="N91" s="25"/>
      <c r="O91" s="45" t="str">
        <f t="shared" si="4"/>
        <v/>
      </c>
      <c r="P91" s="29" t="str">
        <f t="shared" si="5"/>
        <v/>
      </c>
      <c r="Q91" s="29">
        <f t="shared" si="6"/>
        <v>0</v>
      </c>
      <c r="R91" s="29">
        <f t="shared" si="7"/>
        <v>0</v>
      </c>
      <c r="S91" s="26" t="str">
        <f t="shared" si="8"/>
        <v/>
      </c>
      <c r="T91" s="23"/>
      <c r="U91" s="45" t="str">
        <f t="shared" si="9"/>
        <v/>
      </c>
      <c r="V91" s="25"/>
      <c r="W91" s="45" t="str">
        <f t="shared" si="10"/>
        <v/>
      </c>
      <c r="X91" s="47"/>
      <c r="Y91" s="26" t="str">
        <f t="shared" si="11"/>
        <v/>
      </c>
      <c r="Z91" s="23"/>
      <c r="AA91" s="45" t="str">
        <f t="shared" si="12"/>
        <v/>
      </c>
      <c r="AB91" s="25"/>
      <c r="AC91" s="45" t="str">
        <f t="shared" si="13"/>
        <v/>
      </c>
      <c r="AD91" s="47"/>
      <c r="AE91" s="26"/>
      <c r="AF91" s="23"/>
      <c r="AG91" s="45" t="str">
        <f t="shared" si="14"/>
        <v/>
      </c>
      <c r="AH91" s="25"/>
      <c r="AI91" s="45" t="str">
        <f t="shared" si="15"/>
        <v/>
      </c>
      <c r="AJ91" s="27">
        <v>0.0</v>
      </c>
      <c r="AK91" s="33"/>
      <c r="AL91" s="26" t="str">
        <f t="shared" si="16"/>
        <v/>
      </c>
      <c r="AM91" s="23"/>
      <c r="AN91" s="45" t="str">
        <f t="shared" si="17"/>
        <v/>
      </c>
      <c r="AO91" s="25"/>
      <c r="AP91" s="45" t="str">
        <f t="shared" si="18"/>
        <v/>
      </c>
      <c r="AQ91" s="29" t="str">
        <f t="shared" si="19"/>
        <v/>
      </c>
      <c r="AR91" s="29">
        <f t="shared" si="20"/>
        <v>0</v>
      </c>
      <c r="AS91" s="29">
        <f t="shared" si="21"/>
        <v>0</v>
      </c>
      <c r="AT91" s="26" t="str">
        <f t="shared" si="22"/>
        <v/>
      </c>
      <c r="AU91" s="23"/>
      <c r="AV91" s="45" t="str">
        <f t="shared" si="23"/>
        <v/>
      </c>
      <c r="AW91" s="25"/>
      <c r="AX91" s="45" t="str">
        <f t="shared" si="24"/>
        <v/>
      </c>
      <c r="AY91" s="47"/>
      <c r="AZ91" s="26" t="str">
        <f t="shared" si="25"/>
        <v/>
      </c>
      <c r="BA91" s="23"/>
      <c r="BB91" s="45" t="str">
        <f t="shared" si="26"/>
        <v/>
      </c>
      <c r="BC91" s="25"/>
      <c r="BD91" s="45" t="str">
        <f t="shared" si="27"/>
        <v/>
      </c>
      <c r="BE91" s="47"/>
      <c r="BF91" s="26"/>
      <c r="BG91" s="23"/>
      <c r="BH91" s="45" t="str">
        <f t="shared" si="28"/>
        <v/>
      </c>
      <c r="BI91" s="25"/>
      <c r="BJ91" s="45" t="str">
        <f t="shared" si="29"/>
        <v/>
      </c>
      <c r="BK91" s="27">
        <v>0.0</v>
      </c>
      <c r="BL91" s="23"/>
      <c r="BM91" s="45" t="str">
        <f t="shared" si="30"/>
        <v/>
      </c>
      <c r="BN91" s="25"/>
      <c r="BO91" s="45" t="str">
        <f t="shared" si="31"/>
        <v/>
      </c>
      <c r="BP91" s="27">
        <v>0.0</v>
      </c>
      <c r="BQ91" s="33"/>
      <c r="BR91" s="23"/>
      <c r="BS91" s="45" t="str">
        <f t="shared" si="32"/>
        <v/>
      </c>
      <c r="BT91" s="25"/>
      <c r="BU91" s="45" t="str">
        <f t="shared" si="33"/>
        <v/>
      </c>
      <c r="BV91" s="29" t="str">
        <f t="shared" si="34"/>
        <v/>
      </c>
      <c r="BW91" s="29">
        <f t="shared" si="35"/>
        <v>0</v>
      </c>
      <c r="BX91" s="29">
        <f t="shared" si="36"/>
        <v>0</v>
      </c>
      <c r="BY91" s="26" t="str">
        <f t="shared" si="37"/>
        <v/>
      </c>
      <c r="BZ91" s="23"/>
      <c r="CA91" s="45" t="str">
        <f t="shared" si="38"/>
        <v/>
      </c>
      <c r="CB91" s="25"/>
      <c r="CC91" s="45" t="str">
        <f t="shared" si="39"/>
        <v/>
      </c>
      <c r="CD91" s="47"/>
      <c r="CE91" s="26" t="str">
        <f t="shared" si="40"/>
        <v/>
      </c>
      <c r="CF91" s="23"/>
      <c r="CG91" s="45" t="str">
        <f t="shared" si="41"/>
        <v/>
      </c>
      <c r="CH91" s="25"/>
      <c r="CI91" s="45" t="str">
        <f t="shared" si="42"/>
        <v/>
      </c>
      <c r="CJ91" s="47"/>
      <c r="CK91" s="26"/>
      <c r="CL91" s="23"/>
      <c r="CM91" s="45" t="str">
        <f t="shared" si="43"/>
        <v/>
      </c>
      <c r="CN91" s="25"/>
      <c r="CO91" s="45" t="str">
        <f t="shared" si="44"/>
        <v/>
      </c>
      <c r="CP91" s="27">
        <v>0.0</v>
      </c>
    </row>
    <row r="92">
      <c r="A92" s="26" t="str">
        <f t="shared" si="1"/>
        <v/>
      </c>
      <c r="B92" s="26"/>
      <c r="C92" s="81"/>
      <c r="D92" s="27"/>
      <c r="E92" s="82"/>
      <c r="F92" s="20"/>
      <c r="G92" s="20"/>
      <c r="H92" s="20"/>
      <c r="I92" s="23"/>
      <c r="J92" s="33"/>
      <c r="K92" s="26" t="str">
        <f t="shared" si="2"/>
        <v/>
      </c>
      <c r="L92" s="23"/>
      <c r="M92" s="45" t="str">
        <f t="shared" si="3"/>
        <v/>
      </c>
      <c r="N92" s="25"/>
      <c r="O92" s="45" t="str">
        <f t="shared" si="4"/>
        <v/>
      </c>
      <c r="P92" s="29" t="str">
        <f t="shared" si="5"/>
        <v/>
      </c>
      <c r="Q92" s="29">
        <f t="shared" si="6"/>
        <v>0</v>
      </c>
      <c r="R92" s="29">
        <f t="shared" si="7"/>
        <v>0</v>
      </c>
      <c r="S92" s="26" t="str">
        <f t="shared" si="8"/>
        <v/>
      </c>
      <c r="T92" s="23"/>
      <c r="U92" s="45" t="str">
        <f t="shared" si="9"/>
        <v/>
      </c>
      <c r="V92" s="25"/>
      <c r="W92" s="45" t="str">
        <f t="shared" si="10"/>
        <v/>
      </c>
      <c r="X92" s="47"/>
      <c r="Y92" s="26" t="str">
        <f t="shared" si="11"/>
        <v/>
      </c>
      <c r="Z92" s="23"/>
      <c r="AA92" s="45" t="str">
        <f t="shared" si="12"/>
        <v/>
      </c>
      <c r="AB92" s="25"/>
      <c r="AC92" s="45" t="str">
        <f t="shared" si="13"/>
        <v/>
      </c>
      <c r="AD92" s="47"/>
      <c r="AE92" s="26"/>
      <c r="AF92" s="23"/>
      <c r="AG92" s="45" t="str">
        <f t="shared" si="14"/>
        <v/>
      </c>
      <c r="AH92" s="25"/>
      <c r="AI92" s="45" t="str">
        <f t="shared" si="15"/>
        <v/>
      </c>
      <c r="AJ92" s="27">
        <v>0.0</v>
      </c>
      <c r="AK92" s="33"/>
      <c r="AL92" s="26" t="str">
        <f t="shared" si="16"/>
        <v/>
      </c>
      <c r="AM92" s="23"/>
      <c r="AN92" s="45" t="str">
        <f t="shared" si="17"/>
        <v/>
      </c>
      <c r="AO92" s="25"/>
      <c r="AP92" s="45" t="str">
        <f t="shared" si="18"/>
        <v/>
      </c>
      <c r="AQ92" s="29" t="str">
        <f t="shared" si="19"/>
        <v/>
      </c>
      <c r="AR92" s="29">
        <f t="shared" si="20"/>
        <v>0</v>
      </c>
      <c r="AS92" s="29">
        <f t="shared" si="21"/>
        <v>0</v>
      </c>
      <c r="AT92" s="26" t="str">
        <f t="shared" si="22"/>
        <v/>
      </c>
      <c r="AU92" s="23"/>
      <c r="AV92" s="45" t="str">
        <f t="shared" si="23"/>
        <v/>
      </c>
      <c r="AW92" s="25"/>
      <c r="AX92" s="45" t="str">
        <f t="shared" si="24"/>
        <v/>
      </c>
      <c r="AY92" s="47"/>
      <c r="AZ92" s="26" t="str">
        <f t="shared" si="25"/>
        <v/>
      </c>
      <c r="BA92" s="23"/>
      <c r="BB92" s="45" t="str">
        <f t="shared" si="26"/>
        <v/>
      </c>
      <c r="BC92" s="25"/>
      <c r="BD92" s="45" t="str">
        <f t="shared" si="27"/>
        <v/>
      </c>
      <c r="BE92" s="47"/>
      <c r="BF92" s="26"/>
      <c r="BG92" s="23"/>
      <c r="BH92" s="45" t="str">
        <f t="shared" si="28"/>
        <v/>
      </c>
      <c r="BI92" s="25"/>
      <c r="BJ92" s="45" t="str">
        <f t="shared" si="29"/>
        <v/>
      </c>
      <c r="BK92" s="27">
        <v>0.0</v>
      </c>
      <c r="BL92" s="23"/>
      <c r="BM92" s="45" t="str">
        <f t="shared" si="30"/>
        <v/>
      </c>
      <c r="BN92" s="25"/>
      <c r="BO92" s="45" t="str">
        <f t="shared" si="31"/>
        <v/>
      </c>
      <c r="BP92" s="27">
        <v>0.0</v>
      </c>
      <c r="BQ92" s="33"/>
      <c r="BR92" s="23"/>
      <c r="BS92" s="45" t="str">
        <f t="shared" si="32"/>
        <v/>
      </c>
      <c r="BT92" s="25"/>
      <c r="BU92" s="45" t="str">
        <f t="shared" si="33"/>
        <v/>
      </c>
      <c r="BV92" s="29" t="str">
        <f t="shared" si="34"/>
        <v/>
      </c>
      <c r="BW92" s="29">
        <f t="shared" si="35"/>
        <v>0</v>
      </c>
      <c r="BX92" s="29">
        <f t="shared" si="36"/>
        <v>0</v>
      </c>
      <c r="BY92" s="26" t="str">
        <f t="shared" si="37"/>
        <v/>
      </c>
      <c r="BZ92" s="23"/>
      <c r="CA92" s="45" t="str">
        <f t="shared" si="38"/>
        <v/>
      </c>
      <c r="CB92" s="25"/>
      <c r="CC92" s="45" t="str">
        <f t="shared" si="39"/>
        <v/>
      </c>
      <c r="CD92" s="47"/>
      <c r="CE92" s="26" t="str">
        <f t="shared" si="40"/>
        <v/>
      </c>
      <c r="CF92" s="23"/>
      <c r="CG92" s="45" t="str">
        <f t="shared" si="41"/>
        <v/>
      </c>
      <c r="CH92" s="25"/>
      <c r="CI92" s="45" t="str">
        <f t="shared" si="42"/>
        <v/>
      </c>
      <c r="CJ92" s="47"/>
      <c r="CK92" s="26"/>
      <c r="CL92" s="23"/>
      <c r="CM92" s="45" t="str">
        <f t="shared" si="43"/>
        <v/>
      </c>
      <c r="CN92" s="25"/>
      <c r="CO92" s="45" t="str">
        <f t="shared" si="44"/>
        <v/>
      </c>
      <c r="CP92" s="27">
        <v>0.0</v>
      </c>
    </row>
    <row r="93">
      <c r="A93" s="26" t="str">
        <f t="shared" si="1"/>
        <v/>
      </c>
      <c r="B93" s="26"/>
      <c r="C93" s="81"/>
      <c r="D93" s="27"/>
      <c r="E93" s="82"/>
      <c r="F93" s="20"/>
      <c r="G93" s="20"/>
      <c r="H93" s="20"/>
      <c r="I93" s="23"/>
      <c r="J93" s="33"/>
      <c r="K93" s="26" t="str">
        <f t="shared" si="2"/>
        <v/>
      </c>
      <c r="L93" s="23"/>
      <c r="M93" s="45" t="str">
        <f t="shared" si="3"/>
        <v/>
      </c>
      <c r="N93" s="25"/>
      <c r="O93" s="45" t="str">
        <f t="shared" si="4"/>
        <v/>
      </c>
      <c r="P93" s="29" t="str">
        <f t="shared" si="5"/>
        <v/>
      </c>
      <c r="Q93" s="29">
        <f t="shared" si="6"/>
        <v>0</v>
      </c>
      <c r="R93" s="29">
        <f t="shared" si="7"/>
        <v>0</v>
      </c>
      <c r="S93" s="26" t="str">
        <f t="shared" si="8"/>
        <v/>
      </c>
      <c r="T93" s="23"/>
      <c r="U93" s="45" t="str">
        <f t="shared" si="9"/>
        <v/>
      </c>
      <c r="V93" s="25"/>
      <c r="W93" s="45" t="str">
        <f t="shared" si="10"/>
        <v/>
      </c>
      <c r="X93" s="47"/>
      <c r="Y93" s="26" t="str">
        <f t="shared" si="11"/>
        <v/>
      </c>
      <c r="Z93" s="23"/>
      <c r="AA93" s="45" t="str">
        <f t="shared" si="12"/>
        <v/>
      </c>
      <c r="AB93" s="25"/>
      <c r="AC93" s="45" t="str">
        <f t="shared" si="13"/>
        <v/>
      </c>
      <c r="AD93" s="47"/>
      <c r="AE93" s="26"/>
      <c r="AF93" s="23"/>
      <c r="AG93" s="45" t="str">
        <f t="shared" si="14"/>
        <v/>
      </c>
      <c r="AH93" s="25"/>
      <c r="AI93" s="45" t="str">
        <f t="shared" si="15"/>
        <v/>
      </c>
      <c r="AJ93" s="27">
        <v>0.0</v>
      </c>
      <c r="AK93" s="33"/>
      <c r="AL93" s="26" t="str">
        <f t="shared" si="16"/>
        <v/>
      </c>
      <c r="AM93" s="23"/>
      <c r="AN93" s="45" t="str">
        <f t="shared" si="17"/>
        <v/>
      </c>
      <c r="AO93" s="25"/>
      <c r="AP93" s="45" t="str">
        <f t="shared" si="18"/>
        <v/>
      </c>
      <c r="AQ93" s="29" t="str">
        <f t="shared" si="19"/>
        <v/>
      </c>
      <c r="AR93" s="29">
        <f t="shared" si="20"/>
        <v>0</v>
      </c>
      <c r="AS93" s="29">
        <f t="shared" si="21"/>
        <v>0</v>
      </c>
      <c r="AT93" s="26" t="str">
        <f t="shared" si="22"/>
        <v/>
      </c>
      <c r="AU93" s="23"/>
      <c r="AV93" s="45" t="str">
        <f t="shared" si="23"/>
        <v/>
      </c>
      <c r="AW93" s="25"/>
      <c r="AX93" s="45" t="str">
        <f t="shared" si="24"/>
        <v/>
      </c>
      <c r="AY93" s="47"/>
      <c r="AZ93" s="26" t="str">
        <f t="shared" si="25"/>
        <v/>
      </c>
      <c r="BA93" s="23"/>
      <c r="BB93" s="45" t="str">
        <f t="shared" si="26"/>
        <v/>
      </c>
      <c r="BC93" s="25"/>
      <c r="BD93" s="45" t="str">
        <f t="shared" si="27"/>
        <v/>
      </c>
      <c r="BE93" s="47"/>
      <c r="BF93" s="26"/>
      <c r="BG93" s="23"/>
      <c r="BH93" s="45" t="str">
        <f t="shared" si="28"/>
        <v/>
      </c>
      <c r="BI93" s="25"/>
      <c r="BJ93" s="45" t="str">
        <f t="shared" si="29"/>
        <v/>
      </c>
      <c r="BK93" s="27">
        <v>0.0</v>
      </c>
      <c r="BL93" s="23"/>
      <c r="BM93" s="45" t="str">
        <f t="shared" si="30"/>
        <v/>
      </c>
      <c r="BN93" s="25"/>
      <c r="BO93" s="45" t="str">
        <f t="shared" si="31"/>
        <v/>
      </c>
      <c r="BP93" s="27">
        <v>0.0</v>
      </c>
      <c r="BQ93" s="33"/>
      <c r="BR93" s="23"/>
      <c r="BS93" s="45" t="str">
        <f t="shared" si="32"/>
        <v/>
      </c>
      <c r="BT93" s="25"/>
      <c r="BU93" s="45" t="str">
        <f t="shared" si="33"/>
        <v/>
      </c>
      <c r="BV93" s="29" t="str">
        <f t="shared" si="34"/>
        <v/>
      </c>
      <c r="BW93" s="29">
        <f t="shared" si="35"/>
        <v>0</v>
      </c>
      <c r="BX93" s="29">
        <f t="shared" si="36"/>
        <v>0</v>
      </c>
      <c r="BY93" s="26" t="str">
        <f t="shared" si="37"/>
        <v/>
      </c>
      <c r="BZ93" s="23"/>
      <c r="CA93" s="45" t="str">
        <f t="shared" si="38"/>
        <v/>
      </c>
      <c r="CB93" s="25"/>
      <c r="CC93" s="45" t="str">
        <f t="shared" si="39"/>
        <v/>
      </c>
      <c r="CD93" s="47"/>
      <c r="CE93" s="26" t="str">
        <f t="shared" si="40"/>
        <v/>
      </c>
      <c r="CF93" s="23"/>
      <c r="CG93" s="45" t="str">
        <f t="shared" si="41"/>
        <v/>
      </c>
      <c r="CH93" s="25"/>
      <c r="CI93" s="45" t="str">
        <f t="shared" si="42"/>
        <v/>
      </c>
      <c r="CJ93" s="47"/>
      <c r="CK93" s="26"/>
      <c r="CL93" s="23"/>
      <c r="CM93" s="45" t="str">
        <f t="shared" si="43"/>
        <v/>
      </c>
      <c r="CN93" s="25"/>
      <c r="CO93" s="45" t="str">
        <f t="shared" si="44"/>
        <v/>
      </c>
      <c r="CP93" s="27">
        <v>0.0</v>
      </c>
    </row>
    <row r="94">
      <c r="A94" s="26" t="str">
        <f t="shared" si="1"/>
        <v/>
      </c>
      <c r="B94" s="26"/>
      <c r="C94" s="81"/>
      <c r="D94" s="27"/>
      <c r="E94" s="82"/>
      <c r="F94" s="20"/>
      <c r="G94" s="20"/>
      <c r="H94" s="20"/>
      <c r="I94" s="23"/>
      <c r="J94" s="33"/>
      <c r="K94" s="26" t="str">
        <f t="shared" si="2"/>
        <v/>
      </c>
      <c r="L94" s="23"/>
      <c r="M94" s="45" t="str">
        <f t="shared" si="3"/>
        <v/>
      </c>
      <c r="N94" s="25"/>
      <c r="O94" s="45" t="str">
        <f t="shared" si="4"/>
        <v/>
      </c>
      <c r="P94" s="29" t="str">
        <f t="shared" si="5"/>
        <v/>
      </c>
      <c r="Q94" s="29">
        <f t="shared" si="6"/>
        <v>0</v>
      </c>
      <c r="R94" s="29">
        <f t="shared" si="7"/>
        <v>0</v>
      </c>
      <c r="S94" s="26" t="str">
        <f t="shared" si="8"/>
        <v/>
      </c>
      <c r="T94" s="23"/>
      <c r="U94" s="45" t="str">
        <f t="shared" si="9"/>
        <v/>
      </c>
      <c r="V94" s="25"/>
      <c r="W94" s="45" t="str">
        <f t="shared" si="10"/>
        <v/>
      </c>
      <c r="X94" s="47"/>
      <c r="Y94" s="26" t="str">
        <f t="shared" si="11"/>
        <v/>
      </c>
      <c r="Z94" s="23"/>
      <c r="AA94" s="45" t="str">
        <f t="shared" si="12"/>
        <v/>
      </c>
      <c r="AB94" s="25"/>
      <c r="AC94" s="45" t="str">
        <f t="shared" si="13"/>
        <v/>
      </c>
      <c r="AD94" s="47"/>
      <c r="AE94" s="26"/>
      <c r="AF94" s="23"/>
      <c r="AG94" s="45" t="str">
        <f t="shared" si="14"/>
        <v/>
      </c>
      <c r="AH94" s="25"/>
      <c r="AI94" s="45" t="str">
        <f t="shared" si="15"/>
        <v/>
      </c>
      <c r="AJ94" s="27">
        <v>0.0</v>
      </c>
      <c r="AK94" s="33"/>
      <c r="AL94" s="26" t="str">
        <f t="shared" si="16"/>
        <v/>
      </c>
      <c r="AM94" s="23"/>
      <c r="AN94" s="45" t="str">
        <f t="shared" si="17"/>
        <v/>
      </c>
      <c r="AO94" s="25"/>
      <c r="AP94" s="45" t="str">
        <f t="shared" si="18"/>
        <v/>
      </c>
      <c r="AQ94" s="29" t="str">
        <f t="shared" si="19"/>
        <v/>
      </c>
      <c r="AR94" s="29">
        <f t="shared" si="20"/>
        <v>0</v>
      </c>
      <c r="AS94" s="29">
        <f t="shared" si="21"/>
        <v>0</v>
      </c>
      <c r="AT94" s="26" t="str">
        <f t="shared" si="22"/>
        <v/>
      </c>
      <c r="AU94" s="23"/>
      <c r="AV94" s="45" t="str">
        <f t="shared" si="23"/>
        <v/>
      </c>
      <c r="AW94" s="25"/>
      <c r="AX94" s="45" t="str">
        <f t="shared" si="24"/>
        <v/>
      </c>
      <c r="AY94" s="47"/>
      <c r="AZ94" s="26" t="str">
        <f t="shared" si="25"/>
        <v/>
      </c>
      <c r="BA94" s="23"/>
      <c r="BB94" s="45" t="str">
        <f t="shared" si="26"/>
        <v/>
      </c>
      <c r="BC94" s="25"/>
      <c r="BD94" s="45" t="str">
        <f t="shared" si="27"/>
        <v/>
      </c>
      <c r="BE94" s="47"/>
      <c r="BF94" s="26"/>
      <c r="BG94" s="23"/>
      <c r="BH94" s="45" t="str">
        <f t="shared" si="28"/>
        <v/>
      </c>
      <c r="BI94" s="25"/>
      <c r="BJ94" s="45" t="str">
        <f t="shared" si="29"/>
        <v/>
      </c>
      <c r="BK94" s="27">
        <v>0.0</v>
      </c>
      <c r="BL94" s="23"/>
      <c r="BM94" s="45" t="str">
        <f t="shared" si="30"/>
        <v/>
      </c>
      <c r="BN94" s="25"/>
      <c r="BO94" s="45" t="str">
        <f t="shared" si="31"/>
        <v/>
      </c>
      <c r="BP94" s="27">
        <v>0.0</v>
      </c>
      <c r="BQ94" s="33"/>
      <c r="BR94" s="23"/>
      <c r="BS94" s="45" t="str">
        <f t="shared" si="32"/>
        <v/>
      </c>
      <c r="BT94" s="25"/>
      <c r="BU94" s="45" t="str">
        <f t="shared" si="33"/>
        <v/>
      </c>
      <c r="BV94" s="29" t="str">
        <f t="shared" si="34"/>
        <v/>
      </c>
      <c r="BW94" s="29">
        <f t="shared" si="35"/>
        <v>0</v>
      </c>
      <c r="BX94" s="29">
        <f t="shared" si="36"/>
        <v>0</v>
      </c>
      <c r="BY94" s="26" t="str">
        <f t="shared" si="37"/>
        <v/>
      </c>
      <c r="BZ94" s="23"/>
      <c r="CA94" s="45" t="str">
        <f t="shared" si="38"/>
        <v/>
      </c>
      <c r="CB94" s="25"/>
      <c r="CC94" s="45" t="str">
        <f t="shared" si="39"/>
        <v/>
      </c>
      <c r="CD94" s="47"/>
      <c r="CE94" s="26" t="str">
        <f t="shared" si="40"/>
        <v/>
      </c>
      <c r="CF94" s="23"/>
      <c r="CG94" s="45" t="str">
        <f t="shared" si="41"/>
        <v/>
      </c>
      <c r="CH94" s="25"/>
      <c r="CI94" s="45" t="str">
        <f t="shared" si="42"/>
        <v/>
      </c>
      <c r="CJ94" s="47"/>
      <c r="CK94" s="26"/>
      <c r="CL94" s="23"/>
      <c r="CM94" s="45" t="str">
        <f t="shared" si="43"/>
        <v/>
      </c>
      <c r="CN94" s="25"/>
      <c r="CO94" s="45" t="str">
        <f t="shared" si="44"/>
        <v/>
      </c>
      <c r="CP94" s="27">
        <v>0.0</v>
      </c>
    </row>
    <row r="95">
      <c r="A95" s="26" t="str">
        <f t="shared" si="1"/>
        <v/>
      </c>
      <c r="B95" s="26"/>
      <c r="C95" s="81"/>
      <c r="D95" s="27"/>
      <c r="E95" s="82"/>
      <c r="F95" s="20"/>
      <c r="G95" s="20"/>
      <c r="H95" s="20"/>
      <c r="I95" s="23"/>
      <c r="J95" s="33"/>
      <c r="K95" s="26" t="str">
        <f t="shared" si="2"/>
        <v/>
      </c>
      <c r="L95" s="23"/>
      <c r="M95" s="45" t="str">
        <f t="shared" si="3"/>
        <v/>
      </c>
      <c r="N95" s="25"/>
      <c r="O95" s="45" t="str">
        <f t="shared" si="4"/>
        <v/>
      </c>
      <c r="P95" s="29" t="str">
        <f t="shared" si="5"/>
        <v/>
      </c>
      <c r="Q95" s="29">
        <f t="shared" si="6"/>
        <v>0</v>
      </c>
      <c r="R95" s="29">
        <f t="shared" si="7"/>
        <v>0</v>
      </c>
      <c r="S95" s="26" t="str">
        <f t="shared" si="8"/>
        <v/>
      </c>
      <c r="T95" s="23"/>
      <c r="U95" s="45" t="str">
        <f t="shared" si="9"/>
        <v/>
      </c>
      <c r="V95" s="25"/>
      <c r="W95" s="45" t="str">
        <f t="shared" si="10"/>
        <v/>
      </c>
      <c r="X95" s="47"/>
      <c r="Y95" s="26" t="str">
        <f t="shared" si="11"/>
        <v/>
      </c>
      <c r="Z95" s="23"/>
      <c r="AA95" s="45" t="str">
        <f t="shared" si="12"/>
        <v/>
      </c>
      <c r="AB95" s="25"/>
      <c r="AC95" s="45" t="str">
        <f t="shared" si="13"/>
        <v/>
      </c>
      <c r="AD95" s="47"/>
      <c r="AE95" s="26"/>
      <c r="AF95" s="23"/>
      <c r="AG95" s="45" t="str">
        <f t="shared" si="14"/>
        <v/>
      </c>
      <c r="AH95" s="25"/>
      <c r="AI95" s="45" t="str">
        <f t="shared" si="15"/>
        <v/>
      </c>
      <c r="AJ95" s="27">
        <v>0.0</v>
      </c>
      <c r="AK95" s="33"/>
      <c r="AL95" s="26" t="str">
        <f t="shared" si="16"/>
        <v/>
      </c>
      <c r="AM95" s="23"/>
      <c r="AN95" s="45" t="str">
        <f t="shared" si="17"/>
        <v/>
      </c>
      <c r="AO95" s="25"/>
      <c r="AP95" s="45" t="str">
        <f t="shared" si="18"/>
        <v/>
      </c>
      <c r="AQ95" s="29" t="str">
        <f t="shared" si="19"/>
        <v/>
      </c>
      <c r="AR95" s="29">
        <f t="shared" si="20"/>
        <v>0</v>
      </c>
      <c r="AS95" s="29">
        <f t="shared" si="21"/>
        <v>0</v>
      </c>
      <c r="AT95" s="26" t="str">
        <f t="shared" si="22"/>
        <v/>
      </c>
      <c r="AU95" s="23"/>
      <c r="AV95" s="45" t="str">
        <f t="shared" si="23"/>
        <v/>
      </c>
      <c r="AW95" s="25"/>
      <c r="AX95" s="45" t="str">
        <f t="shared" si="24"/>
        <v/>
      </c>
      <c r="AY95" s="47"/>
      <c r="AZ95" s="26" t="str">
        <f t="shared" si="25"/>
        <v/>
      </c>
      <c r="BA95" s="23"/>
      <c r="BB95" s="45" t="str">
        <f t="shared" si="26"/>
        <v/>
      </c>
      <c r="BC95" s="25"/>
      <c r="BD95" s="45" t="str">
        <f t="shared" si="27"/>
        <v/>
      </c>
      <c r="BE95" s="47"/>
      <c r="BF95" s="26"/>
      <c r="BG95" s="23"/>
      <c r="BH95" s="45" t="str">
        <f t="shared" si="28"/>
        <v/>
      </c>
      <c r="BI95" s="25"/>
      <c r="BJ95" s="45" t="str">
        <f t="shared" si="29"/>
        <v/>
      </c>
      <c r="BK95" s="27">
        <v>0.0</v>
      </c>
      <c r="BL95" s="23"/>
      <c r="BM95" s="45" t="str">
        <f t="shared" si="30"/>
        <v/>
      </c>
      <c r="BN95" s="25"/>
      <c r="BO95" s="45" t="str">
        <f t="shared" si="31"/>
        <v/>
      </c>
      <c r="BP95" s="27">
        <v>0.0</v>
      </c>
      <c r="BQ95" s="33"/>
      <c r="BR95" s="23"/>
      <c r="BS95" s="45" t="str">
        <f t="shared" si="32"/>
        <v/>
      </c>
      <c r="BT95" s="25"/>
      <c r="BU95" s="45" t="str">
        <f t="shared" si="33"/>
        <v/>
      </c>
      <c r="BV95" s="29" t="str">
        <f t="shared" si="34"/>
        <v/>
      </c>
      <c r="BW95" s="29">
        <f t="shared" si="35"/>
        <v>0</v>
      </c>
      <c r="BX95" s="29">
        <f t="shared" si="36"/>
        <v>0</v>
      </c>
      <c r="BY95" s="26" t="str">
        <f t="shared" si="37"/>
        <v/>
      </c>
      <c r="BZ95" s="23"/>
      <c r="CA95" s="45" t="str">
        <f t="shared" si="38"/>
        <v/>
      </c>
      <c r="CB95" s="25"/>
      <c r="CC95" s="45" t="str">
        <f t="shared" si="39"/>
        <v/>
      </c>
      <c r="CD95" s="47"/>
      <c r="CE95" s="26" t="str">
        <f t="shared" si="40"/>
        <v/>
      </c>
      <c r="CF95" s="23"/>
      <c r="CG95" s="45" t="str">
        <f t="shared" si="41"/>
        <v/>
      </c>
      <c r="CH95" s="25"/>
      <c r="CI95" s="45" t="str">
        <f t="shared" si="42"/>
        <v/>
      </c>
      <c r="CJ95" s="47"/>
      <c r="CK95" s="26"/>
      <c r="CL95" s="23"/>
      <c r="CM95" s="45" t="str">
        <f t="shared" si="43"/>
        <v/>
      </c>
      <c r="CN95" s="25"/>
      <c r="CO95" s="45" t="str">
        <f t="shared" si="44"/>
        <v/>
      </c>
      <c r="CP95" s="27">
        <v>0.0</v>
      </c>
    </row>
    <row r="96">
      <c r="A96" s="26" t="str">
        <f t="shared" si="1"/>
        <v/>
      </c>
      <c r="B96" s="26"/>
      <c r="C96" s="81"/>
      <c r="D96" s="27"/>
      <c r="E96" s="82"/>
      <c r="F96" s="20"/>
      <c r="G96" s="20"/>
      <c r="H96" s="20"/>
      <c r="I96" s="23"/>
      <c r="J96" s="33"/>
      <c r="K96" s="26" t="str">
        <f t="shared" si="2"/>
        <v/>
      </c>
      <c r="L96" s="23"/>
      <c r="M96" s="45" t="str">
        <f t="shared" si="3"/>
        <v/>
      </c>
      <c r="N96" s="25"/>
      <c r="O96" s="45" t="str">
        <f t="shared" si="4"/>
        <v/>
      </c>
      <c r="P96" s="29" t="str">
        <f t="shared" si="5"/>
        <v/>
      </c>
      <c r="Q96" s="29">
        <f t="shared" si="6"/>
        <v>0</v>
      </c>
      <c r="R96" s="29">
        <f t="shared" si="7"/>
        <v>0</v>
      </c>
      <c r="S96" s="26" t="str">
        <f t="shared" si="8"/>
        <v/>
      </c>
      <c r="T96" s="23"/>
      <c r="U96" s="45" t="str">
        <f t="shared" si="9"/>
        <v/>
      </c>
      <c r="V96" s="25"/>
      <c r="W96" s="45" t="str">
        <f t="shared" si="10"/>
        <v/>
      </c>
      <c r="X96" s="47"/>
      <c r="Y96" s="26" t="str">
        <f t="shared" si="11"/>
        <v/>
      </c>
      <c r="Z96" s="23"/>
      <c r="AA96" s="45" t="str">
        <f t="shared" si="12"/>
        <v/>
      </c>
      <c r="AB96" s="25"/>
      <c r="AC96" s="45" t="str">
        <f t="shared" si="13"/>
        <v/>
      </c>
      <c r="AD96" s="47"/>
      <c r="AE96" s="26"/>
      <c r="AF96" s="23"/>
      <c r="AG96" s="45" t="str">
        <f t="shared" si="14"/>
        <v/>
      </c>
      <c r="AH96" s="25"/>
      <c r="AI96" s="45" t="str">
        <f t="shared" si="15"/>
        <v/>
      </c>
      <c r="AJ96" s="27">
        <v>0.0</v>
      </c>
      <c r="AK96" s="33"/>
      <c r="AL96" s="26" t="str">
        <f t="shared" si="16"/>
        <v/>
      </c>
      <c r="AM96" s="23"/>
      <c r="AN96" s="45" t="str">
        <f t="shared" si="17"/>
        <v/>
      </c>
      <c r="AO96" s="25"/>
      <c r="AP96" s="45" t="str">
        <f t="shared" si="18"/>
        <v/>
      </c>
      <c r="AQ96" s="29" t="str">
        <f t="shared" si="19"/>
        <v/>
      </c>
      <c r="AR96" s="29">
        <f t="shared" si="20"/>
        <v>0</v>
      </c>
      <c r="AS96" s="29">
        <f t="shared" si="21"/>
        <v>0</v>
      </c>
      <c r="AT96" s="26" t="str">
        <f t="shared" si="22"/>
        <v/>
      </c>
      <c r="AU96" s="23"/>
      <c r="AV96" s="45" t="str">
        <f t="shared" si="23"/>
        <v/>
      </c>
      <c r="AW96" s="25"/>
      <c r="AX96" s="45" t="str">
        <f t="shared" si="24"/>
        <v/>
      </c>
      <c r="AY96" s="47"/>
      <c r="AZ96" s="26" t="str">
        <f t="shared" si="25"/>
        <v/>
      </c>
      <c r="BA96" s="23"/>
      <c r="BB96" s="45" t="str">
        <f t="shared" si="26"/>
        <v/>
      </c>
      <c r="BC96" s="25"/>
      <c r="BD96" s="45" t="str">
        <f t="shared" si="27"/>
        <v/>
      </c>
      <c r="BE96" s="47"/>
      <c r="BF96" s="26"/>
      <c r="BG96" s="23"/>
      <c r="BH96" s="45" t="str">
        <f t="shared" si="28"/>
        <v/>
      </c>
      <c r="BI96" s="25"/>
      <c r="BJ96" s="45" t="str">
        <f t="shared" si="29"/>
        <v/>
      </c>
      <c r="BK96" s="27">
        <v>0.0</v>
      </c>
      <c r="BL96" s="23"/>
      <c r="BM96" s="45" t="str">
        <f t="shared" si="30"/>
        <v/>
      </c>
      <c r="BN96" s="25"/>
      <c r="BO96" s="45" t="str">
        <f t="shared" si="31"/>
        <v/>
      </c>
      <c r="BP96" s="27">
        <v>0.0</v>
      </c>
      <c r="BQ96" s="33"/>
      <c r="BR96" s="23"/>
      <c r="BS96" s="45" t="str">
        <f t="shared" si="32"/>
        <v/>
      </c>
      <c r="BT96" s="25"/>
      <c r="BU96" s="45" t="str">
        <f t="shared" si="33"/>
        <v/>
      </c>
      <c r="BV96" s="29" t="str">
        <f t="shared" si="34"/>
        <v/>
      </c>
      <c r="BW96" s="29">
        <f t="shared" si="35"/>
        <v>0</v>
      </c>
      <c r="BX96" s="29">
        <f t="shared" si="36"/>
        <v>0</v>
      </c>
      <c r="BY96" s="26" t="str">
        <f t="shared" si="37"/>
        <v/>
      </c>
      <c r="BZ96" s="23"/>
      <c r="CA96" s="45" t="str">
        <f t="shared" si="38"/>
        <v/>
      </c>
      <c r="CB96" s="25"/>
      <c r="CC96" s="45" t="str">
        <f t="shared" si="39"/>
        <v/>
      </c>
      <c r="CD96" s="47"/>
      <c r="CE96" s="26" t="str">
        <f t="shared" si="40"/>
        <v/>
      </c>
      <c r="CF96" s="23"/>
      <c r="CG96" s="45" t="str">
        <f t="shared" si="41"/>
        <v/>
      </c>
      <c r="CH96" s="25"/>
      <c r="CI96" s="45" t="str">
        <f t="shared" si="42"/>
        <v/>
      </c>
      <c r="CJ96" s="47"/>
      <c r="CK96" s="26"/>
      <c r="CL96" s="23"/>
      <c r="CM96" s="45" t="str">
        <f t="shared" si="43"/>
        <v/>
      </c>
      <c r="CN96" s="25"/>
      <c r="CO96" s="45" t="str">
        <f t="shared" si="44"/>
        <v/>
      </c>
      <c r="CP96" s="27">
        <v>0.0</v>
      </c>
    </row>
    <row r="97">
      <c r="A97" s="26" t="str">
        <f t="shared" si="1"/>
        <v/>
      </c>
      <c r="B97" s="26"/>
      <c r="C97" s="81"/>
      <c r="D97" s="27"/>
      <c r="E97" s="82"/>
      <c r="F97" s="20"/>
      <c r="G97" s="20"/>
      <c r="H97" s="20"/>
      <c r="I97" s="23"/>
      <c r="J97" s="33"/>
      <c r="K97" s="26" t="str">
        <f t="shared" si="2"/>
        <v/>
      </c>
      <c r="L97" s="23"/>
      <c r="M97" s="45" t="str">
        <f t="shared" si="3"/>
        <v/>
      </c>
      <c r="N97" s="25"/>
      <c r="O97" s="45" t="str">
        <f t="shared" si="4"/>
        <v/>
      </c>
      <c r="P97" s="29" t="str">
        <f t="shared" si="5"/>
        <v/>
      </c>
      <c r="Q97" s="29">
        <f t="shared" si="6"/>
        <v>0</v>
      </c>
      <c r="R97" s="29">
        <f t="shared" si="7"/>
        <v>0</v>
      </c>
      <c r="S97" s="26" t="str">
        <f t="shared" si="8"/>
        <v/>
      </c>
      <c r="T97" s="23"/>
      <c r="U97" s="45" t="str">
        <f t="shared" si="9"/>
        <v/>
      </c>
      <c r="V97" s="25"/>
      <c r="W97" s="45" t="str">
        <f t="shared" si="10"/>
        <v/>
      </c>
      <c r="X97" s="47"/>
      <c r="Y97" s="26" t="str">
        <f t="shared" si="11"/>
        <v/>
      </c>
      <c r="Z97" s="23"/>
      <c r="AA97" s="45" t="str">
        <f t="shared" si="12"/>
        <v/>
      </c>
      <c r="AB97" s="25"/>
      <c r="AC97" s="45" t="str">
        <f t="shared" si="13"/>
        <v/>
      </c>
      <c r="AD97" s="47"/>
      <c r="AE97" s="26"/>
      <c r="AF97" s="23"/>
      <c r="AG97" s="45" t="str">
        <f t="shared" si="14"/>
        <v/>
      </c>
      <c r="AH97" s="25"/>
      <c r="AI97" s="45" t="str">
        <f t="shared" si="15"/>
        <v/>
      </c>
      <c r="AJ97" s="27">
        <v>0.0</v>
      </c>
      <c r="AK97" s="33"/>
      <c r="AL97" s="26" t="str">
        <f t="shared" si="16"/>
        <v/>
      </c>
      <c r="AM97" s="23"/>
      <c r="AN97" s="45" t="str">
        <f t="shared" si="17"/>
        <v/>
      </c>
      <c r="AO97" s="25"/>
      <c r="AP97" s="45" t="str">
        <f t="shared" si="18"/>
        <v/>
      </c>
      <c r="AQ97" s="29" t="str">
        <f t="shared" si="19"/>
        <v/>
      </c>
      <c r="AR97" s="29">
        <f t="shared" si="20"/>
        <v>0</v>
      </c>
      <c r="AS97" s="29">
        <f t="shared" si="21"/>
        <v>0</v>
      </c>
      <c r="AT97" s="26" t="str">
        <f t="shared" si="22"/>
        <v/>
      </c>
      <c r="AU97" s="23"/>
      <c r="AV97" s="45" t="str">
        <f t="shared" si="23"/>
        <v/>
      </c>
      <c r="AW97" s="25"/>
      <c r="AX97" s="45" t="str">
        <f t="shared" si="24"/>
        <v/>
      </c>
      <c r="AY97" s="47"/>
      <c r="AZ97" s="26" t="str">
        <f t="shared" si="25"/>
        <v/>
      </c>
      <c r="BA97" s="23"/>
      <c r="BB97" s="45" t="str">
        <f t="shared" si="26"/>
        <v/>
      </c>
      <c r="BC97" s="25"/>
      <c r="BD97" s="45" t="str">
        <f t="shared" si="27"/>
        <v/>
      </c>
      <c r="BE97" s="47"/>
      <c r="BF97" s="26"/>
      <c r="BG97" s="23"/>
      <c r="BH97" s="45" t="str">
        <f t="shared" si="28"/>
        <v/>
      </c>
      <c r="BI97" s="25"/>
      <c r="BJ97" s="45" t="str">
        <f t="shared" si="29"/>
        <v/>
      </c>
      <c r="BK97" s="27">
        <v>0.0</v>
      </c>
      <c r="BL97" s="23"/>
      <c r="BM97" s="45" t="str">
        <f t="shared" si="30"/>
        <v/>
      </c>
      <c r="BN97" s="25"/>
      <c r="BO97" s="45" t="str">
        <f t="shared" si="31"/>
        <v/>
      </c>
      <c r="BP97" s="27">
        <v>0.0</v>
      </c>
      <c r="BQ97" s="33"/>
      <c r="BR97" s="23"/>
      <c r="BS97" s="45" t="str">
        <f t="shared" si="32"/>
        <v/>
      </c>
      <c r="BT97" s="25"/>
      <c r="BU97" s="45" t="str">
        <f t="shared" si="33"/>
        <v/>
      </c>
      <c r="BV97" s="29" t="str">
        <f t="shared" si="34"/>
        <v/>
      </c>
      <c r="BW97" s="29">
        <f t="shared" si="35"/>
        <v>0</v>
      </c>
      <c r="BX97" s="29">
        <f t="shared" si="36"/>
        <v>0</v>
      </c>
      <c r="BY97" s="26" t="str">
        <f t="shared" si="37"/>
        <v/>
      </c>
      <c r="BZ97" s="23"/>
      <c r="CA97" s="45" t="str">
        <f t="shared" si="38"/>
        <v/>
      </c>
      <c r="CB97" s="25"/>
      <c r="CC97" s="45" t="str">
        <f t="shared" si="39"/>
        <v/>
      </c>
      <c r="CD97" s="47"/>
      <c r="CE97" s="26" t="str">
        <f t="shared" si="40"/>
        <v/>
      </c>
      <c r="CF97" s="23"/>
      <c r="CG97" s="45" t="str">
        <f t="shared" si="41"/>
        <v/>
      </c>
      <c r="CH97" s="25"/>
      <c r="CI97" s="45" t="str">
        <f t="shared" si="42"/>
        <v/>
      </c>
      <c r="CJ97" s="47"/>
      <c r="CK97" s="26"/>
      <c r="CL97" s="23"/>
      <c r="CM97" s="45" t="str">
        <f t="shared" si="43"/>
        <v/>
      </c>
      <c r="CN97" s="25"/>
      <c r="CO97" s="45" t="str">
        <f t="shared" si="44"/>
        <v/>
      </c>
      <c r="CP97" s="27">
        <v>0.0</v>
      </c>
    </row>
    <row r="98">
      <c r="A98" s="26" t="str">
        <f t="shared" si="1"/>
        <v/>
      </c>
      <c r="B98" s="26"/>
      <c r="C98" s="81"/>
      <c r="D98" s="27"/>
      <c r="E98" s="82"/>
      <c r="F98" s="20"/>
      <c r="G98" s="20"/>
      <c r="H98" s="20"/>
      <c r="I98" s="23"/>
      <c r="J98" s="33"/>
      <c r="K98" s="26" t="str">
        <f t="shared" si="2"/>
        <v/>
      </c>
      <c r="L98" s="23"/>
      <c r="M98" s="45" t="str">
        <f t="shared" si="3"/>
        <v/>
      </c>
      <c r="N98" s="25"/>
      <c r="O98" s="45" t="str">
        <f t="shared" si="4"/>
        <v/>
      </c>
      <c r="P98" s="29" t="str">
        <f t="shared" si="5"/>
        <v/>
      </c>
      <c r="Q98" s="29">
        <f t="shared" si="6"/>
        <v>0</v>
      </c>
      <c r="R98" s="29">
        <f t="shared" si="7"/>
        <v>0</v>
      </c>
      <c r="S98" s="26" t="str">
        <f t="shared" si="8"/>
        <v/>
      </c>
      <c r="T98" s="23"/>
      <c r="U98" s="45" t="str">
        <f t="shared" si="9"/>
        <v/>
      </c>
      <c r="V98" s="25"/>
      <c r="W98" s="45" t="str">
        <f t="shared" si="10"/>
        <v/>
      </c>
      <c r="X98" s="47"/>
      <c r="Y98" s="26" t="str">
        <f t="shared" si="11"/>
        <v/>
      </c>
      <c r="Z98" s="23"/>
      <c r="AA98" s="45" t="str">
        <f t="shared" si="12"/>
        <v/>
      </c>
      <c r="AB98" s="25"/>
      <c r="AC98" s="45" t="str">
        <f t="shared" si="13"/>
        <v/>
      </c>
      <c r="AD98" s="47"/>
      <c r="AE98" s="26"/>
      <c r="AF98" s="23"/>
      <c r="AG98" s="45" t="str">
        <f t="shared" si="14"/>
        <v/>
      </c>
      <c r="AH98" s="25"/>
      <c r="AI98" s="45" t="str">
        <f t="shared" si="15"/>
        <v/>
      </c>
      <c r="AJ98" s="27">
        <v>0.0</v>
      </c>
      <c r="AK98" s="33"/>
      <c r="AL98" s="26" t="str">
        <f t="shared" si="16"/>
        <v/>
      </c>
      <c r="AM98" s="23"/>
      <c r="AN98" s="45" t="str">
        <f t="shared" si="17"/>
        <v/>
      </c>
      <c r="AO98" s="25"/>
      <c r="AP98" s="45" t="str">
        <f t="shared" si="18"/>
        <v/>
      </c>
      <c r="AQ98" s="29" t="str">
        <f t="shared" si="19"/>
        <v/>
      </c>
      <c r="AR98" s="29">
        <f t="shared" si="20"/>
        <v>0</v>
      </c>
      <c r="AS98" s="29">
        <f t="shared" si="21"/>
        <v>0</v>
      </c>
      <c r="AT98" s="26" t="str">
        <f t="shared" si="22"/>
        <v/>
      </c>
      <c r="AU98" s="23"/>
      <c r="AV98" s="45" t="str">
        <f t="shared" si="23"/>
        <v/>
      </c>
      <c r="AW98" s="25"/>
      <c r="AX98" s="45" t="str">
        <f t="shared" si="24"/>
        <v/>
      </c>
      <c r="AY98" s="47"/>
      <c r="AZ98" s="26" t="str">
        <f t="shared" si="25"/>
        <v/>
      </c>
      <c r="BA98" s="23"/>
      <c r="BB98" s="45" t="str">
        <f t="shared" si="26"/>
        <v/>
      </c>
      <c r="BC98" s="25"/>
      <c r="BD98" s="45" t="str">
        <f t="shared" si="27"/>
        <v/>
      </c>
      <c r="BE98" s="47"/>
      <c r="BF98" s="26"/>
      <c r="BG98" s="23"/>
      <c r="BH98" s="45" t="str">
        <f t="shared" si="28"/>
        <v/>
      </c>
      <c r="BI98" s="25"/>
      <c r="BJ98" s="45" t="str">
        <f t="shared" si="29"/>
        <v/>
      </c>
      <c r="BK98" s="27">
        <v>0.0</v>
      </c>
      <c r="BL98" s="23"/>
      <c r="BM98" s="45" t="str">
        <f t="shared" si="30"/>
        <v/>
      </c>
      <c r="BN98" s="25"/>
      <c r="BO98" s="45" t="str">
        <f t="shared" si="31"/>
        <v/>
      </c>
      <c r="BP98" s="27">
        <v>0.0</v>
      </c>
      <c r="BQ98" s="33"/>
      <c r="BR98" s="23"/>
      <c r="BS98" s="45" t="str">
        <f t="shared" si="32"/>
        <v/>
      </c>
      <c r="BT98" s="25"/>
      <c r="BU98" s="45" t="str">
        <f t="shared" si="33"/>
        <v/>
      </c>
      <c r="BV98" s="29" t="str">
        <f t="shared" si="34"/>
        <v/>
      </c>
      <c r="BW98" s="29">
        <f t="shared" si="35"/>
        <v>0</v>
      </c>
      <c r="BX98" s="29">
        <f t="shared" si="36"/>
        <v>0</v>
      </c>
      <c r="BY98" s="26" t="str">
        <f t="shared" si="37"/>
        <v/>
      </c>
      <c r="BZ98" s="23"/>
      <c r="CA98" s="45" t="str">
        <f t="shared" si="38"/>
        <v/>
      </c>
      <c r="CB98" s="25"/>
      <c r="CC98" s="45" t="str">
        <f t="shared" si="39"/>
        <v/>
      </c>
      <c r="CD98" s="47"/>
      <c r="CE98" s="26" t="str">
        <f t="shared" si="40"/>
        <v/>
      </c>
      <c r="CF98" s="23"/>
      <c r="CG98" s="45" t="str">
        <f t="shared" si="41"/>
        <v/>
      </c>
      <c r="CH98" s="25"/>
      <c r="CI98" s="45" t="str">
        <f t="shared" si="42"/>
        <v/>
      </c>
      <c r="CJ98" s="47"/>
      <c r="CK98" s="26"/>
      <c r="CL98" s="23"/>
      <c r="CM98" s="45" t="str">
        <f t="shared" si="43"/>
        <v/>
      </c>
      <c r="CN98" s="25"/>
      <c r="CO98" s="45" t="str">
        <f t="shared" si="44"/>
        <v/>
      </c>
      <c r="CP98" s="27">
        <v>0.0</v>
      </c>
    </row>
    <row r="99">
      <c r="A99" s="26" t="str">
        <f t="shared" si="1"/>
        <v/>
      </c>
      <c r="B99" s="26"/>
      <c r="C99" s="81"/>
      <c r="D99" s="27"/>
      <c r="E99" s="82"/>
      <c r="F99" s="20"/>
      <c r="G99" s="20"/>
      <c r="H99" s="20"/>
      <c r="I99" s="23"/>
      <c r="J99" s="33"/>
      <c r="K99" s="26" t="str">
        <f t="shared" si="2"/>
        <v/>
      </c>
      <c r="L99" s="23"/>
      <c r="M99" s="45" t="str">
        <f t="shared" si="3"/>
        <v/>
      </c>
      <c r="N99" s="25"/>
      <c r="O99" s="45" t="str">
        <f t="shared" si="4"/>
        <v/>
      </c>
      <c r="P99" s="29" t="str">
        <f t="shared" si="5"/>
        <v/>
      </c>
      <c r="Q99" s="29">
        <f t="shared" si="6"/>
        <v>0</v>
      </c>
      <c r="R99" s="29">
        <f t="shared" si="7"/>
        <v>0</v>
      </c>
      <c r="S99" s="26" t="str">
        <f t="shared" si="8"/>
        <v/>
      </c>
      <c r="T99" s="23"/>
      <c r="U99" s="45" t="str">
        <f t="shared" si="9"/>
        <v/>
      </c>
      <c r="V99" s="25"/>
      <c r="W99" s="45" t="str">
        <f t="shared" si="10"/>
        <v/>
      </c>
      <c r="X99" s="47"/>
      <c r="Y99" s="26" t="str">
        <f t="shared" si="11"/>
        <v/>
      </c>
      <c r="Z99" s="23"/>
      <c r="AA99" s="45" t="str">
        <f t="shared" si="12"/>
        <v/>
      </c>
      <c r="AB99" s="25"/>
      <c r="AC99" s="45" t="str">
        <f t="shared" si="13"/>
        <v/>
      </c>
      <c r="AD99" s="47"/>
      <c r="AE99" s="26"/>
      <c r="AF99" s="23"/>
      <c r="AG99" s="45" t="str">
        <f t="shared" si="14"/>
        <v/>
      </c>
      <c r="AH99" s="25"/>
      <c r="AI99" s="45" t="str">
        <f t="shared" si="15"/>
        <v/>
      </c>
      <c r="AJ99" s="27">
        <v>0.0</v>
      </c>
      <c r="AK99" s="33"/>
      <c r="AL99" s="26" t="str">
        <f t="shared" si="16"/>
        <v/>
      </c>
      <c r="AM99" s="23"/>
      <c r="AN99" s="45" t="str">
        <f t="shared" si="17"/>
        <v/>
      </c>
      <c r="AO99" s="25"/>
      <c r="AP99" s="45" t="str">
        <f t="shared" si="18"/>
        <v/>
      </c>
      <c r="AQ99" s="29" t="str">
        <f t="shared" si="19"/>
        <v/>
      </c>
      <c r="AR99" s="29">
        <f t="shared" si="20"/>
        <v>0</v>
      </c>
      <c r="AS99" s="29">
        <f t="shared" si="21"/>
        <v>0</v>
      </c>
      <c r="AT99" s="26" t="str">
        <f t="shared" si="22"/>
        <v/>
      </c>
      <c r="AU99" s="23"/>
      <c r="AV99" s="45" t="str">
        <f t="shared" si="23"/>
        <v/>
      </c>
      <c r="AW99" s="25"/>
      <c r="AX99" s="45" t="str">
        <f t="shared" si="24"/>
        <v/>
      </c>
      <c r="AY99" s="47"/>
      <c r="AZ99" s="26" t="str">
        <f t="shared" si="25"/>
        <v/>
      </c>
      <c r="BA99" s="23"/>
      <c r="BB99" s="45" t="str">
        <f t="shared" si="26"/>
        <v/>
      </c>
      <c r="BC99" s="25"/>
      <c r="BD99" s="45" t="str">
        <f t="shared" si="27"/>
        <v/>
      </c>
      <c r="BE99" s="47"/>
      <c r="BF99" s="26"/>
      <c r="BG99" s="23"/>
      <c r="BH99" s="45" t="str">
        <f t="shared" si="28"/>
        <v/>
      </c>
      <c r="BI99" s="25"/>
      <c r="BJ99" s="45" t="str">
        <f t="shared" si="29"/>
        <v/>
      </c>
      <c r="BK99" s="27">
        <v>0.0</v>
      </c>
      <c r="BL99" s="23"/>
      <c r="BM99" s="45" t="str">
        <f t="shared" si="30"/>
        <v/>
      </c>
      <c r="BN99" s="25"/>
      <c r="BO99" s="45" t="str">
        <f t="shared" si="31"/>
        <v/>
      </c>
      <c r="BP99" s="27">
        <v>0.0</v>
      </c>
      <c r="BQ99" s="33"/>
      <c r="BR99" s="23"/>
      <c r="BS99" s="45" t="str">
        <f t="shared" si="32"/>
        <v/>
      </c>
      <c r="BT99" s="25"/>
      <c r="BU99" s="45" t="str">
        <f t="shared" si="33"/>
        <v/>
      </c>
      <c r="BV99" s="29" t="str">
        <f t="shared" si="34"/>
        <v/>
      </c>
      <c r="BW99" s="29">
        <f t="shared" si="35"/>
        <v>0</v>
      </c>
      <c r="BX99" s="29">
        <f t="shared" si="36"/>
        <v>0</v>
      </c>
      <c r="BY99" s="26" t="str">
        <f t="shared" si="37"/>
        <v/>
      </c>
      <c r="BZ99" s="23"/>
      <c r="CA99" s="45" t="str">
        <f t="shared" si="38"/>
        <v/>
      </c>
      <c r="CB99" s="25"/>
      <c r="CC99" s="45" t="str">
        <f t="shared" si="39"/>
        <v/>
      </c>
      <c r="CD99" s="47"/>
      <c r="CE99" s="26" t="str">
        <f t="shared" si="40"/>
        <v/>
      </c>
      <c r="CF99" s="23"/>
      <c r="CG99" s="45" t="str">
        <f t="shared" si="41"/>
        <v/>
      </c>
      <c r="CH99" s="25"/>
      <c r="CI99" s="45" t="str">
        <f t="shared" si="42"/>
        <v/>
      </c>
      <c r="CJ99" s="47"/>
      <c r="CK99" s="26"/>
      <c r="CL99" s="23"/>
      <c r="CM99" s="45" t="str">
        <f t="shared" si="43"/>
        <v/>
      </c>
      <c r="CN99" s="25"/>
      <c r="CO99" s="45" t="str">
        <f t="shared" si="44"/>
        <v/>
      </c>
      <c r="CP99" s="27">
        <v>0.0</v>
      </c>
    </row>
    <row r="100">
      <c r="A100" s="26" t="str">
        <f t="shared" si="1"/>
        <v/>
      </c>
      <c r="B100" s="26"/>
      <c r="C100" s="81"/>
      <c r="D100" s="27"/>
      <c r="E100" s="82"/>
      <c r="F100" s="20"/>
      <c r="G100" s="20"/>
      <c r="H100" s="20"/>
      <c r="I100" s="23"/>
      <c r="J100" s="33"/>
      <c r="K100" s="26" t="str">
        <f t="shared" si="2"/>
        <v/>
      </c>
      <c r="L100" s="23"/>
      <c r="M100" s="45" t="str">
        <f t="shared" si="3"/>
        <v/>
      </c>
      <c r="N100" s="25"/>
      <c r="O100" s="45" t="str">
        <f t="shared" si="4"/>
        <v/>
      </c>
      <c r="P100" s="29" t="str">
        <f t="shared" si="5"/>
        <v/>
      </c>
      <c r="Q100" s="29">
        <f t="shared" si="6"/>
        <v>0</v>
      </c>
      <c r="R100" s="29">
        <f t="shared" si="7"/>
        <v>0</v>
      </c>
      <c r="S100" s="26" t="str">
        <f t="shared" si="8"/>
        <v/>
      </c>
      <c r="T100" s="23"/>
      <c r="U100" s="45" t="str">
        <f t="shared" si="9"/>
        <v/>
      </c>
      <c r="V100" s="25"/>
      <c r="W100" s="45" t="str">
        <f t="shared" si="10"/>
        <v/>
      </c>
      <c r="X100" s="47"/>
      <c r="Y100" s="26" t="str">
        <f t="shared" si="11"/>
        <v/>
      </c>
      <c r="Z100" s="23"/>
      <c r="AA100" s="45" t="str">
        <f t="shared" si="12"/>
        <v/>
      </c>
      <c r="AB100" s="25"/>
      <c r="AC100" s="45" t="str">
        <f t="shared" si="13"/>
        <v/>
      </c>
      <c r="AD100" s="47"/>
      <c r="AE100" s="26"/>
      <c r="AF100" s="23"/>
      <c r="AG100" s="45" t="str">
        <f t="shared" si="14"/>
        <v/>
      </c>
      <c r="AH100" s="25"/>
      <c r="AI100" s="45" t="str">
        <f t="shared" si="15"/>
        <v/>
      </c>
      <c r="AJ100" s="27">
        <v>0.0</v>
      </c>
      <c r="AK100" s="33"/>
      <c r="AL100" s="26" t="str">
        <f t="shared" si="16"/>
        <v/>
      </c>
      <c r="AM100" s="23"/>
      <c r="AN100" s="45" t="str">
        <f t="shared" si="17"/>
        <v/>
      </c>
      <c r="AO100" s="25"/>
      <c r="AP100" s="45" t="str">
        <f t="shared" si="18"/>
        <v/>
      </c>
      <c r="AQ100" s="29" t="str">
        <f t="shared" si="19"/>
        <v/>
      </c>
      <c r="AR100" s="29">
        <f t="shared" si="20"/>
        <v>0</v>
      </c>
      <c r="AS100" s="29">
        <f t="shared" si="21"/>
        <v>0</v>
      </c>
      <c r="AT100" s="26" t="str">
        <f t="shared" si="22"/>
        <v/>
      </c>
      <c r="AU100" s="23"/>
      <c r="AV100" s="45" t="str">
        <f t="shared" si="23"/>
        <v/>
      </c>
      <c r="AW100" s="25"/>
      <c r="AX100" s="45" t="str">
        <f t="shared" si="24"/>
        <v/>
      </c>
      <c r="AY100" s="47"/>
      <c r="AZ100" s="26" t="str">
        <f t="shared" si="25"/>
        <v/>
      </c>
      <c r="BA100" s="23"/>
      <c r="BB100" s="45" t="str">
        <f t="shared" si="26"/>
        <v/>
      </c>
      <c r="BC100" s="25"/>
      <c r="BD100" s="45" t="str">
        <f t="shared" si="27"/>
        <v/>
      </c>
      <c r="BE100" s="47"/>
      <c r="BF100" s="26"/>
      <c r="BG100" s="23"/>
      <c r="BH100" s="45" t="str">
        <f t="shared" si="28"/>
        <v/>
      </c>
      <c r="BI100" s="25"/>
      <c r="BJ100" s="45" t="str">
        <f t="shared" si="29"/>
        <v/>
      </c>
      <c r="BK100" s="27">
        <v>0.0</v>
      </c>
      <c r="BL100" s="23"/>
      <c r="BM100" s="45" t="str">
        <f t="shared" si="30"/>
        <v/>
      </c>
      <c r="BN100" s="25"/>
      <c r="BO100" s="45" t="str">
        <f t="shared" si="31"/>
        <v/>
      </c>
      <c r="BP100" s="27">
        <v>0.0</v>
      </c>
      <c r="BQ100" s="33"/>
      <c r="BR100" s="23"/>
      <c r="BS100" s="45" t="str">
        <f t="shared" si="32"/>
        <v/>
      </c>
      <c r="BT100" s="25"/>
      <c r="BU100" s="45" t="str">
        <f t="shared" si="33"/>
        <v/>
      </c>
      <c r="BV100" s="29" t="str">
        <f t="shared" si="34"/>
        <v/>
      </c>
      <c r="BW100" s="29">
        <f t="shared" si="35"/>
        <v>0</v>
      </c>
      <c r="BX100" s="29">
        <f t="shared" si="36"/>
        <v>0</v>
      </c>
      <c r="BY100" s="26" t="str">
        <f t="shared" si="37"/>
        <v/>
      </c>
      <c r="BZ100" s="23"/>
      <c r="CA100" s="45" t="str">
        <f t="shared" si="38"/>
        <v/>
      </c>
      <c r="CB100" s="25"/>
      <c r="CC100" s="45" t="str">
        <f t="shared" si="39"/>
        <v/>
      </c>
      <c r="CD100" s="47"/>
      <c r="CE100" s="26" t="str">
        <f t="shared" si="40"/>
        <v/>
      </c>
      <c r="CF100" s="23"/>
      <c r="CG100" s="45" t="str">
        <f t="shared" si="41"/>
        <v/>
      </c>
      <c r="CH100" s="25"/>
      <c r="CI100" s="45" t="str">
        <f t="shared" si="42"/>
        <v/>
      </c>
      <c r="CJ100" s="47"/>
      <c r="CK100" s="26"/>
      <c r="CL100" s="23"/>
      <c r="CM100" s="45" t="str">
        <f t="shared" si="43"/>
        <v/>
      </c>
      <c r="CN100" s="25"/>
      <c r="CO100" s="45" t="str">
        <f t="shared" si="44"/>
        <v/>
      </c>
      <c r="CP100" s="27">
        <v>0.0</v>
      </c>
    </row>
    <row r="101">
      <c r="A101" s="26" t="str">
        <f t="shared" si="1"/>
        <v/>
      </c>
      <c r="B101" s="26"/>
      <c r="C101" s="81"/>
      <c r="D101" s="27"/>
      <c r="E101" s="82"/>
      <c r="F101" s="20"/>
      <c r="G101" s="20"/>
      <c r="H101" s="20"/>
      <c r="I101" s="23"/>
      <c r="J101" s="33"/>
      <c r="K101" s="26" t="str">
        <f t="shared" si="2"/>
        <v/>
      </c>
      <c r="L101" s="23"/>
      <c r="M101" s="45" t="str">
        <f t="shared" si="3"/>
        <v/>
      </c>
      <c r="N101" s="25"/>
      <c r="O101" s="45" t="str">
        <f t="shared" si="4"/>
        <v/>
      </c>
      <c r="P101" s="29" t="str">
        <f t="shared" si="5"/>
        <v/>
      </c>
      <c r="Q101" s="29">
        <f t="shared" si="6"/>
        <v>0</v>
      </c>
      <c r="R101" s="29">
        <f t="shared" si="7"/>
        <v>0</v>
      </c>
      <c r="S101" s="26" t="str">
        <f t="shared" si="8"/>
        <v/>
      </c>
      <c r="T101" s="23"/>
      <c r="U101" s="45" t="str">
        <f t="shared" si="9"/>
        <v/>
      </c>
      <c r="V101" s="25"/>
      <c r="W101" s="45" t="str">
        <f t="shared" si="10"/>
        <v/>
      </c>
      <c r="X101" s="47"/>
      <c r="Y101" s="26" t="str">
        <f t="shared" si="11"/>
        <v/>
      </c>
      <c r="Z101" s="23"/>
      <c r="AA101" s="45" t="str">
        <f t="shared" si="12"/>
        <v/>
      </c>
      <c r="AB101" s="25"/>
      <c r="AC101" s="45" t="str">
        <f t="shared" si="13"/>
        <v/>
      </c>
      <c r="AD101" s="47"/>
      <c r="AE101" s="26"/>
      <c r="AF101" s="23"/>
      <c r="AG101" s="45" t="str">
        <f t="shared" si="14"/>
        <v/>
      </c>
      <c r="AH101" s="25"/>
      <c r="AI101" s="45" t="str">
        <f t="shared" si="15"/>
        <v/>
      </c>
      <c r="AJ101" s="27">
        <v>0.0</v>
      </c>
      <c r="AK101" s="33"/>
      <c r="AL101" s="26" t="str">
        <f t="shared" si="16"/>
        <v/>
      </c>
      <c r="AM101" s="23"/>
      <c r="AN101" s="45" t="str">
        <f t="shared" si="17"/>
        <v/>
      </c>
      <c r="AO101" s="25"/>
      <c r="AP101" s="45" t="str">
        <f t="shared" si="18"/>
        <v/>
      </c>
      <c r="AQ101" s="29" t="str">
        <f t="shared" si="19"/>
        <v/>
      </c>
      <c r="AR101" s="29">
        <f t="shared" si="20"/>
        <v>0</v>
      </c>
      <c r="AS101" s="29">
        <f t="shared" si="21"/>
        <v>0</v>
      </c>
      <c r="AT101" s="26" t="str">
        <f t="shared" si="22"/>
        <v/>
      </c>
      <c r="AU101" s="23"/>
      <c r="AV101" s="45" t="str">
        <f t="shared" si="23"/>
        <v/>
      </c>
      <c r="AW101" s="25"/>
      <c r="AX101" s="45" t="str">
        <f t="shared" si="24"/>
        <v/>
      </c>
      <c r="AY101" s="47"/>
      <c r="AZ101" s="26" t="str">
        <f t="shared" si="25"/>
        <v/>
      </c>
      <c r="BA101" s="23"/>
      <c r="BB101" s="45" t="str">
        <f t="shared" si="26"/>
        <v/>
      </c>
      <c r="BC101" s="25"/>
      <c r="BD101" s="45" t="str">
        <f t="shared" si="27"/>
        <v/>
      </c>
      <c r="BE101" s="47"/>
      <c r="BF101" s="26"/>
      <c r="BG101" s="23"/>
      <c r="BH101" s="45" t="str">
        <f t="shared" si="28"/>
        <v/>
      </c>
      <c r="BI101" s="25"/>
      <c r="BJ101" s="45" t="str">
        <f t="shared" si="29"/>
        <v/>
      </c>
      <c r="BK101" s="27">
        <v>0.0</v>
      </c>
      <c r="BL101" s="23"/>
      <c r="BM101" s="45" t="str">
        <f t="shared" si="30"/>
        <v/>
      </c>
      <c r="BN101" s="25"/>
      <c r="BO101" s="45" t="str">
        <f t="shared" si="31"/>
        <v/>
      </c>
      <c r="BP101" s="27">
        <v>0.0</v>
      </c>
      <c r="BQ101" s="33"/>
      <c r="BR101" s="23"/>
      <c r="BS101" s="45" t="str">
        <f t="shared" si="32"/>
        <v/>
      </c>
      <c r="BT101" s="25"/>
      <c r="BU101" s="45" t="str">
        <f t="shared" si="33"/>
        <v/>
      </c>
      <c r="BV101" s="29" t="str">
        <f t="shared" si="34"/>
        <v/>
      </c>
      <c r="BW101" s="29">
        <f t="shared" si="35"/>
        <v>0</v>
      </c>
      <c r="BX101" s="29">
        <f t="shared" si="36"/>
        <v>0</v>
      </c>
      <c r="BY101" s="26" t="str">
        <f t="shared" si="37"/>
        <v/>
      </c>
      <c r="BZ101" s="23"/>
      <c r="CA101" s="45" t="str">
        <f t="shared" si="38"/>
        <v/>
      </c>
      <c r="CB101" s="25"/>
      <c r="CC101" s="45" t="str">
        <f t="shared" si="39"/>
        <v/>
      </c>
      <c r="CD101" s="47"/>
      <c r="CE101" s="26" t="str">
        <f t="shared" si="40"/>
        <v/>
      </c>
      <c r="CF101" s="23"/>
      <c r="CG101" s="45" t="str">
        <f t="shared" si="41"/>
        <v/>
      </c>
      <c r="CH101" s="25"/>
      <c r="CI101" s="45" t="str">
        <f t="shared" si="42"/>
        <v/>
      </c>
      <c r="CJ101" s="47"/>
      <c r="CK101" s="26"/>
      <c r="CL101" s="23"/>
      <c r="CM101" s="45" t="str">
        <f t="shared" si="43"/>
        <v/>
      </c>
      <c r="CN101" s="25"/>
      <c r="CO101" s="45" t="str">
        <f t="shared" si="44"/>
        <v/>
      </c>
      <c r="CP101" s="27">
        <v>0.0</v>
      </c>
    </row>
    <row r="102">
      <c r="A102" s="26" t="str">
        <f t="shared" si="1"/>
        <v/>
      </c>
      <c r="B102" s="26"/>
      <c r="C102" s="81"/>
      <c r="D102" s="27"/>
      <c r="E102" s="82"/>
      <c r="F102" s="20"/>
      <c r="G102" s="20"/>
      <c r="H102" s="20"/>
      <c r="I102" s="23"/>
      <c r="J102" s="33"/>
      <c r="K102" s="26" t="str">
        <f t="shared" si="2"/>
        <v/>
      </c>
      <c r="L102" s="23"/>
      <c r="M102" s="45" t="str">
        <f t="shared" si="3"/>
        <v/>
      </c>
      <c r="N102" s="25"/>
      <c r="O102" s="45" t="str">
        <f t="shared" si="4"/>
        <v/>
      </c>
      <c r="P102" s="29" t="str">
        <f t="shared" si="5"/>
        <v/>
      </c>
      <c r="Q102" s="29">
        <f t="shared" si="6"/>
        <v>0</v>
      </c>
      <c r="R102" s="29">
        <f t="shared" si="7"/>
        <v>0</v>
      </c>
      <c r="S102" s="26" t="str">
        <f t="shared" si="8"/>
        <v/>
      </c>
      <c r="T102" s="23"/>
      <c r="U102" s="45" t="str">
        <f t="shared" si="9"/>
        <v/>
      </c>
      <c r="V102" s="25"/>
      <c r="W102" s="45" t="str">
        <f t="shared" si="10"/>
        <v/>
      </c>
      <c r="X102" s="47"/>
      <c r="Y102" s="26" t="str">
        <f t="shared" si="11"/>
        <v/>
      </c>
      <c r="Z102" s="23"/>
      <c r="AA102" s="45" t="str">
        <f t="shared" si="12"/>
        <v/>
      </c>
      <c r="AB102" s="25"/>
      <c r="AC102" s="45" t="str">
        <f t="shared" si="13"/>
        <v/>
      </c>
      <c r="AD102" s="47"/>
      <c r="AE102" s="26"/>
      <c r="AF102" s="23"/>
      <c r="AG102" s="45" t="str">
        <f t="shared" si="14"/>
        <v/>
      </c>
      <c r="AH102" s="25"/>
      <c r="AI102" s="45" t="str">
        <f t="shared" si="15"/>
        <v/>
      </c>
      <c r="AJ102" s="27">
        <v>0.0</v>
      </c>
      <c r="AK102" s="33"/>
      <c r="AL102" s="26" t="str">
        <f t="shared" si="16"/>
        <v/>
      </c>
      <c r="AM102" s="23"/>
      <c r="AN102" s="45" t="str">
        <f t="shared" si="17"/>
        <v/>
      </c>
      <c r="AO102" s="25"/>
      <c r="AP102" s="45" t="str">
        <f t="shared" si="18"/>
        <v/>
      </c>
      <c r="AQ102" s="29" t="str">
        <f t="shared" si="19"/>
        <v/>
      </c>
      <c r="AR102" s="29">
        <f t="shared" si="20"/>
        <v>0</v>
      </c>
      <c r="AS102" s="29">
        <f t="shared" si="21"/>
        <v>0</v>
      </c>
      <c r="AT102" s="26" t="str">
        <f t="shared" si="22"/>
        <v/>
      </c>
      <c r="AU102" s="23"/>
      <c r="AV102" s="45" t="str">
        <f t="shared" si="23"/>
        <v/>
      </c>
      <c r="AW102" s="25"/>
      <c r="AX102" s="45" t="str">
        <f t="shared" si="24"/>
        <v/>
      </c>
      <c r="AY102" s="47"/>
      <c r="AZ102" s="26" t="str">
        <f t="shared" si="25"/>
        <v/>
      </c>
      <c r="BA102" s="23"/>
      <c r="BB102" s="45" t="str">
        <f t="shared" si="26"/>
        <v/>
      </c>
      <c r="BC102" s="25"/>
      <c r="BD102" s="45" t="str">
        <f t="shared" si="27"/>
        <v/>
      </c>
      <c r="BE102" s="47"/>
      <c r="BF102" s="26"/>
      <c r="BG102" s="23"/>
      <c r="BH102" s="45" t="str">
        <f t="shared" si="28"/>
        <v/>
      </c>
      <c r="BI102" s="25"/>
      <c r="BJ102" s="45" t="str">
        <f t="shared" si="29"/>
        <v/>
      </c>
      <c r="BK102" s="27">
        <v>0.0</v>
      </c>
      <c r="BL102" s="23"/>
      <c r="BM102" s="45" t="str">
        <f t="shared" si="30"/>
        <v/>
      </c>
      <c r="BN102" s="25"/>
      <c r="BO102" s="45" t="str">
        <f t="shared" si="31"/>
        <v/>
      </c>
      <c r="BP102" s="27">
        <v>0.0</v>
      </c>
      <c r="BQ102" s="33"/>
      <c r="BR102" s="23"/>
      <c r="BS102" s="45" t="str">
        <f t="shared" si="32"/>
        <v/>
      </c>
      <c r="BT102" s="25"/>
      <c r="BU102" s="45" t="str">
        <f t="shared" si="33"/>
        <v/>
      </c>
      <c r="BV102" s="29" t="str">
        <f t="shared" si="34"/>
        <v/>
      </c>
      <c r="BW102" s="29">
        <f t="shared" si="35"/>
        <v>0</v>
      </c>
      <c r="BX102" s="29">
        <f t="shared" si="36"/>
        <v>0</v>
      </c>
      <c r="BY102" s="26" t="str">
        <f t="shared" si="37"/>
        <v/>
      </c>
      <c r="BZ102" s="23"/>
      <c r="CA102" s="45" t="str">
        <f t="shared" si="38"/>
        <v/>
      </c>
      <c r="CB102" s="25"/>
      <c r="CC102" s="45" t="str">
        <f t="shared" si="39"/>
        <v/>
      </c>
      <c r="CD102" s="47"/>
      <c r="CE102" s="26" t="str">
        <f t="shared" si="40"/>
        <v/>
      </c>
      <c r="CF102" s="23"/>
      <c r="CG102" s="45" t="str">
        <f t="shared" si="41"/>
        <v/>
      </c>
      <c r="CH102" s="25"/>
      <c r="CI102" s="45" t="str">
        <f t="shared" si="42"/>
        <v/>
      </c>
      <c r="CJ102" s="47"/>
      <c r="CK102" s="26"/>
      <c r="CL102" s="23"/>
      <c r="CM102" s="45" t="str">
        <f t="shared" si="43"/>
        <v/>
      </c>
      <c r="CN102" s="25"/>
      <c r="CO102" s="45" t="str">
        <f t="shared" si="44"/>
        <v/>
      </c>
      <c r="CP102" s="27">
        <v>0.0</v>
      </c>
    </row>
    <row r="103">
      <c r="A103" s="26" t="str">
        <f t="shared" si="1"/>
        <v/>
      </c>
      <c r="B103" s="26"/>
      <c r="C103" s="81"/>
      <c r="D103" s="27"/>
      <c r="E103" s="82"/>
      <c r="F103" s="20"/>
      <c r="G103" s="20"/>
      <c r="H103" s="20"/>
      <c r="I103" s="23"/>
      <c r="J103" s="33"/>
      <c r="K103" s="26" t="str">
        <f t="shared" si="2"/>
        <v/>
      </c>
      <c r="L103" s="23"/>
      <c r="M103" s="45" t="str">
        <f t="shared" si="3"/>
        <v/>
      </c>
      <c r="N103" s="25"/>
      <c r="O103" s="45" t="str">
        <f t="shared" si="4"/>
        <v/>
      </c>
      <c r="P103" s="29" t="str">
        <f t="shared" si="5"/>
        <v/>
      </c>
      <c r="Q103" s="29">
        <f t="shared" si="6"/>
        <v>0</v>
      </c>
      <c r="R103" s="29">
        <f t="shared" si="7"/>
        <v>0</v>
      </c>
      <c r="S103" s="26" t="str">
        <f t="shared" si="8"/>
        <v/>
      </c>
      <c r="T103" s="23"/>
      <c r="U103" s="45" t="str">
        <f t="shared" si="9"/>
        <v/>
      </c>
      <c r="V103" s="25"/>
      <c r="W103" s="45" t="str">
        <f t="shared" si="10"/>
        <v/>
      </c>
      <c r="X103" s="47"/>
      <c r="Y103" s="26" t="str">
        <f t="shared" si="11"/>
        <v/>
      </c>
      <c r="Z103" s="23"/>
      <c r="AA103" s="45" t="str">
        <f t="shared" si="12"/>
        <v/>
      </c>
      <c r="AB103" s="25"/>
      <c r="AC103" s="45" t="str">
        <f t="shared" si="13"/>
        <v/>
      </c>
      <c r="AD103" s="47"/>
      <c r="AE103" s="26"/>
      <c r="AF103" s="23"/>
      <c r="AG103" s="45" t="str">
        <f t="shared" si="14"/>
        <v/>
      </c>
      <c r="AH103" s="25"/>
      <c r="AI103" s="45" t="str">
        <f t="shared" si="15"/>
        <v/>
      </c>
      <c r="AJ103" s="27">
        <v>0.0</v>
      </c>
      <c r="AK103" s="33"/>
      <c r="AL103" s="26" t="str">
        <f t="shared" si="16"/>
        <v/>
      </c>
      <c r="AM103" s="23"/>
      <c r="AN103" s="45" t="str">
        <f t="shared" si="17"/>
        <v/>
      </c>
      <c r="AO103" s="25"/>
      <c r="AP103" s="45" t="str">
        <f t="shared" si="18"/>
        <v/>
      </c>
      <c r="AQ103" s="29" t="str">
        <f t="shared" si="19"/>
        <v/>
      </c>
      <c r="AR103" s="29">
        <f t="shared" si="20"/>
        <v>0</v>
      </c>
      <c r="AS103" s="29">
        <f t="shared" si="21"/>
        <v>0</v>
      </c>
      <c r="AT103" s="26" t="str">
        <f t="shared" si="22"/>
        <v/>
      </c>
      <c r="AU103" s="23"/>
      <c r="AV103" s="45" t="str">
        <f t="shared" si="23"/>
        <v/>
      </c>
      <c r="AW103" s="25"/>
      <c r="AX103" s="45" t="str">
        <f t="shared" si="24"/>
        <v/>
      </c>
      <c r="AY103" s="47"/>
      <c r="AZ103" s="26" t="str">
        <f t="shared" si="25"/>
        <v/>
      </c>
      <c r="BA103" s="23"/>
      <c r="BB103" s="45" t="str">
        <f t="shared" si="26"/>
        <v/>
      </c>
      <c r="BC103" s="25"/>
      <c r="BD103" s="45" t="str">
        <f t="shared" si="27"/>
        <v/>
      </c>
      <c r="BE103" s="47"/>
      <c r="BF103" s="26"/>
      <c r="BG103" s="23"/>
      <c r="BH103" s="45" t="str">
        <f t="shared" si="28"/>
        <v/>
      </c>
      <c r="BI103" s="25"/>
      <c r="BJ103" s="45" t="str">
        <f t="shared" si="29"/>
        <v/>
      </c>
      <c r="BK103" s="27">
        <v>0.0</v>
      </c>
      <c r="BL103" s="23"/>
      <c r="BM103" s="45" t="str">
        <f t="shared" si="30"/>
        <v/>
      </c>
      <c r="BN103" s="25"/>
      <c r="BO103" s="45" t="str">
        <f t="shared" si="31"/>
        <v/>
      </c>
      <c r="BP103" s="27">
        <v>0.0</v>
      </c>
      <c r="BQ103" s="33"/>
      <c r="BR103" s="23"/>
      <c r="BS103" s="45" t="str">
        <f t="shared" si="32"/>
        <v/>
      </c>
      <c r="BT103" s="25"/>
      <c r="BU103" s="45" t="str">
        <f t="shared" si="33"/>
        <v/>
      </c>
      <c r="BV103" s="29" t="str">
        <f t="shared" si="34"/>
        <v/>
      </c>
      <c r="BW103" s="29">
        <f t="shared" si="35"/>
        <v>0</v>
      </c>
      <c r="BX103" s="29">
        <f t="shared" si="36"/>
        <v>0</v>
      </c>
      <c r="BY103" s="26" t="str">
        <f t="shared" si="37"/>
        <v/>
      </c>
      <c r="BZ103" s="23"/>
      <c r="CA103" s="45" t="str">
        <f t="shared" si="38"/>
        <v/>
      </c>
      <c r="CB103" s="25"/>
      <c r="CC103" s="45" t="str">
        <f t="shared" si="39"/>
        <v/>
      </c>
      <c r="CD103" s="47"/>
      <c r="CE103" s="26" t="str">
        <f t="shared" si="40"/>
        <v/>
      </c>
      <c r="CF103" s="23"/>
      <c r="CG103" s="45" t="str">
        <f t="shared" si="41"/>
        <v/>
      </c>
      <c r="CH103" s="25"/>
      <c r="CI103" s="45" t="str">
        <f t="shared" si="42"/>
        <v/>
      </c>
      <c r="CJ103" s="47"/>
      <c r="CK103" s="26"/>
      <c r="CL103" s="23"/>
      <c r="CM103" s="45" t="str">
        <f t="shared" si="43"/>
        <v/>
      </c>
      <c r="CN103" s="25"/>
      <c r="CO103" s="45" t="str">
        <f t="shared" si="44"/>
        <v/>
      </c>
      <c r="CP103" s="27">
        <v>0.0</v>
      </c>
    </row>
    <row r="104">
      <c r="A104" s="26" t="str">
        <f t="shared" si="1"/>
        <v/>
      </c>
      <c r="B104" s="26"/>
      <c r="C104" s="81"/>
      <c r="D104" s="27"/>
      <c r="E104" s="82"/>
      <c r="F104" s="20"/>
      <c r="G104" s="20"/>
      <c r="H104" s="20"/>
      <c r="I104" s="23"/>
      <c r="J104" s="33"/>
      <c r="K104" s="26" t="str">
        <f t="shared" si="2"/>
        <v/>
      </c>
      <c r="L104" s="23"/>
      <c r="M104" s="45" t="str">
        <f t="shared" si="3"/>
        <v/>
      </c>
      <c r="N104" s="25"/>
      <c r="O104" s="45" t="str">
        <f t="shared" si="4"/>
        <v/>
      </c>
      <c r="P104" s="29" t="str">
        <f t="shared" si="5"/>
        <v/>
      </c>
      <c r="Q104" s="29">
        <f t="shared" si="6"/>
        <v>0</v>
      </c>
      <c r="R104" s="29">
        <f t="shared" si="7"/>
        <v>0</v>
      </c>
      <c r="S104" s="26" t="str">
        <f t="shared" si="8"/>
        <v/>
      </c>
      <c r="T104" s="23"/>
      <c r="U104" s="45" t="str">
        <f t="shared" si="9"/>
        <v/>
      </c>
      <c r="V104" s="25"/>
      <c r="W104" s="45" t="str">
        <f t="shared" si="10"/>
        <v/>
      </c>
      <c r="X104" s="47"/>
      <c r="Y104" s="26" t="str">
        <f t="shared" si="11"/>
        <v/>
      </c>
      <c r="Z104" s="23"/>
      <c r="AA104" s="45" t="str">
        <f t="shared" si="12"/>
        <v/>
      </c>
      <c r="AB104" s="25"/>
      <c r="AC104" s="45" t="str">
        <f t="shared" si="13"/>
        <v/>
      </c>
      <c r="AD104" s="47"/>
      <c r="AE104" s="26"/>
      <c r="AF104" s="23"/>
      <c r="AG104" s="45" t="str">
        <f t="shared" si="14"/>
        <v/>
      </c>
      <c r="AH104" s="25"/>
      <c r="AI104" s="45" t="str">
        <f t="shared" si="15"/>
        <v/>
      </c>
      <c r="AJ104" s="27">
        <v>0.0</v>
      </c>
      <c r="AK104" s="33"/>
      <c r="AL104" s="26" t="str">
        <f t="shared" si="16"/>
        <v/>
      </c>
      <c r="AM104" s="23"/>
      <c r="AN104" s="45" t="str">
        <f t="shared" si="17"/>
        <v/>
      </c>
      <c r="AO104" s="25"/>
      <c r="AP104" s="45" t="str">
        <f t="shared" si="18"/>
        <v/>
      </c>
      <c r="AQ104" s="29" t="str">
        <f t="shared" si="19"/>
        <v/>
      </c>
      <c r="AR104" s="29">
        <f t="shared" si="20"/>
        <v>0</v>
      </c>
      <c r="AS104" s="29">
        <f t="shared" si="21"/>
        <v>0</v>
      </c>
      <c r="AT104" s="26" t="str">
        <f t="shared" si="22"/>
        <v/>
      </c>
      <c r="AU104" s="23"/>
      <c r="AV104" s="45" t="str">
        <f t="shared" si="23"/>
        <v/>
      </c>
      <c r="AW104" s="25"/>
      <c r="AX104" s="45" t="str">
        <f t="shared" si="24"/>
        <v/>
      </c>
      <c r="AY104" s="47"/>
      <c r="AZ104" s="26" t="str">
        <f t="shared" si="25"/>
        <v/>
      </c>
      <c r="BA104" s="23"/>
      <c r="BB104" s="45" t="str">
        <f t="shared" si="26"/>
        <v/>
      </c>
      <c r="BC104" s="25"/>
      <c r="BD104" s="45" t="str">
        <f t="shared" si="27"/>
        <v/>
      </c>
      <c r="BE104" s="47"/>
      <c r="BF104" s="26"/>
      <c r="BG104" s="23"/>
      <c r="BH104" s="45" t="str">
        <f t="shared" si="28"/>
        <v/>
      </c>
      <c r="BI104" s="25"/>
      <c r="BJ104" s="45" t="str">
        <f t="shared" si="29"/>
        <v/>
      </c>
      <c r="BK104" s="27">
        <v>0.0</v>
      </c>
      <c r="BL104" s="23"/>
      <c r="BM104" s="45" t="str">
        <f t="shared" si="30"/>
        <v/>
      </c>
      <c r="BN104" s="25"/>
      <c r="BO104" s="45" t="str">
        <f t="shared" si="31"/>
        <v/>
      </c>
      <c r="BP104" s="27">
        <v>0.0</v>
      </c>
      <c r="BQ104" s="33"/>
      <c r="BR104" s="23"/>
      <c r="BS104" s="45" t="str">
        <f t="shared" si="32"/>
        <v/>
      </c>
      <c r="BT104" s="25"/>
      <c r="BU104" s="45" t="str">
        <f t="shared" si="33"/>
        <v/>
      </c>
      <c r="BV104" s="29" t="str">
        <f t="shared" si="34"/>
        <v/>
      </c>
      <c r="BW104" s="29">
        <f t="shared" si="35"/>
        <v>0</v>
      </c>
      <c r="BX104" s="29">
        <f t="shared" si="36"/>
        <v>0</v>
      </c>
      <c r="BY104" s="26" t="str">
        <f t="shared" si="37"/>
        <v/>
      </c>
      <c r="BZ104" s="23"/>
      <c r="CA104" s="45" t="str">
        <f t="shared" si="38"/>
        <v/>
      </c>
      <c r="CB104" s="25"/>
      <c r="CC104" s="45" t="str">
        <f t="shared" si="39"/>
        <v/>
      </c>
      <c r="CD104" s="47"/>
      <c r="CE104" s="26" t="str">
        <f t="shared" si="40"/>
        <v/>
      </c>
      <c r="CF104" s="23"/>
      <c r="CG104" s="45" t="str">
        <f t="shared" si="41"/>
        <v/>
      </c>
      <c r="CH104" s="25"/>
      <c r="CI104" s="45" t="str">
        <f t="shared" si="42"/>
        <v/>
      </c>
      <c r="CJ104" s="47"/>
      <c r="CK104" s="26"/>
      <c r="CL104" s="23"/>
      <c r="CM104" s="45" t="str">
        <f t="shared" si="43"/>
        <v/>
      </c>
      <c r="CN104" s="25"/>
      <c r="CO104" s="45" t="str">
        <f t="shared" si="44"/>
        <v/>
      </c>
      <c r="CP104" s="27">
        <v>0.0</v>
      </c>
    </row>
    <row r="105">
      <c r="A105" s="26" t="str">
        <f t="shared" si="1"/>
        <v/>
      </c>
      <c r="B105" s="26"/>
      <c r="C105" s="81"/>
      <c r="D105" s="27"/>
      <c r="E105" s="82"/>
      <c r="F105" s="20"/>
      <c r="G105" s="20"/>
      <c r="H105" s="20"/>
      <c r="I105" s="23"/>
      <c r="J105" s="33"/>
      <c r="K105" s="26" t="str">
        <f t="shared" si="2"/>
        <v/>
      </c>
      <c r="L105" s="23"/>
      <c r="M105" s="45" t="str">
        <f t="shared" si="3"/>
        <v/>
      </c>
      <c r="N105" s="25"/>
      <c r="O105" s="45" t="str">
        <f t="shared" si="4"/>
        <v/>
      </c>
      <c r="P105" s="29" t="str">
        <f t="shared" si="5"/>
        <v/>
      </c>
      <c r="Q105" s="29">
        <f t="shared" si="6"/>
        <v>0</v>
      </c>
      <c r="R105" s="29">
        <f t="shared" si="7"/>
        <v>0</v>
      </c>
      <c r="S105" s="26" t="str">
        <f t="shared" si="8"/>
        <v/>
      </c>
      <c r="T105" s="23"/>
      <c r="U105" s="45" t="str">
        <f t="shared" si="9"/>
        <v/>
      </c>
      <c r="V105" s="25"/>
      <c r="W105" s="45" t="str">
        <f t="shared" si="10"/>
        <v/>
      </c>
      <c r="X105" s="47"/>
      <c r="Y105" s="26" t="str">
        <f t="shared" si="11"/>
        <v/>
      </c>
      <c r="Z105" s="23"/>
      <c r="AA105" s="45" t="str">
        <f t="shared" si="12"/>
        <v/>
      </c>
      <c r="AB105" s="25"/>
      <c r="AC105" s="45" t="str">
        <f t="shared" si="13"/>
        <v/>
      </c>
      <c r="AD105" s="47"/>
      <c r="AE105" s="26"/>
      <c r="AF105" s="23"/>
      <c r="AG105" s="45" t="str">
        <f t="shared" si="14"/>
        <v/>
      </c>
      <c r="AH105" s="25"/>
      <c r="AI105" s="45" t="str">
        <f t="shared" si="15"/>
        <v/>
      </c>
      <c r="AJ105" s="27">
        <v>0.0</v>
      </c>
      <c r="AK105" s="33"/>
      <c r="AL105" s="26" t="str">
        <f t="shared" si="16"/>
        <v/>
      </c>
      <c r="AM105" s="23"/>
      <c r="AN105" s="45" t="str">
        <f t="shared" si="17"/>
        <v/>
      </c>
      <c r="AO105" s="25"/>
      <c r="AP105" s="45" t="str">
        <f t="shared" si="18"/>
        <v/>
      </c>
      <c r="AQ105" s="29" t="str">
        <f t="shared" si="19"/>
        <v/>
      </c>
      <c r="AR105" s="29">
        <f t="shared" si="20"/>
        <v>0</v>
      </c>
      <c r="AS105" s="29">
        <f t="shared" si="21"/>
        <v>0</v>
      </c>
      <c r="AT105" s="26" t="str">
        <f t="shared" si="22"/>
        <v/>
      </c>
      <c r="AU105" s="23"/>
      <c r="AV105" s="45" t="str">
        <f t="shared" si="23"/>
        <v/>
      </c>
      <c r="AW105" s="25"/>
      <c r="AX105" s="45" t="str">
        <f t="shared" si="24"/>
        <v/>
      </c>
      <c r="AY105" s="47"/>
      <c r="AZ105" s="26" t="str">
        <f t="shared" si="25"/>
        <v/>
      </c>
      <c r="BA105" s="23"/>
      <c r="BB105" s="45" t="str">
        <f t="shared" si="26"/>
        <v/>
      </c>
      <c r="BC105" s="25"/>
      <c r="BD105" s="45" t="str">
        <f t="shared" si="27"/>
        <v/>
      </c>
      <c r="BE105" s="47"/>
      <c r="BF105" s="26"/>
      <c r="BG105" s="23"/>
      <c r="BH105" s="45" t="str">
        <f t="shared" si="28"/>
        <v/>
      </c>
      <c r="BI105" s="25"/>
      <c r="BJ105" s="45" t="str">
        <f t="shared" si="29"/>
        <v/>
      </c>
      <c r="BK105" s="27">
        <v>0.0</v>
      </c>
      <c r="BL105" s="23"/>
      <c r="BM105" s="45" t="str">
        <f t="shared" si="30"/>
        <v/>
      </c>
      <c r="BN105" s="25"/>
      <c r="BO105" s="45" t="str">
        <f t="shared" si="31"/>
        <v/>
      </c>
      <c r="BP105" s="27">
        <v>0.0</v>
      </c>
      <c r="BQ105" s="33"/>
      <c r="BR105" s="23"/>
      <c r="BS105" s="45" t="str">
        <f t="shared" si="32"/>
        <v/>
      </c>
      <c r="BT105" s="25"/>
      <c r="BU105" s="45" t="str">
        <f t="shared" si="33"/>
        <v/>
      </c>
      <c r="BV105" s="29" t="str">
        <f t="shared" si="34"/>
        <v/>
      </c>
      <c r="BW105" s="29">
        <f t="shared" si="35"/>
        <v>0</v>
      </c>
      <c r="BX105" s="29">
        <f t="shared" si="36"/>
        <v>0</v>
      </c>
      <c r="BY105" s="26" t="str">
        <f t="shared" si="37"/>
        <v/>
      </c>
      <c r="BZ105" s="23"/>
      <c r="CA105" s="45" t="str">
        <f t="shared" si="38"/>
        <v/>
      </c>
      <c r="CB105" s="25"/>
      <c r="CC105" s="45" t="str">
        <f t="shared" si="39"/>
        <v/>
      </c>
      <c r="CD105" s="47"/>
      <c r="CE105" s="26" t="str">
        <f t="shared" si="40"/>
        <v/>
      </c>
      <c r="CF105" s="23"/>
      <c r="CG105" s="45" t="str">
        <f t="shared" si="41"/>
        <v/>
      </c>
      <c r="CH105" s="25"/>
      <c r="CI105" s="45" t="str">
        <f t="shared" si="42"/>
        <v/>
      </c>
      <c r="CJ105" s="47"/>
      <c r="CK105" s="26"/>
      <c r="CL105" s="23"/>
      <c r="CM105" s="45" t="str">
        <f t="shared" si="43"/>
        <v/>
      </c>
      <c r="CN105" s="25"/>
      <c r="CO105" s="45" t="str">
        <f t="shared" si="44"/>
        <v/>
      </c>
      <c r="CP105" s="27">
        <v>0.0</v>
      </c>
    </row>
    <row r="106">
      <c r="A106" s="26" t="str">
        <f t="shared" si="1"/>
        <v/>
      </c>
      <c r="B106" s="26"/>
      <c r="C106" s="81"/>
      <c r="D106" s="27"/>
      <c r="E106" s="82"/>
      <c r="F106" s="20"/>
      <c r="G106" s="20"/>
      <c r="H106" s="20"/>
      <c r="I106" s="23"/>
      <c r="J106" s="33"/>
      <c r="K106" s="26" t="str">
        <f t="shared" si="2"/>
        <v/>
      </c>
      <c r="L106" s="23"/>
      <c r="M106" s="45" t="str">
        <f t="shared" si="3"/>
        <v/>
      </c>
      <c r="N106" s="25"/>
      <c r="O106" s="45" t="str">
        <f t="shared" si="4"/>
        <v/>
      </c>
      <c r="P106" s="29" t="str">
        <f t="shared" si="5"/>
        <v/>
      </c>
      <c r="Q106" s="29">
        <f t="shared" si="6"/>
        <v>0</v>
      </c>
      <c r="R106" s="29">
        <f t="shared" si="7"/>
        <v>0</v>
      </c>
      <c r="S106" s="26" t="str">
        <f t="shared" si="8"/>
        <v/>
      </c>
      <c r="T106" s="23"/>
      <c r="U106" s="45" t="str">
        <f t="shared" si="9"/>
        <v/>
      </c>
      <c r="V106" s="25"/>
      <c r="W106" s="45" t="str">
        <f t="shared" si="10"/>
        <v/>
      </c>
      <c r="X106" s="47"/>
      <c r="Y106" s="26" t="str">
        <f t="shared" si="11"/>
        <v/>
      </c>
      <c r="Z106" s="23"/>
      <c r="AA106" s="45" t="str">
        <f t="shared" si="12"/>
        <v/>
      </c>
      <c r="AB106" s="25"/>
      <c r="AC106" s="45" t="str">
        <f t="shared" si="13"/>
        <v/>
      </c>
      <c r="AD106" s="47"/>
      <c r="AE106" s="26"/>
      <c r="AF106" s="23"/>
      <c r="AG106" s="45" t="str">
        <f t="shared" si="14"/>
        <v/>
      </c>
      <c r="AH106" s="25"/>
      <c r="AI106" s="45" t="str">
        <f t="shared" si="15"/>
        <v/>
      </c>
      <c r="AJ106" s="27">
        <v>0.0</v>
      </c>
      <c r="AK106" s="33"/>
      <c r="AL106" s="26" t="str">
        <f t="shared" si="16"/>
        <v/>
      </c>
      <c r="AM106" s="23"/>
      <c r="AN106" s="45" t="str">
        <f t="shared" si="17"/>
        <v/>
      </c>
      <c r="AO106" s="25"/>
      <c r="AP106" s="45" t="str">
        <f t="shared" si="18"/>
        <v/>
      </c>
      <c r="AQ106" s="29" t="str">
        <f t="shared" si="19"/>
        <v/>
      </c>
      <c r="AR106" s="29">
        <f t="shared" si="20"/>
        <v>0</v>
      </c>
      <c r="AS106" s="29">
        <f t="shared" si="21"/>
        <v>0</v>
      </c>
      <c r="AT106" s="26" t="str">
        <f t="shared" si="22"/>
        <v/>
      </c>
      <c r="AU106" s="23"/>
      <c r="AV106" s="45" t="str">
        <f t="shared" si="23"/>
        <v/>
      </c>
      <c r="AW106" s="25"/>
      <c r="AX106" s="45" t="str">
        <f t="shared" si="24"/>
        <v/>
      </c>
      <c r="AY106" s="47"/>
      <c r="AZ106" s="26" t="str">
        <f t="shared" si="25"/>
        <v/>
      </c>
      <c r="BA106" s="23"/>
      <c r="BB106" s="45" t="str">
        <f t="shared" si="26"/>
        <v/>
      </c>
      <c r="BC106" s="25"/>
      <c r="BD106" s="45" t="str">
        <f t="shared" si="27"/>
        <v/>
      </c>
      <c r="BE106" s="47"/>
      <c r="BF106" s="26"/>
      <c r="BG106" s="23"/>
      <c r="BH106" s="45" t="str">
        <f t="shared" si="28"/>
        <v/>
      </c>
      <c r="BI106" s="25"/>
      <c r="BJ106" s="45" t="str">
        <f t="shared" si="29"/>
        <v/>
      </c>
      <c r="BK106" s="27">
        <v>0.0</v>
      </c>
      <c r="BL106" s="23"/>
      <c r="BM106" s="45" t="str">
        <f t="shared" si="30"/>
        <v/>
      </c>
      <c r="BN106" s="25"/>
      <c r="BO106" s="45" t="str">
        <f t="shared" si="31"/>
        <v/>
      </c>
      <c r="BP106" s="27">
        <v>0.0</v>
      </c>
      <c r="BQ106" s="33"/>
      <c r="BR106" s="23"/>
      <c r="BS106" s="45" t="str">
        <f t="shared" si="32"/>
        <v/>
      </c>
      <c r="BT106" s="25"/>
      <c r="BU106" s="45" t="str">
        <f t="shared" si="33"/>
        <v/>
      </c>
      <c r="BV106" s="29" t="str">
        <f t="shared" si="34"/>
        <v/>
      </c>
      <c r="BW106" s="29">
        <f t="shared" si="35"/>
        <v>0</v>
      </c>
      <c r="BX106" s="29">
        <f t="shared" si="36"/>
        <v>0</v>
      </c>
      <c r="BY106" s="26" t="str">
        <f t="shared" si="37"/>
        <v/>
      </c>
      <c r="BZ106" s="23"/>
      <c r="CA106" s="45" t="str">
        <f t="shared" si="38"/>
        <v/>
      </c>
      <c r="CB106" s="25"/>
      <c r="CC106" s="45" t="str">
        <f t="shared" si="39"/>
        <v/>
      </c>
      <c r="CD106" s="47"/>
      <c r="CE106" s="26" t="str">
        <f t="shared" si="40"/>
        <v/>
      </c>
      <c r="CF106" s="23"/>
      <c r="CG106" s="45" t="str">
        <f t="shared" si="41"/>
        <v/>
      </c>
      <c r="CH106" s="25"/>
      <c r="CI106" s="45" t="str">
        <f t="shared" si="42"/>
        <v/>
      </c>
      <c r="CJ106" s="47"/>
      <c r="CK106" s="26"/>
      <c r="CL106" s="23"/>
      <c r="CM106" s="45" t="str">
        <f t="shared" si="43"/>
        <v/>
      </c>
      <c r="CN106" s="25"/>
      <c r="CO106" s="45" t="str">
        <f t="shared" si="44"/>
        <v/>
      </c>
      <c r="CP106" s="27">
        <v>0.0</v>
      </c>
    </row>
    <row r="107">
      <c r="A107" s="26" t="str">
        <f t="shared" si="1"/>
        <v/>
      </c>
      <c r="B107" s="26"/>
      <c r="C107" s="81"/>
      <c r="D107" s="27"/>
      <c r="E107" s="82"/>
      <c r="F107" s="20"/>
      <c r="G107" s="20"/>
      <c r="H107" s="20"/>
      <c r="I107" s="23"/>
      <c r="J107" s="33"/>
      <c r="K107" s="26" t="str">
        <f t="shared" si="2"/>
        <v/>
      </c>
      <c r="L107" s="23"/>
      <c r="M107" s="45" t="str">
        <f t="shared" si="3"/>
        <v/>
      </c>
      <c r="N107" s="25"/>
      <c r="O107" s="45" t="str">
        <f t="shared" si="4"/>
        <v/>
      </c>
      <c r="P107" s="29" t="str">
        <f t="shared" si="5"/>
        <v/>
      </c>
      <c r="Q107" s="29">
        <f t="shared" si="6"/>
        <v>0</v>
      </c>
      <c r="R107" s="29">
        <f t="shared" si="7"/>
        <v>0</v>
      </c>
      <c r="S107" s="26" t="str">
        <f t="shared" si="8"/>
        <v/>
      </c>
      <c r="T107" s="23"/>
      <c r="U107" s="45" t="str">
        <f t="shared" si="9"/>
        <v/>
      </c>
      <c r="V107" s="25"/>
      <c r="W107" s="45" t="str">
        <f t="shared" si="10"/>
        <v/>
      </c>
      <c r="X107" s="47"/>
      <c r="Y107" s="26" t="str">
        <f t="shared" si="11"/>
        <v/>
      </c>
      <c r="Z107" s="23"/>
      <c r="AA107" s="45" t="str">
        <f t="shared" si="12"/>
        <v/>
      </c>
      <c r="AB107" s="25"/>
      <c r="AC107" s="45" t="str">
        <f t="shared" si="13"/>
        <v/>
      </c>
      <c r="AD107" s="47"/>
      <c r="AE107" s="26"/>
      <c r="AF107" s="23"/>
      <c r="AG107" s="45" t="str">
        <f t="shared" si="14"/>
        <v/>
      </c>
      <c r="AH107" s="25"/>
      <c r="AI107" s="45" t="str">
        <f t="shared" si="15"/>
        <v/>
      </c>
      <c r="AJ107" s="27">
        <v>0.0</v>
      </c>
      <c r="AK107" s="33"/>
      <c r="AL107" s="26" t="str">
        <f t="shared" si="16"/>
        <v/>
      </c>
      <c r="AM107" s="23"/>
      <c r="AN107" s="45" t="str">
        <f t="shared" si="17"/>
        <v/>
      </c>
      <c r="AO107" s="25"/>
      <c r="AP107" s="45" t="str">
        <f t="shared" si="18"/>
        <v/>
      </c>
      <c r="AQ107" s="29" t="str">
        <f t="shared" si="19"/>
        <v/>
      </c>
      <c r="AR107" s="29">
        <f t="shared" si="20"/>
        <v>0</v>
      </c>
      <c r="AS107" s="29">
        <f t="shared" si="21"/>
        <v>0</v>
      </c>
      <c r="AT107" s="26" t="str">
        <f t="shared" si="22"/>
        <v/>
      </c>
      <c r="AU107" s="23"/>
      <c r="AV107" s="45" t="str">
        <f t="shared" si="23"/>
        <v/>
      </c>
      <c r="AW107" s="25"/>
      <c r="AX107" s="45" t="str">
        <f t="shared" si="24"/>
        <v/>
      </c>
      <c r="AY107" s="47"/>
      <c r="AZ107" s="26" t="str">
        <f t="shared" si="25"/>
        <v/>
      </c>
      <c r="BA107" s="23"/>
      <c r="BB107" s="45" t="str">
        <f t="shared" si="26"/>
        <v/>
      </c>
      <c r="BC107" s="25"/>
      <c r="BD107" s="45" t="str">
        <f t="shared" si="27"/>
        <v/>
      </c>
      <c r="BE107" s="47"/>
      <c r="BF107" s="26"/>
      <c r="BG107" s="23"/>
      <c r="BH107" s="45" t="str">
        <f t="shared" si="28"/>
        <v/>
      </c>
      <c r="BI107" s="25"/>
      <c r="BJ107" s="45" t="str">
        <f t="shared" si="29"/>
        <v/>
      </c>
      <c r="BK107" s="27">
        <v>0.0</v>
      </c>
      <c r="BL107" s="23"/>
      <c r="BM107" s="45" t="str">
        <f t="shared" si="30"/>
        <v/>
      </c>
      <c r="BN107" s="25"/>
      <c r="BO107" s="45" t="str">
        <f t="shared" si="31"/>
        <v/>
      </c>
      <c r="BP107" s="27">
        <v>0.0</v>
      </c>
      <c r="BQ107" s="33"/>
      <c r="BR107" s="23"/>
      <c r="BS107" s="45" t="str">
        <f t="shared" si="32"/>
        <v/>
      </c>
      <c r="BT107" s="25"/>
      <c r="BU107" s="45" t="str">
        <f t="shared" si="33"/>
        <v/>
      </c>
      <c r="BV107" s="29" t="str">
        <f t="shared" si="34"/>
        <v/>
      </c>
      <c r="BW107" s="29">
        <f t="shared" si="35"/>
        <v>0</v>
      </c>
      <c r="BX107" s="29">
        <f t="shared" si="36"/>
        <v>0</v>
      </c>
      <c r="BY107" s="26" t="str">
        <f t="shared" si="37"/>
        <v/>
      </c>
      <c r="BZ107" s="23"/>
      <c r="CA107" s="45" t="str">
        <f t="shared" si="38"/>
        <v/>
      </c>
      <c r="CB107" s="25"/>
      <c r="CC107" s="45" t="str">
        <f t="shared" si="39"/>
        <v/>
      </c>
      <c r="CD107" s="47"/>
      <c r="CE107" s="26" t="str">
        <f t="shared" si="40"/>
        <v/>
      </c>
      <c r="CF107" s="23"/>
      <c r="CG107" s="45" t="str">
        <f t="shared" si="41"/>
        <v/>
      </c>
      <c r="CH107" s="25"/>
      <c r="CI107" s="45" t="str">
        <f t="shared" si="42"/>
        <v/>
      </c>
      <c r="CJ107" s="47"/>
      <c r="CK107" s="26"/>
      <c r="CL107" s="23"/>
      <c r="CM107" s="45" t="str">
        <f t="shared" si="43"/>
        <v/>
      </c>
      <c r="CN107" s="25"/>
      <c r="CO107" s="45" t="str">
        <f t="shared" si="44"/>
        <v/>
      </c>
      <c r="CP107" s="27">
        <v>0.0</v>
      </c>
    </row>
    <row r="108">
      <c r="A108" s="26" t="str">
        <f t="shared" si="1"/>
        <v/>
      </c>
      <c r="B108" s="26"/>
      <c r="C108" s="81"/>
      <c r="D108" s="27"/>
      <c r="E108" s="82"/>
      <c r="F108" s="20"/>
      <c r="G108" s="20"/>
      <c r="H108" s="20"/>
      <c r="I108" s="23"/>
      <c r="J108" s="33"/>
      <c r="K108" s="26" t="str">
        <f t="shared" si="2"/>
        <v/>
      </c>
      <c r="L108" s="23"/>
      <c r="M108" s="45" t="str">
        <f t="shared" si="3"/>
        <v/>
      </c>
      <c r="N108" s="25"/>
      <c r="O108" s="45" t="str">
        <f t="shared" si="4"/>
        <v/>
      </c>
      <c r="P108" s="29" t="str">
        <f t="shared" si="5"/>
        <v/>
      </c>
      <c r="Q108" s="29">
        <f t="shared" si="6"/>
        <v>0</v>
      </c>
      <c r="R108" s="29">
        <f t="shared" si="7"/>
        <v>0</v>
      </c>
      <c r="S108" s="26" t="str">
        <f t="shared" si="8"/>
        <v/>
      </c>
      <c r="T108" s="23"/>
      <c r="U108" s="45" t="str">
        <f t="shared" si="9"/>
        <v/>
      </c>
      <c r="V108" s="25"/>
      <c r="W108" s="45" t="str">
        <f t="shared" si="10"/>
        <v/>
      </c>
      <c r="X108" s="47"/>
      <c r="Y108" s="26" t="str">
        <f t="shared" si="11"/>
        <v/>
      </c>
      <c r="Z108" s="23"/>
      <c r="AA108" s="45" t="str">
        <f t="shared" si="12"/>
        <v/>
      </c>
      <c r="AB108" s="25"/>
      <c r="AC108" s="45" t="str">
        <f t="shared" si="13"/>
        <v/>
      </c>
      <c r="AD108" s="47"/>
      <c r="AE108" s="26"/>
      <c r="AF108" s="23"/>
      <c r="AG108" s="45" t="str">
        <f t="shared" si="14"/>
        <v/>
      </c>
      <c r="AH108" s="25"/>
      <c r="AI108" s="45" t="str">
        <f t="shared" si="15"/>
        <v/>
      </c>
      <c r="AJ108" s="27">
        <v>0.0</v>
      </c>
      <c r="AK108" s="33"/>
      <c r="AL108" s="26" t="str">
        <f t="shared" si="16"/>
        <v/>
      </c>
      <c r="AM108" s="23"/>
      <c r="AN108" s="45" t="str">
        <f t="shared" si="17"/>
        <v/>
      </c>
      <c r="AO108" s="25"/>
      <c r="AP108" s="45" t="str">
        <f t="shared" si="18"/>
        <v/>
      </c>
      <c r="AQ108" s="29" t="str">
        <f t="shared" si="19"/>
        <v/>
      </c>
      <c r="AR108" s="29">
        <f t="shared" si="20"/>
        <v>0</v>
      </c>
      <c r="AS108" s="29">
        <f t="shared" si="21"/>
        <v>0</v>
      </c>
      <c r="AT108" s="26" t="str">
        <f t="shared" si="22"/>
        <v/>
      </c>
      <c r="AU108" s="23"/>
      <c r="AV108" s="45" t="str">
        <f t="shared" si="23"/>
        <v/>
      </c>
      <c r="AW108" s="25"/>
      <c r="AX108" s="45" t="str">
        <f t="shared" si="24"/>
        <v/>
      </c>
      <c r="AY108" s="47"/>
      <c r="AZ108" s="26" t="str">
        <f t="shared" si="25"/>
        <v/>
      </c>
      <c r="BA108" s="23"/>
      <c r="BB108" s="45" t="str">
        <f t="shared" si="26"/>
        <v/>
      </c>
      <c r="BC108" s="25"/>
      <c r="BD108" s="45" t="str">
        <f t="shared" si="27"/>
        <v/>
      </c>
      <c r="BE108" s="47"/>
      <c r="BF108" s="26"/>
      <c r="BG108" s="23"/>
      <c r="BH108" s="45" t="str">
        <f t="shared" si="28"/>
        <v/>
      </c>
      <c r="BI108" s="25"/>
      <c r="BJ108" s="45" t="str">
        <f t="shared" si="29"/>
        <v/>
      </c>
      <c r="BK108" s="27">
        <v>0.0</v>
      </c>
      <c r="BL108" s="23"/>
      <c r="BM108" s="45" t="str">
        <f t="shared" si="30"/>
        <v/>
      </c>
      <c r="BN108" s="25"/>
      <c r="BO108" s="45" t="str">
        <f t="shared" si="31"/>
        <v/>
      </c>
      <c r="BP108" s="27">
        <v>0.0</v>
      </c>
      <c r="BQ108" s="33"/>
      <c r="BR108" s="23"/>
      <c r="BS108" s="45" t="str">
        <f t="shared" si="32"/>
        <v/>
      </c>
      <c r="BT108" s="25"/>
      <c r="BU108" s="45" t="str">
        <f t="shared" si="33"/>
        <v/>
      </c>
      <c r="BV108" s="29" t="str">
        <f t="shared" si="34"/>
        <v/>
      </c>
      <c r="BW108" s="29">
        <f t="shared" si="35"/>
        <v>0</v>
      </c>
      <c r="BX108" s="29">
        <f t="shared" si="36"/>
        <v>0</v>
      </c>
      <c r="BY108" s="26" t="str">
        <f t="shared" si="37"/>
        <v/>
      </c>
      <c r="BZ108" s="23"/>
      <c r="CA108" s="45" t="str">
        <f t="shared" si="38"/>
        <v/>
      </c>
      <c r="CB108" s="25"/>
      <c r="CC108" s="45" t="str">
        <f t="shared" si="39"/>
        <v/>
      </c>
      <c r="CD108" s="47"/>
      <c r="CE108" s="26" t="str">
        <f t="shared" si="40"/>
        <v/>
      </c>
      <c r="CF108" s="23"/>
      <c r="CG108" s="45" t="str">
        <f t="shared" si="41"/>
        <v/>
      </c>
      <c r="CH108" s="25"/>
      <c r="CI108" s="45" t="str">
        <f t="shared" si="42"/>
        <v/>
      </c>
      <c r="CJ108" s="47"/>
      <c r="CK108" s="26"/>
      <c r="CL108" s="23"/>
      <c r="CM108" s="45" t="str">
        <f t="shared" si="43"/>
        <v/>
      </c>
      <c r="CN108" s="25"/>
      <c r="CO108" s="45" t="str">
        <f t="shared" si="44"/>
        <v/>
      </c>
      <c r="CP108" s="27">
        <v>0.0</v>
      </c>
    </row>
    <row r="109">
      <c r="A109" s="26" t="str">
        <f t="shared" si="1"/>
        <v/>
      </c>
      <c r="B109" s="26"/>
      <c r="C109" s="81"/>
      <c r="D109" s="27"/>
      <c r="E109" s="82"/>
      <c r="F109" s="20"/>
      <c r="G109" s="20"/>
      <c r="H109" s="20"/>
      <c r="I109" s="23"/>
      <c r="J109" s="33"/>
      <c r="K109" s="26" t="str">
        <f t="shared" si="2"/>
        <v/>
      </c>
      <c r="L109" s="23"/>
      <c r="M109" s="45" t="str">
        <f t="shared" si="3"/>
        <v/>
      </c>
      <c r="N109" s="25"/>
      <c r="O109" s="45" t="str">
        <f t="shared" si="4"/>
        <v/>
      </c>
      <c r="P109" s="29" t="str">
        <f t="shared" si="5"/>
        <v/>
      </c>
      <c r="Q109" s="29">
        <f t="shared" si="6"/>
        <v>0</v>
      </c>
      <c r="R109" s="29">
        <f t="shared" si="7"/>
        <v>0</v>
      </c>
      <c r="S109" s="26" t="str">
        <f t="shared" si="8"/>
        <v/>
      </c>
      <c r="T109" s="23"/>
      <c r="U109" s="45" t="str">
        <f t="shared" si="9"/>
        <v/>
      </c>
      <c r="V109" s="25"/>
      <c r="W109" s="45" t="str">
        <f t="shared" si="10"/>
        <v/>
      </c>
      <c r="X109" s="47"/>
      <c r="Y109" s="26" t="str">
        <f t="shared" si="11"/>
        <v/>
      </c>
      <c r="Z109" s="23"/>
      <c r="AA109" s="45" t="str">
        <f t="shared" si="12"/>
        <v/>
      </c>
      <c r="AB109" s="25"/>
      <c r="AC109" s="45" t="str">
        <f t="shared" si="13"/>
        <v/>
      </c>
      <c r="AD109" s="47"/>
      <c r="AE109" s="26"/>
      <c r="AF109" s="23"/>
      <c r="AG109" s="45" t="str">
        <f t="shared" si="14"/>
        <v/>
      </c>
      <c r="AH109" s="25"/>
      <c r="AI109" s="45" t="str">
        <f t="shared" si="15"/>
        <v/>
      </c>
      <c r="AJ109" s="27">
        <v>0.0</v>
      </c>
      <c r="AK109" s="33"/>
      <c r="AL109" s="26" t="str">
        <f t="shared" si="16"/>
        <v/>
      </c>
      <c r="AM109" s="23"/>
      <c r="AN109" s="45" t="str">
        <f t="shared" si="17"/>
        <v/>
      </c>
      <c r="AO109" s="25"/>
      <c r="AP109" s="45" t="str">
        <f t="shared" si="18"/>
        <v/>
      </c>
      <c r="AQ109" s="29" t="str">
        <f t="shared" si="19"/>
        <v/>
      </c>
      <c r="AR109" s="29">
        <f t="shared" si="20"/>
        <v>0</v>
      </c>
      <c r="AS109" s="29">
        <f t="shared" si="21"/>
        <v>0</v>
      </c>
      <c r="AT109" s="26" t="str">
        <f t="shared" si="22"/>
        <v/>
      </c>
      <c r="AU109" s="23"/>
      <c r="AV109" s="45" t="str">
        <f t="shared" si="23"/>
        <v/>
      </c>
      <c r="AW109" s="25"/>
      <c r="AX109" s="45" t="str">
        <f t="shared" si="24"/>
        <v/>
      </c>
      <c r="AY109" s="47"/>
      <c r="AZ109" s="26" t="str">
        <f t="shared" si="25"/>
        <v/>
      </c>
      <c r="BA109" s="23"/>
      <c r="BB109" s="45" t="str">
        <f t="shared" si="26"/>
        <v/>
      </c>
      <c r="BC109" s="25"/>
      <c r="BD109" s="45" t="str">
        <f t="shared" si="27"/>
        <v/>
      </c>
      <c r="BE109" s="47"/>
      <c r="BF109" s="26"/>
      <c r="BG109" s="23"/>
      <c r="BH109" s="45" t="str">
        <f t="shared" si="28"/>
        <v/>
      </c>
      <c r="BI109" s="25"/>
      <c r="BJ109" s="45" t="str">
        <f t="shared" si="29"/>
        <v/>
      </c>
      <c r="BK109" s="27">
        <v>0.0</v>
      </c>
      <c r="BL109" s="23"/>
      <c r="BM109" s="45" t="str">
        <f t="shared" si="30"/>
        <v/>
      </c>
      <c r="BN109" s="25"/>
      <c r="BO109" s="45" t="str">
        <f t="shared" si="31"/>
        <v/>
      </c>
      <c r="BP109" s="27">
        <v>0.0</v>
      </c>
      <c r="BQ109" s="33"/>
      <c r="BR109" s="23"/>
      <c r="BS109" s="45" t="str">
        <f t="shared" si="32"/>
        <v/>
      </c>
      <c r="BT109" s="25"/>
      <c r="BU109" s="45" t="str">
        <f t="shared" si="33"/>
        <v/>
      </c>
      <c r="BV109" s="29" t="str">
        <f t="shared" si="34"/>
        <v/>
      </c>
      <c r="BW109" s="29">
        <f t="shared" si="35"/>
        <v>0</v>
      </c>
      <c r="BX109" s="29">
        <f t="shared" si="36"/>
        <v>0</v>
      </c>
      <c r="BY109" s="26" t="str">
        <f t="shared" si="37"/>
        <v/>
      </c>
      <c r="BZ109" s="23"/>
      <c r="CA109" s="45" t="str">
        <f t="shared" si="38"/>
        <v/>
      </c>
      <c r="CB109" s="25"/>
      <c r="CC109" s="45" t="str">
        <f t="shared" si="39"/>
        <v/>
      </c>
      <c r="CD109" s="47"/>
      <c r="CE109" s="26" t="str">
        <f t="shared" si="40"/>
        <v/>
      </c>
      <c r="CF109" s="23"/>
      <c r="CG109" s="45" t="str">
        <f t="shared" si="41"/>
        <v/>
      </c>
      <c r="CH109" s="25"/>
      <c r="CI109" s="45" t="str">
        <f t="shared" si="42"/>
        <v/>
      </c>
      <c r="CJ109" s="47"/>
      <c r="CK109" s="26"/>
      <c r="CL109" s="23"/>
      <c r="CM109" s="45" t="str">
        <f t="shared" si="43"/>
        <v/>
      </c>
      <c r="CN109" s="25"/>
      <c r="CO109" s="45" t="str">
        <f t="shared" si="44"/>
        <v/>
      </c>
      <c r="CP109" s="27">
        <v>0.0</v>
      </c>
    </row>
    <row r="110">
      <c r="A110" s="26" t="str">
        <f t="shared" si="1"/>
        <v/>
      </c>
      <c r="B110" s="26"/>
      <c r="C110" s="81"/>
      <c r="D110" s="27"/>
      <c r="E110" s="82"/>
      <c r="F110" s="20"/>
      <c r="G110" s="20"/>
      <c r="H110" s="20"/>
      <c r="I110" s="23"/>
      <c r="J110" s="33"/>
      <c r="K110" s="26" t="str">
        <f t="shared" si="2"/>
        <v/>
      </c>
      <c r="L110" s="23"/>
      <c r="M110" s="45" t="str">
        <f t="shared" si="3"/>
        <v/>
      </c>
      <c r="N110" s="25"/>
      <c r="O110" s="45" t="str">
        <f t="shared" si="4"/>
        <v/>
      </c>
      <c r="P110" s="29" t="str">
        <f t="shared" si="5"/>
        <v/>
      </c>
      <c r="Q110" s="29">
        <f t="shared" si="6"/>
        <v>0</v>
      </c>
      <c r="R110" s="29">
        <f t="shared" si="7"/>
        <v>0</v>
      </c>
      <c r="S110" s="26" t="str">
        <f t="shared" si="8"/>
        <v/>
      </c>
      <c r="T110" s="23"/>
      <c r="U110" s="45" t="str">
        <f t="shared" si="9"/>
        <v/>
      </c>
      <c r="V110" s="25"/>
      <c r="W110" s="45" t="str">
        <f t="shared" si="10"/>
        <v/>
      </c>
      <c r="X110" s="47"/>
      <c r="Y110" s="26" t="str">
        <f t="shared" si="11"/>
        <v/>
      </c>
      <c r="Z110" s="23"/>
      <c r="AA110" s="45" t="str">
        <f t="shared" si="12"/>
        <v/>
      </c>
      <c r="AB110" s="25"/>
      <c r="AC110" s="45" t="str">
        <f t="shared" si="13"/>
        <v/>
      </c>
      <c r="AD110" s="47"/>
      <c r="AE110" s="26"/>
      <c r="AF110" s="23"/>
      <c r="AG110" s="45" t="str">
        <f t="shared" si="14"/>
        <v/>
      </c>
      <c r="AH110" s="25"/>
      <c r="AI110" s="45" t="str">
        <f t="shared" si="15"/>
        <v/>
      </c>
      <c r="AJ110" s="27">
        <v>0.0</v>
      </c>
      <c r="AK110" s="33"/>
      <c r="AL110" s="26" t="str">
        <f t="shared" si="16"/>
        <v/>
      </c>
      <c r="AM110" s="23"/>
      <c r="AN110" s="45" t="str">
        <f t="shared" si="17"/>
        <v/>
      </c>
      <c r="AO110" s="25"/>
      <c r="AP110" s="45" t="str">
        <f t="shared" si="18"/>
        <v/>
      </c>
      <c r="AQ110" s="29" t="str">
        <f t="shared" si="19"/>
        <v/>
      </c>
      <c r="AR110" s="29">
        <f t="shared" si="20"/>
        <v>0</v>
      </c>
      <c r="AS110" s="29">
        <f t="shared" si="21"/>
        <v>0</v>
      </c>
      <c r="AT110" s="26" t="str">
        <f t="shared" si="22"/>
        <v/>
      </c>
      <c r="AU110" s="23"/>
      <c r="AV110" s="45" t="str">
        <f t="shared" si="23"/>
        <v/>
      </c>
      <c r="AW110" s="25"/>
      <c r="AX110" s="45" t="str">
        <f t="shared" si="24"/>
        <v/>
      </c>
      <c r="AY110" s="47"/>
      <c r="AZ110" s="26" t="str">
        <f t="shared" si="25"/>
        <v/>
      </c>
      <c r="BA110" s="23"/>
      <c r="BB110" s="45" t="str">
        <f t="shared" si="26"/>
        <v/>
      </c>
      <c r="BC110" s="25"/>
      <c r="BD110" s="45" t="str">
        <f t="shared" si="27"/>
        <v/>
      </c>
      <c r="BE110" s="47"/>
      <c r="BF110" s="26"/>
      <c r="BG110" s="23"/>
      <c r="BH110" s="45" t="str">
        <f t="shared" si="28"/>
        <v/>
      </c>
      <c r="BI110" s="25"/>
      <c r="BJ110" s="45" t="str">
        <f t="shared" si="29"/>
        <v/>
      </c>
      <c r="BK110" s="27">
        <v>0.0</v>
      </c>
      <c r="BL110" s="23"/>
      <c r="BM110" s="45" t="str">
        <f t="shared" si="30"/>
        <v/>
      </c>
      <c r="BN110" s="25"/>
      <c r="BO110" s="45" t="str">
        <f t="shared" si="31"/>
        <v/>
      </c>
      <c r="BP110" s="27">
        <v>0.0</v>
      </c>
      <c r="BQ110" s="33"/>
      <c r="BR110" s="23"/>
      <c r="BS110" s="45" t="str">
        <f t="shared" si="32"/>
        <v/>
      </c>
      <c r="BT110" s="25"/>
      <c r="BU110" s="45" t="str">
        <f t="shared" si="33"/>
        <v/>
      </c>
      <c r="BV110" s="29" t="str">
        <f t="shared" si="34"/>
        <v/>
      </c>
      <c r="BW110" s="29">
        <f t="shared" si="35"/>
        <v>0</v>
      </c>
      <c r="BX110" s="29">
        <f t="shared" si="36"/>
        <v>0</v>
      </c>
      <c r="BY110" s="26" t="str">
        <f t="shared" si="37"/>
        <v/>
      </c>
      <c r="BZ110" s="23"/>
      <c r="CA110" s="45" t="str">
        <f t="shared" si="38"/>
        <v/>
      </c>
      <c r="CB110" s="25"/>
      <c r="CC110" s="45" t="str">
        <f t="shared" si="39"/>
        <v/>
      </c>
      <c r="CD110" s="47"/>
      <c r="CE110" s="26" t="str">
        <f t="shared" si="40"/>
        <v/>
      </c>
      <c r="CF110" s="23"/>
      <c r="CG110" s="45" t="str">
        <f t="shared" si="41"/>
        <v/>
      </c>
      <c r="CH110" s="25"/>
      <c r="CI110" s="45" t="str">
        <f t="shared" si="42"/>
        <v/>
      </c>
      <c r="CJ110" s="47"/>
      <c r="CK110" s="26"/>
      <c r="CL110" s="23"/>
      <c r="CM110" s="45" t="str">
        <f t="shared" si="43"/>
        <v/>
      </c>
      <c r="CN110" s="25"/>
      <c r="CO110" s="45" t="str">
        <f t="shared" si="44"/>
        <v/>
      </c>
      <c r="CP110" s="27">
        <v>0.0</v>
      </c>
    </row>
    <row r="111">
      <c r="A111" s="26" t="str">
        <f t="shared" si="1"/>
        <v/>
      </c>
      <c r="B111" s="26"/>
      <c r="C111" s="81"/>
      <c r="D111" s="27"/>
      <c r="E111" s="82"/>
      <c r="F111" s="20"/>
      <c r="G111" s="20"/>
      <c r="H111" s="20"/>
      <c r="I111" s="23"/>
      <c r="J111" s="33"/>
      <c r="K111" s="26" t="str">
        <f t="shared" si="2"/>
        <v/>
      </c>
      <c r="L111" s="23"/>
      <c r="M111" s="45" t="str">
        <f t="shared" si="3"/>
        <v/>
      </c>
      <c r="N111" s="25"/>
      <c r="O111" s="45" t="str">
        <f t="shared" si="4"/>
        <v/>
      </c>
      <c r="P111" s="29" t="str">
        <f t="shared" si="5"/>
        <v/>
      </c>
      <c r="Q111" s="29">
        <f t="shared" si="6"/>
        <v>0</v>
      </c>
      <c r="R111" s="29">
        <f t="shared" si="7"/>
        <v>0</v>
      </c>
      <c r="S111" s="26" t="str">
        <f t="shared" si="8"/>
        <v/>
      </c>
      <c r="T111" s="23"/>
      <c r="U111" s="45" t="str">
        <f t="shared" si="9"/>
        <v/>
      </c>
      <c r="V111" s="25"/>
      <c r="W111" s="45" t="str">
        <f t="shared" si="10"/>
        <v/>
      </c>
      <c r="X111" s="47"/>
      <c r="Y111" s="26" t="str">
        <f t="shared" si="11"/>
        <v/>
      </c>
      <c r="Z111" s="23"/>
      <c r="AA111" s="45" t="str">
        <f t="shared" si="12"/>
        <v/>
      </c>
      <c r="AB111" s="25"/>
      <c r="AC111" s="45" t="str">
        <f t="shared" si="13"/>
        <v/>
      </c>
      <c r="AD111" s="47"/>
      <c r="AE111" s="26"/>
      <c r="AF111" s="23"/>
      <c r="AG111" s="45" t="str">
        <f t="shared" si="14"/>
        <v/>
      </c>
      <c r="AH111" s="25"/>
      <c r="AI111" s="45" t="str">
        <f t="shared" si="15"/>
        <v/>
      </c>
      <c r="AJ111" s="27">
        <v>0.0</v>
      </c>
      <c r="AK111" s="33"/>
      <c r="AL111" s="26" t="str">
        <f t="shared" si="16"/>
        <v/>
      </c>
      <c r="AM111" s="23"/>
      <c r="AN111" s="45" t="str">
        <f t="shared" si="17"/>
        <v/>
      </c>
      <c r="AO111" s="25"/>
      <c r="AP111" s="45" t="str">
        <f t="shared" si="18"/>
        <v/>
      </c>
      <c r="AQ111" s="29" t="str">
        <f t="shared" si="19"/>
        <v/>
      </c>
      <c r="AR111" s="29">
        <f t="shared" si="20"/>
        <v>0</v>
      </c>
      <c r="AS111" s="29">
        <f t="shared" si="21"/>
        <v>0</v>
      </c>
      <c r="AT111" s="26" t="str">
        <f t="shared" si="22"/>
        <v/>
      </c>
      <c r="AU111" s="23"/>
      <c r="AV111" s="45" t="str">
        <f t="shared" si="23"/>
        <v/>
      </c>
      <c r="AW111" s="25"/>
      <c r="AX111" s="45" t="str">
        <f t="shared" si="24"/>
        <v/>
      </c>
      <c r="AY111" s="47"/>
      <c r="AZ111" s="26" t="str">
        <f t="shared" si="25"/>
        <v/>
      </c>
      <c r="BA111" s="23"/>
      <c r="BB111" s="45" t="str">
        <f t="shared" si="26"/>
        <v/>
      </c>
      <c r="BC111" s="25"/>
      <c r="BD111" s="45" t="str">
        <f t="shared" si="27"/>
        <v/>
      </c>
      <c r="BE111" s="47"/>
      <c r="BF111" s="26"/>
      <c r="BG111" s="23"/>
      <c r="BH111" s="45" t="str">
        <f t="shared" si="28"/>
        <v/>
      </c>
      <c r="BI111" s="25"/>
      <c r="BJ111" s="45" t="str">
        <f t="shared" si="29"/>
        <v/>
      </c>
      <c r="BK111" s="27">
        <v>0.0</v>
      </c>
      <c r="BL111" s="23"/>
      <c r="BM111" s="45" t="str">
        <f t="shared" si="30"/>
        <v/>
      </c>
      <c r="BN111" s="25"/>
      <c r="BO111" s="45" t="str">
        <f t="shared" si="31"/>
        <v/>
      </c>
      <c r="BP111" s="27">
        <v>0.0</v>
      </c>
      <c r="BQ111" s="33"/>
      <c r="BR111" s="23"/>
      <c r="BS111" s="45" t="str">
        <f t="shared" si="32"/>
        <v/>
      </c>
      <c r="BT111" s="25"/>
      <c r="BU111" s="45" t="str">
        <f t="shared" si="33"/>
        <v/>
      </c>
      <c r="BV111" s="29" t="str">
        <f t="shared" si="34"/>
        <v/>
      </c>
      <c r="BW111" s="29">
        <f t="shared" si="35"/>
        <v>0</v>
      </c>
      <c r="BX111" s="29">
        <f t="shared" si="36"/>
        <v>0</v>
      </c>
      <c r="BY111" s="26" t="str">
        <f t="shared" si="37"/>
        <v/>
      </c>
      <c r="BZ111" s="23"/>
      <c r="CA111" s="45" t="str">
        <f t="shared" si="38"/>
        <v/>
      </c>
      <c r="CB111" s="25"/>
      <c r="CC111" s="45" t="str">
        <f t="shared" si="39"/>
        <v/>
      </c>
      <c r="CD111" s="47"/>
      <c r="CE111" s="26" t="str">
        <f t="shared" si="40"/>
        <v/>
      </c>
      <c r="CF111" s="23"/>
      <c r="CG111" s="45" t="str">
        <f t="shared" si="41"/>
        <v/>
      </c>
      <c r="CH111" s="25"/>
      <c r="CI111" s="45" t="str">
        <f t="shared" si="42"/>
        <v/>
      </c>
      <c r="CJ111" s="47"/>
      <c r="CK111" s="26"/>
      <c r="CL111" s="23"/>
      <c r="CM111" s="45" t="str">
        <f t="shared" si="43"/>
        <v/>
      </c>
      <c r="CN111" s="25"/>
      <c r="CO111" s="45" t="str">
        <f t="shared" si="44"/>
        <v/>
      </c>
      <c r="CP111" s="27">
        <v>0.0</v>
      </c>
    </row>
    <row r="112">
      <c r="A112" s="26" t="str">
        <f t="shared" si="1"/>
        <v/>
      </c>
      <c r="B112" s="26"/>
      <c r="C112" s="81"/>
      <c r="D112" s="27"/>
      <c r="E112" s="82"/>
      <c r="F112" s="20"/>
      <c r="G112" s="20"/>
      <c r="H112" s="20"/>
      <c r="I112" s="23"/>
      <c r="J112" s="33"/>
      <c r="K112" s="26" t="str">
        <f t="shared" si="2"/>
        <v/>
      </c>
      <c r="L112" s="23"/>
      <c r="M112" s="45" t="str">
        <f t="shared" si="3"/>
        <v/>
      </c>
      <c r="N112" s="25"/>
      <c r="O112" s="45" t="str">
        <f t="shared" si="4"/>
        <v/>
      </c>
      <c r="P112" s="29" t="str">
        <f t="shared" si="5"/>
        <v/>
      </c>
      <c r="Q112" s="29">
        <f t="shared" si="6"/>
        <v>0</v>
      </c>
      <c r="R112" s="29">
        <f t="shared" si="7"/>
        <v>0</v>
      </c>
      <c r="S112" s="26" t="str">
        <f t="shared" si="8"/>
        <v/>
      </c>
      <c r="T112" s="23"/>
      <c r="U112" s="45" t="str">
        <f t="shared" si="9"/>
        <v/>
      </c>
      <c r="V112" s="25"/>
      <c r="W112" s="45" t="str">
        <f t="shared" si="10"/>
        <v/>
      </c>
      <c r="X112" s="47"/>
      <c r="Y112" s="26" t="str">
        <f t="shared" si="11"/>
        <v/>
      </c>
      <c r="Z112" s="23"/>
      <c r="AA112" s="45" t="str">
        <f t="shared" si="12"/>
        <v/>
      </c>
      <c r="AB112" s="25"/>
      <c r="AC112" s="45" t="str">
        <f t="shared" si="13"/>
        <v/>
      </c>
      <c r="AD112" s="47"/>
      <c r="AE112" s="26"/>
      <c r="AF112" s="23"/>
      <c r="AG112" s="45" t="str">
        <f t="shared" si="14"/>
        <v/>
      </c>
      <c r="AH112" s="25"/>
      <c r="AI112" s="45" t="str">
        <f t="shared" si="15"/>
        <v/>
      </c>
      <c r="AJ112" s="27">
        <v>0.0</v>
      </c>
      <c r="AK112" s="33"/>
      <c r="AL112" s="26" t="str">
        <f t="shared" si="16"/>
        <v/>
      </c>
      <c r="AM112" s="23"/>
      <c r="AN112" s="45" t="str">
        <f t="shared" si="17"/>
        <v/>
      </c>
      <c r="AO112" s="25"/>
      <c r="AP112" s="45" t="str">
        <f t="shared" si="18"/>
        <v/>
      </c>
      <c r="AQ112" s="29" t="str">
        <f t="shared" si="19"/>
        <v/>
      </c>
      <c r="AR112" s="29">
        <f t="shared" si="20"/>
        <v>0</v>
      </c>
      <c r="AS112" s="29">
        <f t="shared" si="21"/>
        <v>0</v>
      </c>
      <c r="AT112" s="26" t="str">
        <f t="shared" si="22"/>
        <v/>
      </c>
      <c r="AU112" s="23"/>
      <c r="AV112" s="45" t="str">
        <f t="shared" si="23"/>
        <v/>
      </c>
      <c r="AW112" s="25"/>
      <c r="AX112" s="45" t="str">
        <f t="shared" si="24"/>
        <v/>
      </c>
      <c r="AY112" s="47"/>
      <c r="AZ112" s="26" t="str">
        <f t="shared" si="25"/>
        <v/>
      </c>
      <c r="BA112" s="23"/>
      <c r="BB112" s="45" t="str">
        <f t="shared" si="26"/>
        <v/>
      </c>
      <c r="BC112" s="25"/>
      <c r="BD112" s="45" t="str">
        <f t="shared" si="27"/>
        <v/>
      </c>
      <c r="BE112" s="47"/>
      <c r="BF112" s="26"/>
      <c r="BG112" s="23"/>
      <c r="BH112" s="45" t="str">
        <f t="shared" si="28"/>
        <v/>
      </c>
      <c r="BI112" s="25"/>
      <c r="BJ112" s="45" t="str">
        <f t="shared" si="29"/>
        <v/>
      </c>
      <c r="BK112" s="27">
        <v>0.0</v>
      </c>
      <c r="BL112" s="23"/>
      <c r="BM112" s="45" t="str">
        <f t="shared" si="30"/>
        <v/>
      </c>
      <c r="BN112" s="25"/>
      <c r="BO112" s="45" t="str">
        <f t="shared" si="31"/>
        <v/>
      </c>
      <c r="BP112" s="27">
        <v>0.0</v>
      </c>
      <c r="BQ112" s="33"/>
      <c r="BR112" s="23"/>
      <c r="BS112" s="45" t="str">
        <f t="shared" si="32"/>
        <v/>
      </c>
      <c r="BT112" s="25"/>
      <c r="BU112" s="45" t="str">
        <f t="shared" si="33"/>
        <v/>
      </c>
      <c r="BV112" s="29" t="str">
        <f t="shared" si="34"/>
        <v/>
      </c>
      <c r="BW112" s="29">
        <f t="shared" si="35"/>
        <v>0</v>
      </c>
      <c r="BX112" s="29">
        <f t="shared" si="36"/>
        <v>0</v>
      </c>
      <c r="BY112" s="26" t="str">
        <f t="shared" si="37"/>
        <v/>
      </c>
      <c r="BZ112" s="23"/>
      <c r="CA112" s="45" t="str">
        <f t="shared" si="38"/>
        <v/>
      </c>
      <c r="CB112" s="25"/>
      <c r="CC112" s="45" t="str">
        <f t="shared" si="39"/>
        <v/>
      </c>
      <c r="CD112" s="47"/>
      <c r="CE112" s="26" t="str">
        <f t="shared" si="40"/>
        <v/>
      </c>
      <c r="CF112" s="23"/>
      <c r="CG112" s="45" t="str">
        <f t="shared" si="41"/>
        <v/>
      </c>
      <c r="CH112" s="25"/>
      <c r="CI112" s="45" t="str">
        <f t="shared" si="42"/>
        <v/>
      </c>
      <c r="CJ112" s="47"/>
      <c r="CK112" s="26"/>
      <c r="CL112" s="23"/>
      <c r="CM112" s="45" t="str">
        <f t="shared" si="43"/>
        <v/>
      </c>
      <c r="CN112" s="25"/>
      <c r="CO112" s="45" t="str">
        <f t="shared" si="44"/>
        <v/>
      </c>
      <c r="CP112" s="27">
        <v>0.0</v>
      </c>
    </row>
    <row r="113">
      <c r="A113" s="26" t="str">
        <f t="shared" si="1"/>
        <v/>
      </c>
      <c r="B113" s="26"/>
      <c r="C113" s="81"/>
      <c r="D113" s="27"/>
      <c r="E113" s="82"/>
      <c r="F113" s="20"/>
      <c r="G113" s="20"/>
      <c r="H113" s="20"/>
      <c r="I113" s="23"/>
      <c r="J113" s="33"/>
      <c r="K113" s="26" t="str">
        <f t="shared" si="2"/>
        <v/>
      </c>
      <c r="L113" s="23"/>
      <c r="M113" s="45" t="str">
        <f t="shared" si="3"/>
        <v/>
      </c>
      <c r="N113" s="25"/>
      <c r="O113" s="45" t="str">
        <f t="shared" si="4"/>
        <v/>
      </c>
      <c r="P113" s="29" t="str">
        <f t="shared" si="5"/>
        <v/>
      </c>
      <c r="Q113" s="29">
        <f t="shared" si="6"/>
        <v>0</v>
      </c>
      <c r="R113" s="29">
        <f t="shared" si="7"/>
        <v>0</v>
      </c>
      <c r="S113" s="26" t="str">
        <f t="shared" si="8"/>
        <v/>
      </c>
      <c r="T113" s="23"/>
      <c r="U113" s="45" t="str">
        <f t="shared" si="9"/>
        <v/>
      </c>
      <c r="V113" s="25"/>
      <c r="W113" s="45" t="str">
        <f t="shared" si="10"/>
        <v/>
      </c>
      <c r="X113" s="47"/>
      <c r="Y113" s="26" t="str">
        <f t="shared" si="11"/>
        <v/>
      </c>
      <c r="Z113" s="23"/>
      <c r="AA113" s="45" t="str">
        <f t="shared" si="12"/>
        <v/>
      </c>
      <c r="AB113" s="25"/>
      <c r="AC113" s="45" t="str">
        <f t="shared" si="13"/>
        <v/>
      </c>
      <c r="AD113" s="47"/>
      <c r="AE113" s="26"/>
      <c r="AF113" s="23"/>
      <c r="AG113" s="45" t="str">
        <f t="shared" si="14"/>
        <v/>
      </c>
      <c r="AH113" s="25"/>
      <c r="AI113" s="45" t="str">
        <f t="shared" si="15"/>
        <v/>
      </c>
      <c r="AJ113" s="27">
        <v>0.0</v>
      </c>
      <c r="AK113" s="33"/>
      <c r="AL113" s="26" t="str">
        <f t="shared" si="16"/>
        <v/>
      </c>
      <c r="AM113" s="23"/>
      <c r="AN113" s="45" t="str">
        <f t="shared" si="17"/>
        <v/>
      </c>
      <c r="AO113" s="25"/>
      <c r="AP113" s="45" t="str">
        <f t="shared" si="18"/>
        <v/>
      </c>
      <c r="AQ113" s="29" t="str">
        <f t="shared" si="19"/>
        <v/>
      </c>
      <c r="AR113" s="29">
        <f t="shared" si="20"/>
        <v>0</v>
      </c>
      <c r="AS113" s="29">
        <f t="shared" si="21"/>
        <v>0</v>
      </c>
      <c r="AT113" s="26" t="str">
        <f t="shared" si="22"/>
        <v/>
      </c>
      <c r="AU113" s="23"/>
      <c r="AV113" s="45" t="str">
        <f t="shared" si="23"/>
        <v/>
      </c>
      <c r="AW113" s="25"/>
      <c r="AX113" s="45" t="str">
        <f t="shared" si="24"/>
        <v/>
      </c>
      <c r="AY113" s="47"/>
      <c r="AZ113" s="26" t="str">
        <f t="shared" si="25"/>
        <v/>
      </c>
      <c r="BA113" s="23"/>
      <c r="BB113" s="45" t="str">
        <f t="shared" si="26"/>
        <v/>
      </c>
      <c r="BC113" s="25"/>
      <c r="BD113" s="45" t="str">
        <f t="shared" si="27"/>
        <v/>
      </c>
      <c r="BE113" s="47"/>
      <c r="BF113" s="26"/>
      <c r="BG113" s="23"/>
      <c r="BH113" s="45" t="str">
        <f t="shared" si="28"/>
        <v/>
      </c>
      <c r="BI113" s="25"/>
      <c r="BJ113" s="45" t="str">
        <f t="shared" si="29"/>
        <v/>
      </c>
      <c r="BK113" s="27">
        <v>0.0</v>
      </c>
      <c r="BL113" s="23"/>
      <c r="BM113" s="45" t="str">
        <f t="shared" si="30"/>
        <v/>
      </c>
      <c r="BN113" s="25"/>
      <c r="BO113" s="45" t="str">
        <f t="shared" si="31"/>
        <v/>
      </c>
      <c r="BP113" s="27">
        <v>0.0</v>
      </c>
      <c r="BQ113" s="33"/>
      <c r="BR113" s="23"/>
      <c r="BS113" s="45" t="str">
        <f t="shared" si="32"/>
        <v/>
      </c>
      <c r="BT113" s="25"/>
      <c r="BU113" s="45" t="str">
        <f t="shared" si="33"/>
        <v/>
      </c>
      <c r="BV113" s="29" t="str">
        <f t="shared" si="34"/>
        <v/>
      </c>
      <c r="BW113" s="29">
        <f t="shared" si="35"/>
        <v>0</v>
      </c>
      <c r="BX113" s="29">
        <f t="shared" si="36"/>
        <v>0</v>
      </c>
      <c r="BY113" s="26" t="str">
        <f t="shared" si="37"/>
        <v/>
      </c>
      <c r="BZ113" s="23"/>
      <c r="CA113" s="45" t="str">
        <f t="shared" si="38"/>
        <v/>
      </c>
      <c r="CB113" s="25"/>
      <c r="CC113" s="45" t="str">
        <f t="shared" si="39"/>
        <v/>
      </c>
      <c r="CD113" s="47"/>
      <c r="CE113" s="26" t="str">
        <f t="shared" si="40"/>
        <v/>
      </c>
      <c r="CF113" s="23"/>
      <c r="CG113" s="45" t="str">
        <f t="shared" si="41"/>
        <v/>
      </c>
      <c r="CH113" s="25"/>
      <c r="CI113" s="45" t="str">
        <f t="shared" si="42"/>
        <v/>
      </c>
      <c r="CJ113" s="47"/>
      <c r="CK113" s="26"/>
      <c r="CL113" s="23"/>
      <c r="CM113" s="45" t="str">
        <f t="shared" si="43"/>
        <v/>
      </c>
      <c r="CN113" s="25"/>
      <c r="CO113" s="45" t="str">
        <f t="shared" si="44"/>
        <v/>
      </c>
      <c r="CP113" s="27">
        <v>0.0</v>
      </c>
    </row>
    <row r="114">
      <c r="A114" s="26" t="str">
        <f t="shared" si="1"/>
        <v/>
      </c>
      <c r="B114" s="26"/>
      <c r="C114" s="81"/>
      <c r="D114" s="27"/>
      <c r="E114" s="82"/>
      <c r="F114" s="20"/>
      <c r="G114" s="20"/>
      <c r="H114" s="20"/>
      <c r="I114" s="23"/>
      <c r="J114" s="33"/>
      <c r="K114" s="26" t="str">
        <f t="shared" si="2"/>
        <v/>
      </c>
      <c r="L114" s="23"/>
      <c r="M114" s="45" t="str">
        <f t="shared" si="3"/>
        <v/>
      </c>
      <c r="N114" s="25"/>
      <c r="O114" s="45" t="str">
        <f t="shared" si="4"/>
        <v/>
      </c>
      <c r="P114" s="29" t="str">
        <f t="shared" si="5"/>
        <v/>
      </c>
      <c r="Q114" s="29">
        <f t="shared" si="6"/>
        <v>0</v>
      </c>
      <c r="R114" s="29">
        <f t="shared" si="7"/>
        <v>0</v>
      </c>
      <c r="S114" s="26" t="str">
        <f t="shared" si="8"/>
        <v/>
      </c>
      <c r="T114" s="23"/>
      <c r="U114" s="45" t="str">
        <f t="shared" si="9"/>
        <v/>
      </c>
      <c r="V114" s="25"/>
      <c r="W114" s="45" t="str">
        <f t="shared" si="10"/>
        <v/>
      </c>
      <c r="X114" s="47"/>
      <c r="Y114" s="26" t="str">
        <f t="shared" si="11"/>
        <v/>
      </c>
      <c r="Z114" s="23"/>
      <c r="AA114" s="45" t="str">
        <f t="shared" si="12"/>
        <v/>
      </c>
      <c r="AB114" s="25"/>
      <c r="AC114" s="45" t="str">
        <f t="shared" si="13"/>
        <v/>
      </c>
      <c r="AD114" s="47"/>
      <c r="AE114" s="26"/>
      <c r="AF114" s="23"/>
      <c r="AG114" s="45" t="str">
        <f t="shared" si="14"/>
        <v/>
      </c>
      <c r="AH114" s="25"/>
      <c r="AI114" s="45" t="str">
        <f t="shared" si="15"/>
        <v/>
      </c>
      <c r="AJ114" s="27">
        <v>0.0</v>
      </c>
      <c r="AK114" s="33"/>
      <c r="AL114" s="26" t="str">
        <f t="shared" si="16"/>
        <v/>
      </c>
      <c r="AM114" s="23"/>
      <c r="AN114" s="45" t="str">
        <f t="shared" si="17"/>
        <v/>
      </c>
      <c r="AO114" s="25"/>
      <c r="AP114" s="45" t="str">
        <f t="shared" si="18"/>
        <v/>
      </c>
      <c r="AQ114" s="29" t="str">
        <f t="shared" si="19"/>
        <v/>
      </c>
      <c r="AR114" s="29">
        <f t="shared" si="20"/>
        <v>0</v>
      </c>
      <c r="AS114" s="29">
        <f t="shared" si="21"/>
        <v>0</v>
      </c>
      <c r="AT114" s="26" t="str">
        <f t="shared" si="22"/>
        <v/>
      </c>
      <c r="AU114" s="23"/>
      <c r="AV114" s="45" t="str">
        <f t="shared" si="23"/>
        <v/>
      </c>
      <c r="AW114" s="25"/>
      <c r="AX114" s="45" t="str">
        <f t="shared" si="24"/>
        <v/>
      </c>
      <c r="AY114" s="47"/>
      <c r="AZ114" s="26" t="str">
        <f t="shared" si="25"/>
        <v/>
      </c>
      <c r="BA114" s="23"/>
      <c r="BB114" s="45" t="str">
        <f t="shared" si="26"/>
        <v/>
      </c>
      <c r="BC114" s="25"/>
      <c r="BD114" s="45" t="str">
        <f t="shared" si="27"/>
        <v/>
      </c>
      <c r="BE114" s="47"/>
      <c r="BF114" s="26"/>
      <c r="BG114" s="23"/>
      <c r="BH114" s="45" t="str">
        <f t="shared" si="28"/>
        <v/>
      </c>
      <c r="BI114" s="25"/>
      <c r="BJ114" s="45" t="str">
        <f t="shared" si="29"/>
        <v/>
      </c>
      <c r="BK114" s="27">
        <v>0.0</v>
      </c>
      <c r="BL114" s="23"/>
      <c r="BM114" s="45" t="str">
        <f t="shared" si="30"/>
        <v/>
      </c>
      <c r="BN114" s="25"/>
      <c r="BO114" s="45" t="str">
        <f t="shared" si="31"/>
        <v/>
      </c>
      <c r="BP114" s="27">
        <v>0.0</v>
      </c>
      <c r="BQ114" s="33"/>
      <c r="BR114" s="23"/>
      <c r="BS114" s="45" t="str">
        <f t="shared" si="32"/>
        <v/>
      </c>
      <c r="BT114" s="25"/>
      <c r="BU114" s="45" t="str">
        <f t="shared" si="33"/>
        <v/>
      </c>
      <c r="BV114" s="29" t="str">
        <f t="shared" si="34"/>
        <v/>
      </c>
      <c r="BW114" s="29">
        <f t="shared" si="35"/>
        <v>0</v>
      </c>
      <c r="BX114" s="29">
        <f t="shared" si="36"/>
        <v>0</v>
      </c>
      <c r="BY114" s="26" t="str">
        <f t="shared" si="37"/>
        <v/>
      </c>
      <c r="BZ114" s="23"/>
      <c r="CA114" s="45" t="str">
        <f t="shared" si="38"/>
        <v/>
      </c>
      <c r="CB114" s="25"/>
      <c r="CC114" s="45" t="str">
        <f t="shared" si="39"/>
        <v/>
      </c>
      <c r="CD114" s="47"/>
      <c r="CE114" s="26" t="str">
        <f t="shared" si="40"/>
        <v/>
      </c>
      <c r="CF114" s="23"/>
      <c r="CG114" s="45" t="str">
        <f t="shared" si="41"/>
        <v/>
      </c>
      <c r="CH114" s="25"/>
      <c r="CI114" s="45" t="str">
        <f t="shared" si="42"/>
        <v/>
      </c>
      <c r="CJ114" s="47"/>
      <c r="CK114" s="26"/>
      <c r="CL114" s="23"/>
      <c r="CM114" s="45" t="str">
        <f t="shared" si="43"/>
        <v/>
      </c>
      <c r="CN114" s="25"/>
      <c r="CO114" s="45" t="str">
        <f t="shared" si="44"/>
        <v/>
      </c>
      <c r="CP114" s="27">
        <v>0.0</v>
      </c>
    </row>
    <row r="115">
      <c r="A115" s="26" t="str">
        <f t="shared" si="1"/>
        <v/>
      </c>
      <c r="B115" s="26"/>
      <c r="C115" s="81"/>
      <c r="D115" s="27"/>
      <c r="E115" s="82"/>
      <c r="F115" s="20"/>
      <c r="G115" s="20"/>
      <c r="H115" s="20"/>
      <c r="I115" s="23"/>
      <c r="J115" s="33"/>
      <c r="K115" s="26" t="str">
        <f t="shared" si="2"/>
        <v/>
      </c>
      <c r="L115" s="23"/>
      <c r="M115" s="45" t="str">
        <f t="shared" si="3"/>
        <v/>
      </c>
      <c r="N115" s="25"/>
      <c r="O115" s="45" t="str">
        <f t="shared" si="4"/>
        <v/>
      </c>
      <c r="P115" s="29" t="str">
        <f t="shared" si="5"/>
        <v/>
      </c>
      <c r="Q115" s="29">
        <f t="shared" si="6"/>
        <v>0</v>
      </c>
      <c r="R115" s="29">
        <f t="shared" si="7"/>
        <v>0</v>
      </c>
      <c r="S115" s="26" t="str">
        <f t="shared" si="8"/>
        <v/>
      </c>
      <c r="T115" s="23"/>
      <c r="U115" s="45" t="str">
        <f t="shared" si="9"/>
        <v/>
      </c>
      <c r="V115" s="25"/>
      <c r="W115" s="45" t="str">
        <f t="shared" si="10"/>
        <v/>
      </c>
      <c r="X115" s="47"/>
      <c r="Y115" s="26" t="str">
        <f t="shared" si="11"/>
        <v/>
      </c>
      <c r="Z115" s="23"/>
      <c r="AA115" s="45" t="str">
        <f t="shared" si="12"/>
        <v/>
      </c>
      <c r="AB115" s="25"/>
      <c r="AC115" s="45" t="str">
        <f t="shared" si="13"/>
        <v/>
      </c>
      <c r="AD115" s="47"/>
      <c r="AE115" s="26"/>
      <c r="AF115" s="23"/>
      <c r="AG115" s="45" t="str">
        <f t="shared" si="14"/>
        <v/>
      </c>
      <c r="AH115" s="25"/>
      <c r="AI115" s="45" t="str">
        <f t="shared" si="15"/>
        <v/>
      </c>
      <c r="AJ115" s="27">
        <v>0.0</v>
      </c>
      <c r="AK115" s="33"/>
      <c r="AL115" s="26" t="str">
        <f t="shared" si="16"/>
        <v/>
      </c>
      <c r="AM115" s="23"/>
      <c r="AN115" s="45" t="str">
        <f t="shared" si="17"/>
        <v/>
      </c>
      <c r="AO115" s="25"/>
      <c r="AP115" s="45" t="str">
        <f t="shared" si="18"/>
        <v/>
      </c>
      <c r="AQ115" s="29" t="str">
        <f t="shared" si="19"/>
        <v/>
      </c>
      <c r="AR115" s="29">
        <f t="shared" si="20"/>
        <v>0</v>
      </c>
      <c r="AS115" s="29">
        <f t="shared" si="21"/>
        <v>0</v>
      </c>
      <c r="AT115" s="26" t="str">
        <f t="shared" si="22"/>
        <v/>
      </c>
      <c r="AU115" s="23"/>
      <c r="AV115" s="45" t="str">
        <f t="shared" si="23"/>
        <v/>
      </c>
      <c r="AW115" s="25"/>
      <c r="AX115" s="45" t="str">
        <f t="shared" si="24"/>
        <v/>
      </c>
      <c r="AY115" s="47"/>
      <c r="AZ115" s="26" t="str">
        <f t="shared" si="25"/>
        <v/>
      </c>
      <c r="BA115" s="23"/>
      <c r="BB115" s="45" t="str">
        <f t="shared" si="26"/>
        <v/>
      </c>
      <c r="BC115" s="25"/>
      <c r="BD115" s="45" t="str">
        <f t="shared" si="27"/>
        <v/>
      </c>
      <c r="BE115" s="47"/>
      <c r="BF115" s="26"/>
      <c r="BG115" s="23"/>
      <c r="BH115" s="45" t="str">
        <f t="shared" si="28"/>
        <v/>
      </c>
      <c r="BI115" s="25"/>
      <c r="BJ115" s="45" t="str">
        <f t="shared" si="29"/>
        <v/>
      </c>
      <c r="BK115" s="27">
        <v>0.0</v>
      </c>
      <c r="BL115" s="23"/>
      <c r="BM115" s="45" t="str">
        <f t="shared" si="30"/>
        <v/>
      </c>
      <c r="BN115" s="25"/>
      <c r="BO115" s="45" t="str">
        <f t="shared" si="31"/>
        <v/>
      </c>
      <c r="BP115" s="27">
        <v>0.0</v>
      </c>
      <c r="BQ115" s="33"/>
      <c r="BR115" s="23"/>
      <c r="BS115" s="45" t="str">
        <f t="shared" si="32"/>
        <v/>
      </c>
      <c r="BT115" s="25"/>
      <c r="BU115" s="45" t="str">
        <f t="shared" si="33"/>
        <v/>
      </c>
      <c r="BV115" s="29" t="str">
        <f t="shared" si="34"/>
        <v/>
      </c>
      <c r="BW115" s="29">
        <f t="shared" si="35"/>
        <v>0</v>
      </c>
      <c r="BX115" s="29">
        <f t="shared" si="36"/>
        <v>0</v>
      </c>
      <c r="BY115" s="26" t="str">
        <f t="shared" si="37"/>
        <v/>
      </c>
      <c r="BZ115" s="23"/>
      <c r="CA115" s="45" t="str">
        <f t="shared" si="38"/>
        <v/>
      </c>
      <c r="CB115" s="25"/>
      <c r="CC115" s="45" t="str">
        <f t="shared" si="39"/>
        <v/>
      </c>
      <c r="CD115" s="47"/>
      <c r="CE115" s="26" t="str">
        <f t="shared" si="40"/>
        <v/>
      </c>
      <c r="CF115" s="23"/>
      <c r="CG115" s="45" t="str">
        <f t="shared" si="41"/>
        <v/>
      </c>
      <c r="CH115" s="25"/>
      <c r="CI115" s="45" t="str">
        <f t="shared" si="42"/>
        <v/>
      </c>
      <c r="CJ115" s="47"/>
      <c r="CK115" s="26"/>
      <c r="CL115" s="23"/>
      <c r="CM115" s="45" t="str">
        <f t="shared" si="43"/>
        <v/>
      </c>
      <c r="CN115" s="25"/>
      <c r="CO115" s="45" t="str">
        <f t="shared" si="44"/>
        <v/>
      </c>
      <c r="CP115" s="27">
        <v>0.0</v>
      </c>
    </row>
    <row r="116">
      <c r="A116" s="26" t="str">
        <f t="shared" si="1"/>
        <v/>
      </c>
      <c r="B116" s="26"/>
      <c r="C116" s="81"/>
      <c r="D116" s="27"/>
      <c r="E116" s="82"/>
      <c r="F116" s="20"/>
      <c r="G116" s="20"/>
      <c r="H116" s="20"/>
      <c r="I116" s="23"/>
      <c r="J116" s="33"/>
      <c r="K116" s="26" t="str">
        <f t="shared" si="2"/>
        <v/>
      </c>
      <c r="L116" s="23"/>
      <c r="M116" s="45" t="str">
        <f t="shared" si="3"/>
        <v/>
      </c>
      <c r="N116" s="25"/>
      <c r="O116" s="45" t="str">
        <f t="shared" si="4"/>
        <v/>
      </c>
      <c r="P116" s="29" t="str">
        <f t="shared" si="5"/>
        <v/>
      </c>
      <c r="Q116" s="29">
        <f t="shared" si="6"/>
        <v>0</v>
      </c>
      <c r="R116" s="29">
        <f t="shared" si="7"/>
        <v>0</v>
      </c>
      <c r="S116" s="26" t="str">
        <f t="shared" si="8"/>
        <v/>
      </c>
      <c r="T116" s="23"/>
      <c r="U116" s="45" t="str">
        <f t="shared" si="9"/>
        <v/>
      </c>
      <c r="V116" s="25"/>
      <c r="W116" s="45" t="str">
        <f t="shared" si="10"/>
        <v/>
      </c>
      <c r="X116" s="47"/>
      <c r="Y116" s="26" t="str">
        <f t="shared" si="11"/>
        <v/>
      </c>
      <c r="Z116" s="23"/>
      <c r="AA116" s="45" t="str">
        <f t="shared" si="12"/>
        <v/>
      </c>
      <c r="AB116" s="25"/>
      <c r="AC116" s="45" t="str">
        <f t="shared" si="13"/>
        <v/>
      </c>
      <c r="AD116" s="47"/>
      <c r="AE116" s="26"/>
      <c r="AF116" s="23"/>
      <c r="AG116" s="45" t="str">
        <f t="shared" si="14"/>
        <v/>
      </c>
      <c r="AH116" s="25"/>
      <c r="AI116" s="45" t="str">
        <f t="shared" si="15"/>
        <v/>
      </c>
      <c r="AJ116" s="27">
        <v>0.0</v>
      </c>
      <c r="AK116" s="33"/>
      <c r="AL116" s="26" t="str">
        <f t="shared" si="16"/>
        <v/>
      </c>
      <c r="AM116" s="23"/>
      <c r="AN116" s="45" t="str">
        <f t="shared" si="17"/>
        <v/>
      </c>
      <c r="AO116" s="25"/>
      <c r="AP116" s="45" t="str">
        <f t="shared" si="18"/>
        <v/>
      </c>
      <c r="AQ116" s="29" t="str">
        <f t="shared" si="19"/>
        <v/>
      </c>
      <c r="AR116" s="29">
        <f t="shared" si="20"/>
        <v>0</v>
      </c>
      <c r="AS116" s="29">
        <f t="shared" si="21"/>
        <v>0</v>
      </c>
      <c r="AT116" s="26" t="str">
        <f t="shared" si="22"/>
        <v/>
      </c>
      <c r="AU116" s="23"/>
      <c r="AV116" s="45" t="str">
        <f t="shared" si="23"/>
        <v/>
      </c>
      <c r="AW116" s="25"/>
      <c r="AX116" s="45" t="str">
        <f t="shared" si="24"/>
        <v/>
      </c>
      <c r="AY116" s="47"/>
      <c r="AZ116" s="26" t="str">
        <f t="shared" si="25"/>
        <v/>
      </c>
      <c r="BA116" s="23"/>
      <c r="BB116" s="45" t="str">
        <f t="shared" si="26"/>
        <v/>
      </c>
      <c r="BC116" s="25"/>
      <c r="BD116" s="45" t="str">
        <f t="shared" si="27"/>
        <v/>
      </c>
      <c r="BE116" s="47"/>
      <c r="BF116" s="26"/>
      <c r="BG116" s="23"/>
      <c r="BH116" s="45" t="str">
        <f t="shared" si="28"/>
        <v/>
      </c>
      <c r="BI116" s="25"/>
      <c r="BJ116" s="45" t="str">
        <f t="shared" si="29"/>
        <v/>
      </c>
      <c r="BK116" s="27">
        <v>0.0</v>
      </c>
      <c r="BL116" s="23"/>
      <c r="BM116" s="45" t="str">
        <f t="shared" si="30"/>
        <v/>
      </c>
      <c r="BN116" s="25"/>
      <c r="BO116" s="45" t="str">
        <f t="shared" si="31"/>
        <v/>
      </c>
      <c r="BP116" s="27">
        <v>0.0</v>
      </c>
      <c r="BQ116" s="33"/>
      <c r="BR116" s="23"/>
      <c r="BS116" s="45" t="str">
        <f t="shared" si="32"/>
        <v/>
      </c>
      <c r="BT116" s="25"/>
      <c r="BU116" s="45" t="str">
        <f t="shared" si="33"/>
        <v/>
      </c>
      <c r="BV116" s="29" t="str">
        <f t="shared" si="34"/>
        <v/>
      </c>
      <c r="BW116" s="29">
        <f t="shared" si="35"/>
        <v>0</v>
      </c>
      <c r="BX116" s="29">
        <f t="shared" si="36"/>
        <v>0</v>
      </c>
      <c r="BY116" s="26" t="str">
        <f t="shared" si="37"/>
        <v/>
      </c>
      <c r="BZ116" s="23"/>
      <c r="CA116" s="45" t="str">
        <f t="shared" si="38"/>
        <v/>
      </c>
      <c r="CB116" s="25"/>
      <c r="CC116" s="45" t="str">
        <f t="shared" si="39"/>
        <v/>
      </c>
      <c r="CD116" s="47"/>
      <c r="CE116" s="26" t="str">
        <f t="shared" si="40"/>
        <v/>
      </c>
      <c r="CF116" s="23"/>
      <c r="CG116" s="45" t="str">
        <f t="shared" si="41"/>
        <v/>
      </c>
      <c r="CH116" s="25"/>
      <c r="CI116" s="45" t="str">
        <f t="shared" si="42"/>
        <v/>
      </c>
      <c r="CJ116" s="47"/>
      <c r="CK116" s="26"/>
      <c r="CL116" s="23"/>
      <c r="CM116" s="45" t="str">
        <f t="shared" si="43"/>
        <v/>
      </c>
      <c r="CN116" s="25"/>
      <c r="CO116" s="45" t="str">
        <f t="shared" si="44"/>
        <v/>
      </c>
      <c r="CP116" s="27">
        <v>0.0</v>
      </c>
    </row>
    <row r="117">
      <c r="A117" s="26" t="str">
        <f t="shared" si="1"/>
        <v/>
      </c>
      <c r="B117" s="26"/>
      <c r="C117" s="81"/>
      <c r="D117" s="27"/>
      <c r="E117" s="82"/>
      <c r="F117" s="20"/>
      <c r="G117" s="20"/>
      <c r="H117" s="20"/>
      <c r="I117" s="23"/>
      <c r="J117" s="33"/>
      <c r="K117" s="26" t="str">
        <f t="shared" si="2"/>
        <v/>
      </c>
      <c r="L117" s="23"/>
      <c r="M117" s="45" t="str">
        <f t="shared" si="3"/>
        <v/>
      </c>
      <c r="N117" s="25"/>
      <c r="O117" s="45" t="str">
        <f t="shared" si="4"/>
        <v/>
      </c>
      <c r="P117" s="29" t="str">
        <f t="shared" si="5"/>
        <v/>
      </c>
      <c r="Q117" s="29">
        <f t="shared" si="6"/>
        <v>0</v>
      </c>
      <c r="R117" s="29">
        <f t="shared" si="7"/>
        <v>0</v>
      </c>
      <c r="S117" s="26" t="str">
        <f t="shared" si="8"/>
        <v/>
      </c>
      <c r="T117" s="23"/>
      <c r="U117" s="45" t="str">
        <f t="shared" si="9"/>
        <v/>
      </c>
      <c r="V117" s="25"/>
      <c r="W117" s="45" t="str">
        <f t="shared" si="10"/>
        <v/>
      </c>
      <c r="X117" s="47"/>
      <c r="Y117" s="26" t="str">
        <f t="shared" si="11"/>
        <v/>
      </c>
      <c r="Z117" s="23"/>
      <c r="AA117" s="45" t="str">
        <f t="shared" si="12"/>
        <v/>
      </c>
      <c r="AB117" s="25"/>
      <c r="AC117" s="45" t="str">
        <f t="shared" si="13"/>
        <v/>
      </c>
      <c r="AD117" s="47"/>
      <c r="AE117" s="26"/>
      <c r="AF117" s="23"/>
      <c r="AG117" s="45" t="str">
        <f t="shared" si="14"/>
        <v/>
      </c>
      <c r="AH117" s="25"/>
      <c r="AI117" s="45" t="str">
        <f t="shared" si="15"/>
        <v/>
      </c>
      <c r="AJ117" s="27">
        <v>0.0</v>
      </c>
      <c r="AK117" s="33"/>
      <c r="AL117" s="26" t="str">
        <f t="shared" si="16"/>
        <v/>
      </c>
      <c r="AM117" s="23"/>
      <c r="AN117" s="45" t="str">
        <f t="shared" si="17"/>
        <v/>
      </c>
      <c r="AO117" s="25"/>
      <c r="AP117" s="45" t="str">
        <f t="shared" si="18"/>
        <v/>
      </c>
      <c r="AQ117" s="29" t="str">
        <f t="shared" si="19"/>
        <v/>
      </c>
      <c r="AR117" s="29">
        <f t="shared" si="20"/>
        <v>0</v>
      </c>
      <c r="AS117" s="29">
        <f t="shared" si="21"/>
        <v>0</v>
      </c>
      <c r="AT117" s="26" t="str">
        <f t="shared" si="22"/>
        <v/>
      </c>
      <c r="AU117" s="23"/>
      <c r="AV117" s="45" t="str">
        <f t="shared" si="23"/>
        <v/>
      </c>
      <c r="AW117" s="25"/>
      <c r="AX117" s="45" t="str">
        <f t="shared" si="24"/>
        <v/>
      </c>
      <c r="AY117" s="47"/>
      <c r="AZ117" s="26" t="str">
        <f t="shared" si="25"/>
        <v/>
      </c>
      <c r="BA117" s="23"/>
      <c r="BB117" s="45" t="str">
        <f t="shared" si="26"/>
        <v/>
      </c>
      <c r="BC117" s="25"/>
      <c r="BD117" s="45" t="str">
        <f t="shared" si="27"/>
        <v/>
      </c>
      <c r="BE117" s="47"/>
      <c r="BF117" s="26"/>
      <c r="BG117" s="23"/>
      <c r="BH117" s="45" t="str">
        <f t="shared" si="28"/>
        <v/>
      </c>
      <c r="BI117" s="25"/>
      <c r="BJ117" s="45" t="str">
        <f t="shared" si="29"/>
        <v/>
      </c>
      <c r="BK117" s="27">
        <v>0.0</v>
      </c>
      <c r="BL117" s="23"/>
      <c r="BM117" s="45" t="str">
        <f t="shared" si="30"/>
        <v/>
      </c>
      <c r="BN117" s="25"/>
      <c r="BO117" s="45" t="str">
        <f t="shared" si="31"/>
        <v/>
      </c>
      <c r="BP117" s="27">
        <v>0.0</v>
      </c>
      <c r="BQ117" s="33"/>
      <c r="BR117" s="23"/>
      <c r="BS117" s="45" t="str">
        <f t="shared" si="32"/>
        <v/>
      </c>
      <c r="BT117" s="25"/>
      <c r="BU117" s="45" t="str">
        <f t="shared" si="33"/>
        <v/>
      </c>
      <c r="BV117" s="29" t="str">
        <f t="shared" si="34"/>
        <v/>
      </c>
      <c r="BW117" s="29">
        <f t="shared" si="35"/>
        <v>0</v>
      </c>
      <c r="BX117" s="29">
        <f t="shared" si="36"/>
        <v>0</v>
      </c>
      <c r="BY117" s="26" t="str">
        <f t="shared" si="37"/>
        <v/>
      </c>
      <c r="BZ117" s="23"/>
      <c r="CA117" s="45" t="str">
        <f t="shared" si="38"/>
        <v/>
      </c>
      <c r="CB117" s="25"/>
      <c r="CC117" s="45" t="str">
        <f t="shared" si="39"/>
        <v/>
      </c>
      <c r="CD117" s="47"/>
      <c r="CE117" s="26" t="str">
        <f t="shared" si="40"/>
        <v/>
      </c>
      <c r="CF117" s="23"/>
      <c r="CG117" s="45" t="str">
        <f t="shared" si="41"/>
        <v/>
      </c>
      <c r="CH117" s="25"/>
      <c r="CI117" s="45" t="str">
        <f t="shared" si="42"/>
        <v/>
      </c>
      <c r="CJ117" s="47"/>
      <c r="CK117" s="26"/>
      <c r="CL117" s="23"/>
      <c r="CM117" s="45" t="str">
        <f t="shared" si="43"/>
        <v/>
      </c>
      <c r="CN117" s="25"/>
      <c r="CO117" s="45" t="str">
        <f t="shared" si="44"/>
        <v/>
      </c>
      <c r="CP117" s="27">
        <v>0.0</v>
      </c>
    </row>
    <row r="118">
      <c r="A118" s="26" t="str">
        <f t="shared" si="1"/>
        <v/>
      </c>
      <c r="B118" s="26"/>
      <c r="C118" s="81"/>
      <c r="D118" s="27"/>
      <c r="E118" s="82"/>
      <c r="F118" s="20"/>
      <c r="G118" s="20"/>
      <c r="H118" s="20"/>
      <c r="I118" s="23"/>
      <c r="J118" s="33"/>
      <c r="K118" s="26" t="str">
        <f t="shared" si="2"/>
        <v/>
      </c>
      <c r="L118" s="23"/>
      <c r="M118" s="45" t="str">
        <f t="shared" si="3"/>
        <v/>
      </c>
      <c r="N118" s="25"/>
      <c r="O118" s="45" t="str">
        <f t="shared" si="4"/>
        <v/>
      </c>
      <c r="P118" s="29" t="str">
        <f t="shared" si="5"/>
        <v/>
      </c>
      <c r="Q118" s="29">
        <f t="shared" si="6"/>
        <v>0</v>
      </c>
      <c r="R118" s="29">
        <f t="shared" si="7"/>
        <v>0</v>
      </c>
      <c r="S118" s="26" t="str">
        <f t="shared" si="8"/>
        <v/>
      </c>
      <c r="T118" s="23"/>
      <c r="U118" s="45" t="str">
        <f t="shared" si="9"/>
        <v/>
      </c>
      <c r="V118" s="25"/>
      <c r="W118" s="45" t="str">
        <f t="shared" si="10"/>
        <v/>
      </c>
      <c r="X118" s="47"/>
      <c r="Y118" s="26" t="str">
        <f t="shared" si="11"/>
        <v/>
      </c>
      <c r="Z118" s="23"/>
      <c r="AA118" s="45" t="str">
        <f t="shared" si="12"/>
        <v/>
      </c>
      <c r="AB118" s="25"/>
      <c r="AC118" s="45" t="str">
        <f t="shared" si="13"/>
        <v/>
      </c>
      <c r="AD118" s="47"/>
      <c r="AE118" s="26"/>
      <c r="AF118" s="23"/>
      <c r="AG118" s="45" t="str">
        <f t="shared" si="14"/>
        <v/>
      </c>
      <c r="AH118" s="25"/>
      <c r="AI118" s="45" t="str">
        <f t="shared" si="15"/>
        <v/>
      </c>
      <c r="AJ118" s="27">
        <v>0.0</v>
      </c>
      <c r="AK118" s="33"/>
      <c r="AL118" s="26" t="str">
        <f t="shared" si="16"/>
        <v/>
      </c>
      <c r="AM118" s="23"/>
      <c r="AN118" s="45" t="str">
        <f t="shared" si="17"/>
        <v/>
      </c>
      <c r="AO118" s="25"/>
      <c r="AP118" s="45" t="str">
        <f t="shared" si="18"/>
        <v/>
      </c>
      <c r="AQ118" s="29" t="str">
        <f t="shared" si="19"/>
        <v/>
      </c>
      <c r="AR118" s="29">
        <f t="shared" si="20"/>
        <v>0</v>
      </c>
      <c r="AS118" s="29">
        <f t="shared" si="21"/>
        <v>0</v>
      </c>
      <c r="AT118" s="26" t="str">
        <f t="shared" si="22"/>
        <v/>
      </c>
      <c r="AU118" s="23"/>
      <c r="AV118" s="45" t="str">
        <f t="shared" si="23"/>
        <v/>
      </c>
      <c r="AW118" s="25"/>
      <c r="AX118" s="45" t="str">
        <f t="shared" si="24"/>
        <v/>
      </c>
      <c r="AY118" s="47"/>
      <c r="AZ118" s="26" t="str">
        <f t="shared" si="25"/>
        <v/>
      </c>
      <c r="BA118" s="23"/>
      <c r="BB118" s="45" t="str">
        <f t="shared" si="26"/>
        <v/>
      </c>
      <c r="BC118" s="25"/>
      <c r="BD118" s="45" t="str">
        <f t="shared" si="27"/>
        <v/>
      </c>
      <c r="BE118" s="47"/>
      <c r="BF118" s="26"/>
      <c r="BG118" s="23"/>
      <c r="BH118" s="45" t="str">
        <f t="shared" si="28"/>
        <v/>
      </c>
      <c r="BI118" s="25"/>
      <c r="BJ118" s="45" t="str">
        <f t="shared" si="29"/>
        <v/>
      </c>
      <c r="BK118" s="27">
        <v>0.0</v>
      </c>
      <c r="BL118" s="23"/>
      <c r="BM118" s="45" t="str">
        <f t="shared" si="30"/>
        <v/>
      </c>
      <c r="BN118" s="25"/>
      <c r="BO118" s="45" t="str">
        <f t="shared" si="31"/>
        <v/>
      </c>
      <c r="BP118" s="27">
        <v>0.0</v>
      </c>
      <c r="BQ118" s="33"/>
      <c r="BR118" s="23"/>
      <c r="BS118" s="45" t="str">
        <f t="shared" si="32"/>
        <v/>
      </c>
      <c r="BT118" s="25"/>
      <c r="BU118" s="45" t="str">
        <f t="shared" si="33"/>
        <v/>
      </c>
      <c r="BV118" s="29" t="str">
        <f t="shared" si="34"/>
        <v/>
      </c>
      <c r="BW118" s="29">
        <f t="shared" si="35"/>
        <v>0</v>
      </c>
      <c r="BX118" s="29">
        <f t="shared" si="36"/>
        <v>0</v>
      </c>
      <c r="BY118" s="26" t="str">
        <f t="shared" si="37"/>
        <v/>
      </c>
      <c r="BZ118" s="23"/>
      <c r="CA118" s="45" t="str">
        <f t="shared" si="38"/>
        <v/>
      </c>
      <c r="CB118" s="25"/>
      <c r="CC118" s="45" t="str">
        <f t="shared" si="39"/>
        <v/>
      </c>
      <c r="CD118" s="47"/>
      <c r="CE118" s="26" t="str">
        <f t="shared" si="40"/>
        <v/>
      </c>
      <c r="CF118" s="23"/>
      <c r="CG118" s="45" t="str">
        <f t="shared" si="41"/>
        <v/>
      </c>
      <c r="CH118" s="25"/>
      <c r="CI118" s="45" t="str">
        <f t="shared" si="42"/>
        <v/>
      </c>
      <c r="CJ118" s="47"/>
      <c r="CK118" s="26"/>
      <c r="CL118" s="23"/>
      <c r="CM118" s="45" t="str">
        <f t="shared" si="43"/>
        <v/>
      </c>
      <c r="CN118" s="25"/>
      <c r="CO118" s="45" t="str">
        <f t="shared" si="44"/>
        <v/>
      </c>
      <c r="CP118" s="27">
        <v>0.0</v>
      </c>
    </row>
    <row r="119">
      <c r="A119" s="26" t="str">
        <f t="shared" si="1"/>
        <v/>
      </c>
      <c r="B119" s="26"/>
      <c r="C119" s="81"/>
      <c r="D119" s="27"/>
      <c r="E119" s="82"/>
      <c r="F119" s="20"/>
      <c r="G119" s="20"/>
      <c r="H119" s="20"/>
      <c r="I119" s="23"/>
      <c r="J119" s="33"/>
      <c r="K119" s="26" t="str">
        <f t="shared" si="2"/>
        <v/>
      </c>
      <c r="L119" s="23"/>
      <c r="M119" s="45" t="str">
        <f t="shared" si="3"/>
        <v/>
      </c>
      <c r="N119" s="25"/>
      <c r="O119" s="45" t="str">
        <f t="shared" si="4"/>
        <v/>
      </c>
      <c r="P119" s="29" t="str">
        <f t="shared" si="5"/>
        <v/>
      </c>
      <c r="Q119" s="29">
        <f t="shared" si="6"/>
        <v>0</v>
      </c>
      <c r="R119" s="29">
        <f t="shared" si="7"/>
        <v>0</v>
      </c>
      <c r="S119" s="26" t="str">
        <f t="shared" si="8"/>
        <v/>
      </c>
      <c r="T119" s="23"/>
      <c r="U119" s="45" t="str">
        <f t="shared" si="9"/>
        <v/>
      </c>
      <c r="V119" s="25"/>
      <c r="W119" s="45" t="str">
        <f t="shared" si="10"/>
        <v/>
      </c>
      <c r="X119" s="47"/>
      <c r="Y119" s="26" t="str">
        <f t="shared" si="11"/>
        <v/>
      </c>
      <c r="Z119" s="23"/>
      <c r="AA119" s="45" t="str">
        <f t="shared" si="12"/>
        <v/>
      </c>
      <c r="AB119" s="25"/>
      <c r="AC119" s="45" t="str">
        <f t="shared" si="13"/>
        <v/>
      </c>
      <c r="AD119" s="47"/>
      <c r="AE119" s="26"/>
      <c r="AF119" s="23"/>
      <c r="AG119" s="45" t="str">
        <f t="shared" si="14"/>
        <v/>
      </c>
      <c r="AH119" s="25"/>
      <c r="AI119" s="45" t="str">
        <f t="shared" si="15"/>
        <v/>
      </c>
      <c r="AJ119" s="27">
        <v>0.0</v>
      </c>
      <c r="AK119" s="33"/>
      <c r="AL119" s="26" t="str">
        <f t="shared" si="16"/>
        <v/>
      </c>
      <c r="AM119" s="23"/>
      <c r="AN119" s="45" t="str">
        <f t="shared" si="17"/>
        <v/>
      </c>
      <c r="AO119" s="25"/>
      <c r="AP119" s="45" t="str">
        <f t="shared" si="18"/>
        <v/>
      </c>
      <c r="AQ119" s="29" t="str">
        <f t="shared" si="19"/>
        <v/>
      </c>
      <c r="AR119" s="29">
        <f t="shared" si="20"/>
        <v>0</v>
      </c>
      <c r="AS119" s="29">
        <f t="shared" si="21"/>
        <v>0</v>
      </c>
      <c r="AT119" s="26" t="str">
        <f t="shared" si="22"/>
        <v/>
      </c>
      <c r="AU119" s="23"/>
      <c r="AV119" s="45" t="str">
        <f t="shared" si="23"/>
        <v/>
      </c>
      <c r="AW119" s="25"/>
      <c r="AX119" s="45" t="str">
        <f t="shared" si="24"/>
        <v/>
      </c>
      <c r="AY119" s="47"/>
      <c r="AZ119" s="26" t="str">
        <f t="shared" si="25"/>
        <v/>
      </c>
      <c r="BA119" s="23"/>
      <c r="BB119" s="45" t="str">
        <f t="shared" si="26"/>
        <v/>
      </c>
      <c r="BC119" s="25"/>
      <c r="BD119" s="45" t="str">
        <f t="shared" si="27"/>
        <v/>
      </c>
      <c r="BE119" s="47"/>
      <c r="BF119" s="26"/>
      <c r="BG119" s="23"/>
      <c r="BH119" s="45" t="str">
        <f t="shared" si="28"/>
        <v/>
      </c>
      <c r="BI119" s="25"/>
      <c r="BJ119" s="45" t="str">
        <f t="shared" si="29"/>
        <v/>
      </c>
      <c r="BK119" s="27">
        <v>0.0</v>
      </c>
      <c r="BL119" s="23"/>
      <c r="BM119" s="45" t="str">
        <f t="shared" si="30"/>
        <v/>
      </c>
      <c r="BN119" s="25"/>
      <c r="BO119" s="45" t="str">
        <f t="shared" si="31"/>
        <v/>
      </c>
      <c r="BP119" s="27">
        <v>0.0</v>
      </c>
      <c r="BQ119" s="33"/>
      <c r="BR119" s="23"/>
      <c r="BS119" s="45" t="str">
        <f t="shared" si="32"/>
        <v/>
      </c>
      <c r="BT119" s="25"/>
      <c r="BU119" s="45" t="str">
        <f t="shared" si="33"/>
        <v/>
      </c>
      <c r="BV119" s="29" t="str">
        <f t="shared" si="34"/>
        <v/>
      </c>
      <c r="BW119" s="29">
        <f t="shared" si="35"/>
        <v>0</v>
      </c>
      <c r="BX119" s="29">
        <f t="shared" si="36"/>
        <v>0</v>
      </c>
      <c r="BY119" s="26" t="str">
        <f t="shared" si="37"/>
        <v/>
      </c>
      <c r="BZ119" s="23"/>
      <c r="CA119" s="45" t="str">
        <f t="shared" si="38"/>
        <v/>
      </c>
      <c r="CB119" s="25"/>
      <c r="CC119" s="45" t="str">
        <f t="shared" si="39"/>
        <v/>
      </c>
      <c r="CD119" s="47"/>
      <c r="CE119" s="26" t="str">
        <f t="shared" si="40"/>
        <v/>
      </c>
      <c r="CF119" s="23"/>
      <c r="CG119" s="45" t="str">
        <f t="shared" si="41"/>
        <v/>
      </c>
      <c r="CH119" s="25"/>
      <c r="CI119" s="45" t="str">
        <f t="shared" si="42"/>
        <v/>
      </c>
      <c r="CJ119" s="47"/>
      <c r="CK119" s="26"/>
      <c r="CL119" s="23"/>
      <c r="CM119" s="45" t="str">
        <f t="shared" si="43"/>
        <v/>
      </c>
      <c r="CN119" s="25"/>
      <c r="CO119" s="45" t="str">
        <f t="shared" si="44"/>
        <v/>
      </c>
      <c r="CP119" s="27">
        <v>0.0</v>
      </c>
    </row>
    <row r="120">
      <c r="A120" s="26" t="str">
        <f t="shared" si="1"/>
        <v/>
      </c>
      <c r="B120" s="26"/>
      <c r="C120" s="81"/>
      <c r="D120" s="27"/>
      <c r="E120" s="82"/>
      <c r="F120" s="20"/>
      <c r="G120" s="20"/>
      <c r="H120" s="20"/>
      <c r="I120" s="23"/>
      <c r="J120" s="33"/>
      <c r="K120" s="26" t="str">
        <f t="shared" si="2"/>
        <v/>
      </c>
      <c r="L120" s="23"/>
      <c r="M120" s="45" t="str">
        <f t="shared" si="3"/>
        <v/>
      </c>
      <c r="N120" s="25"/>
      <c r="O120" s="45" t="str">
        <f t="shared" si="4"/>
        <v/>
      </c>
      <c r="P120" s="29" t="str">
        <f t="shared" si="5"/>
        <v/>
      </c>
      <c r="Q120" s="29">
        <f t="shared" si="6"/>
        <v>0</v>
      </c>
      <c r="R120" s="29">
        <f t="shared" si="7"/>
        <v>0</v>
      </c>
      <c r="S120" s="26" t="str">
        <f t="shared" si="8"/>
        <v/>
      </c>
      <c r="T120" s="23"/>
      <c r="U120" s="45" t="str">
        <f t="shared" si="9"/>
        <v/>
      </c>
      <c r="V120" s="25"/>
      <c r="W120" s="45" t="str">
        <f t="shared" si="10"/>
        <v/>
      </c>
      <c r="X120" s="47"/>
      <c r="Y120" s="26" t="str">
        <f t="shared" si="11"/>
        <v/>
      </c>
      <c r="Z120" s="23"/>
      <c r="AA120" s="45" t="str">
        <f t="shared" si="12"/>
        <v/>
      </c>
      <c r="AB120" s="25"/>
      <c r="AC120" s="45" t="str">
        <f t="shared" si="13"/>
        <v/>
      </c>
      <c r="AD120" s="47"/>
      <c r="AE120" s="26"/>
      <c r="AF120" s="23"/>
      <c r="AG120" s="45" t="str">
        <f t="shared" si="14"/>
        <v/>
      </c>
      <c r="AH120" s="25"/>
      <c r="AI120" s="45" t="str">
        <f t="shared" si="15"/>
        <v/>
      </c>
      <c r="AJ120" s="27">
        <v>0.0</v>
      </c>
      <c r="AK120" s="33"/>
      <c r="AL120" s="26" t="str">
        <f t="shared" si="16"/>
        <v/>
      </c>
      <c r="AM120" s="23"/>
      <c r="AN120" s="45" t="str">
        <f t="shared" si="17"/>
        <v/>
      </c>
      <c r="AO120" s="25"/>
      <c r="AP120" s="45" t="str">
        <f t="shared" si="18"/>
        <v/>
      </c>
      <c r="AQ120" s="29" t="str">
        <f t="shared" si="19"/>
        <v/>
      </c>
      <c r="AR120" s="29">
        <f t="shared" si="20"/>
        <v>0</v>
      </c>
      <c r="AS120" s="29">
        <f t="shared" si="21"/>
        <v>0</v>
      </c>
      <c r="AT120" s="26" t="str">
        <f t="shared" si="22"/>
        <v/>
      </c>
      <c r="AU120" s="23"/>
      <c r="AV120" s="45" t="str">
        <f t="shared" si="23"/>
        <v/>
      </c>
      <c r="AW120" s="25"/>
      <c r="AX120" s="45" t="str">
        <f t="shared" si="24"/>
        <v/>
      </c>
      <c r="AY120" s="47"/>
      <c r="AZ120" s="26" t="str">
        <f t="shared" si="25"/>
        <v/>
      </c>
      <c r="BA120" s="23"/>
      <c r="BB120" s="45" t="str">
        <f t="shared" si="26"/>
        <v/>
      </c>
      <c r="BC120" s="25"/>
      <c r="BD120" s="45" t="str">
        <f t="shared" si="27"/>
        <v/>
      </c>
      <c r="BE120" s="47"/>
      <c r="BF120" s="26"/>
      <c r="BG120" s="23"/>
      <c r="BH120" s="45" t="str">
        <f t="shared" si="28"/>
        <v/>
      </c>
      <c r="BI120" s="25"/>
      <c r="BJ120" s="45" t="str">
        <f t="shared" si="29"/>
        <v/>
      </c>
      <c r="BK120" s="27">
        <v>0.0</v>
      </c>
      <c r="BL120" s="23"/>
      <c r="BM120" s="45" t="str">
        <f t="shared" si="30"/>
        <v/>
      </c>
      <c r="BN120" s="25"/>
      <c r="BO120" s="45" t="str">
        <f t="shared" si="31"/>
        <v/>
      </c>
      <c r="BP120" s="27">
        <v>0.0</v>
      </c>
      <c r="BQ120" s="33"/>
      <c r="BR120" s="23"/>
      <c r="BS120" s="45" t="str">
        <f t="shared" si="32"/>
        <v/>
      </c>
      <c r="BT120" s="25"/>
      <c r="BU120" s="45" t="str">
        <f t="shared" si="33"/>
        <v/>
      </c>
      <c r="BV120" s="29" t="str">
        <f t="shared" si="34"/>
        <v/>
      </c>
      <c r="BW120" s="29">
        <f t="shared" si="35"/>
        <v>0</v>
      </c>
      <c r="BX120" s="29">
        <f t="shared" si="36"/>
        <v>0</v>
      </c>
      <c r="BY120" s="26" t="str">
        <f t="shared" si="37"/>
        <v/>
      </c>
      <c r="BZ120" s="23"/>
      <c r="CA120" s="45" t="str">
        <f t="shared" si="38"/>
        <v/>
      </c>
      <c r="CB120" s="25"/>
      <c r="CC120" s="45" t="str">
        <f t="shared" si="39"/>
        <v/>
      </c>
      <c r="CD120" s="47"/>
      <c r="CE120" s="26" t="str">
        <f t="shared" si="40"/>
        <v/>
      </c>
      <c r="CF120" s="23"/>
      <c r="CG120" s="45" t="str">
        <f t="shared" si="41"/>
        <v/>
      </c>
      <c r="CH120" s="25"/>
      <c r="CI120" s="45" t="str">
        <f t="shared" si="42"/>
        <v/>
      </c>
      <c r="CJ120" s="47"/>
      <c r="CK120" s="26"/>
      <c r="CL120" s="23"/>
      <c r="CM120" s="45" t="str">
        <f t="shared" si="43"/>
        <v/>
      </c>
      <c r="CN120" s="25"/>
      <c r="CO120" s="45" t="str">
        <f t="shared" si="44"/>
        <v/>
      </c>
      <c r="CP120" s="27">
        <v>0.0</v>
      </c>
    </row>
    <row r="121">
      <c r="A121" s="26" t="str">
        <f t="shared" si="1"/>
        <v/>
      </c>
      <c r="B121" s="26"/>
      <c r="C121" s="81"/>
      <c r="D121" s="27"/>
      <c r="E121" s="82"/>
      <c r="F121" s="20"/>
      <c r="G121" s="20"/>
      <c r="H121" s="20"/>
      <c r="I121" s="23"/>
      <c r="J121" s="33"/>
      <c r="K121" s="26" t="str">
        <f t="shared" si="2"/>
        <v/>
      </c>
      <c r="L121" s="23"/>
      <c r="M121" s="45" t="str">
        <f t="shared" si="3"/>
        <v/>
      </c>
      <c r="N121" s="25"/>
      <c r="O121" s="45" t="str">
        <f t="shared" si="4"/>
        <v/>
      </c>
      <c r="P121" s="29" t="str">
        <f t="shared" si="5"/>
        <v/>
      </c>
      <c r="Q121" s="29">
        <f t="shared" si="6"/>
        <v>0</v>
      </c>
      <c r="R121" s="29">
        <f t="shared" si="7"/>
        <v>0</v>
      </c>
      <c r="S121" s="26" t="str">
        <f t="shared" si="8"/>
        <v/>
      </c>
      <c r="T121" s="23"/>
      <c r="U121" s="45" t="str">
        <f t="shared" si="9"/>
        <v/>
      </c>
      <c r="V121" s="25"/>
      <c r="W121" s="45" t="str">
        <f t="shared" si="10"/>
        <v/>
      </c>
      <c r="X121" s="47"/>
      <c r="Y121" s="26" t="str">
        <f t="shared" si="11"/>
        <v/>
      </c>
      <c r="Z121" s="23"/>
      <c r="AA121" s="45" t="str">
        <f t="shared" si="12"/>
        <v/>
      </c>
      <c r="AB121" s="25"/>
      <c r="AC121" s="45" t="str">
        <f t="shared" si="13"/>
        <v/>
      </c>
      <c r="AD121" s="47"/>
      <c r="AE121" s="26"/>
      <c r="AF121" s="23"/>
      <c r="AG121" s="45" t="str">
        <f t="shared" si="14"/>
        <v/>
      </c>
      <c r="AH121" s="25"/>
      <c r="AI121" s="45" t="str">
        <f t="shared" si="15"/>
        <v/>
      </c>
      <c r="AJ121" s="27">
        <v>0.0</v>
      </c>
      <c r="AK121" s="33"/>
      <c r="AL121" s="26" t="str">
        <f t="shared" si="16"/>
        <v/>
      </c>
      <c r="AM121" s="23"/>
      <c r="AN121" s="45" t="str">
        <f t="shared" si="17"/>
        <v/>
      </c>
      <c r="AO121" s="25"/>
      <c r="AP121" s="45" t="str">
        <f t="shared" si="18"/>
        <v/>
      </c>
      <c r="AQ121" s="29" t="str">
        <f t="shared" si="19"/>
        <v/>
      </c>
      <c r="AR121" s="29">
        <f t="shared" si="20"/>
        <v>0</v>
      </c>
      <c r="AS121" s="29">
        <f t="shared" si="21"/>
        <v>0</v>
      </c>
      <c r="AT121" s="26" t="str">
        <f t="shared" si="22"/>
        <v/>
      </c>
      <c r="AU121" s="23"/>
      <c r="AV121" s="45" t="str">
        <f t="shared" si="23"/>
        <v/>
      </c>
      <c r="AW121" s="25"/>
      <c r="AX121" s="45" t="str">
        <f t="shared" si="24"/>
        <v/>
      </c>
      <c r="AY121" s="47"/>
      <c r="AZ121" s="26" t="str">
        <f t="shared" si="25"/>
        <v/>
      </c>
      <c r="BA121" s="23"/>
      <c r="BB121" s="45" t="str">
        <f t="shared" si="26"/>
        <v/>
      </c>
      <c r="BC121" s="25"/>
      <c r="BD121" s="45" t="str">
        <f t="shared" si="27"/>
        <v/>
      </c>
      <c r="BE121" s="47"/>
      <c r="BF121" s="26"/>
      <c r="BG121" s="23"/>
      <c r="BH121" s="45" t="str">
        <f t="shared" si="28"/>
        <v/>
      </c>
      <c r="BI121" s="25"/>
      <c r="BJ121" s="45" t="str">
        <f t="shared" si="29"/>
        <v/>
      </c>
      <c r="BK121" s="27">
        <v>0.0</v>
      </c>
      <c r="BL121" s="23"/>
      <c r="BM121" s="45" t="str">
        <f t="shared" si="30"/>
        <v/>
      </c>
      <c r="BN121" s="25"/>
      <c r="BO121" s="45" t="str">
        <f t="shared" si="31"/>
        <v/>
      </c>
      <c r="BP121" s="27">
        <v>0.0</v>
      </c>
      <c r="BQ121" s="33"/>
      <c r="BR121" s="23"/>
      <c r="BS121" s="45" t="str">
        <f t="shared" si="32"/>
        <v/>
      </c>
      <c r="BT121" s="25"/>
      <c r="BU121" s="45" t="str">
        <f t="shared" si="33"/>
        <v/>
      </c>
      <c r="BV121" s="29" t="str">
        <f t="shared" si="34"/>
        <v/>
      </c>
      <c r="BW121" s="29">
        <f t="shared" si="35"/>
        <v>0</v>
      </c>
      <c r="BX121" s="29">
        <f t="shared" si="36"/>
        <v>0</v>
      </c>
      <c r="BY121" s="26" t="str">
        <f t="shared" si="37"/>
        <v/>
      </c>
      <c r="BZ121" s="23"/>
      <c r="CA121" s="45" t="str">
        <f t="shared" si="38"/>
        <v/>
      </c>
      <c r="CB121" s="25"/>
      <c r="CC121" s="45" t="str">
        <f t="shared" si="39"/>
        <v/>
      </c>
      <c r="CD121" s="47"/>
      <c r="CE121" s="26" t="str">
        <f t="shared" si="40"/>
        <v/>
      </c>
      <c r="CF121" s="23"/>
      <c r="CG121" s="45" t="str">
        <f t="shared" si="41"/>
        <v/>
      </c>
      <c r="CH121" s="25"/>
      <c r="CI121" s="45" t="str">
        <f t="shared" si="42"/>
        <v/>
      </c>
      <c r="CJ121" s="47"/>
      <c r="CK121" s="26"/>
      <c r="CL121" s="23"/>
      <c r="CM121" s="45" t="str">
        <f t="shared" si="43"/>
        <v/>
      </c>
      <c r="CN121" s="25"/>
      <c r="CO121" s="45" t="str">
        <f t="shared" si="44"/>
        <v/>
      </c>
      <c r="CP121" s="27">
        <v>0.0</v>
      </c>
    </row>
    <row r="122">
      <c r="A122" s="26" t="str">
        <f t="shared" si="1"/>
        <v/>
      </c>
      <c r="B122" s="26"/>
      <c r="C122" s="81"/>
      <c r="D122" s="27"/>
      <c r="E122" s="82"/>
      <c r="F122" s="20"/>
      <c r="G122" s="20"/>
      <c r="H122" s="20"/>
      <c r="I122" s="23"/>
      <c r="J122" s="33"/>
      <c r="K122" s="26" t="str">
        <f t="shared" si="2"/>
        <v/>
      </c>
      <c r="L122" s="23"/>
      <c r="M122" s="45" t="str">
        <f t="shared" si="3"/>
        <v/>
      </c>
      <c r="N122" s="25"/>
      <c r="O122" s="45" t="str">
        <f t="shared" si="4"/>
        <v/>
      </c>
      <c r="P122" s="29" t="str">
        <f t="shared" si="5"/>
        <v/>
      </c>
      <c r="Q122" s="29">
        <f t="shared" si="6"/>
        <v>0</v>
      </c>
      <c r="R122" s="29">
        <f t="shared" si="7"/>
        <v>0</v>
      </c>
      <c r="S122" s="26" t="str">
        <f t="shared" si="8"/>
        <v/>
      </c>
      <c r="T122" s="23"/>
      <c r="U122" s="45" t="str">
        <f t="shared" si="9"/>
        <v/>
      </c>
      <c r="V122" s="25"/>
      <c r="W122" s="45" t="str">
        <f t="shared" si="10"/>
        <v/>
      </c>
      <c r="X122" s="47"/>
      <c r="Y122" s="26" t="str">
        <f t="shared" si="11"/>
        <v/>
      </c>
      <c r="Z122" s="23"/>
      <c r="AA122" s="45" t="str">
        <f t="shared" si="12"/>
        <v/>
      </c>
      <c r="AB122" s="25"/>
      <c r="AC122" s="45" t="str">
        <f t="shared" si="13"/>
        <v/>
      </c>
      <c r="AD122" s="47"/>
      <c r="AE122" s="26"/>
      <c r="AF122" s="23"/>
      <c r="AG122" s="45" t="str">
        <f t="shared" si="14"/>
        <v/>
      </c>
      <c r="AH122" s="25"/>
      <c r="AI122" s="45" t="str">
        <f t="shared" si="15"/>
        <v/>
      </c>
      <c r="AJ122" s="27">
        <v>0.0</v>
      </c>
      <c r="AK122" s="33"/>
      <c r="AL122" s="26" t="str">
        <f t="shared" si="16"/>
        <v/>
      </c>
      <c r="AM122" s="23"/>
      <c r="AN122" s="45" t="str">
        <f t="shared" si="17"/>
        <v/>
      </c>
      <c r="AO122" s="25"/>
      <c r="AP122" s="45" t="str">
        <f t="shared" si="18"/>
        <v/>
      </c>
      <c r="AQ122" s="29" t="str">
        <f t="shared" si="19"/>
        <v/>
      </c>
      <c r="AR122" s="29">
        <f t="shared" si="20"/>
        <v>0</v>
      </c>
      <c r="AS122" s="29">
        <f t="shared" si="21"/>
        <v>0</v>
      </c>
      <c r="AT122" s="26" t="str">
        <f t="shared" si="22"/>
        <v/>
      </c>
      <c r="AU122" s="23"/>
      <c r="AV122" s="45" t="str">
        <f t="shared" si="23"/>
        <v/>
      </c>
      <c r="AW122" s="25"/>
      <c r="AX122" s="45" t="str">
        <f t="shared" si="24"/>
        <v/>
      </c>
      <c r="AY122" s="47"/>
      <c r="AZ122" s="26" t="str">
        <f t="shared" si="25"/>
        <v/>
      </c>
      <c r="BA122" s="23"/>
      <c r="BB122" s="45" t="str">
        <f t="shared" si="26"/>
        <v/>
      </c>
      <c r="BC122" s="25"/>
      <c r="BD122" s="45" t="str">
        <f t="shared" si="27"/>
        <v/>
      </c>
      <c r="BE122" s="47"/>
      <c r="BF122" s="26"/>
      <c r="BG122" s="23"/>
      <c r="BH122" s="45" t="str">
        <f t="shared" si="28"/>
        <v/>
      </c>
      <c r="BI122" s="25"/>
      <c r="BJ122" s="45" t="str">
        <f t="shared" si="29"/>
        <v/>
      </c>
      <c r="BK122" s="27">
        <v>0.0</v>
      </c>
      <c r="BL122" s="23"/>
      <c r="BM122" s="45" t="str">
        <f t="shared" si="30"/>
        <v/>
      </c>
      <c r="BN122" s="25"/>
      <c r="BO122" s="45" t="str">
        <f t="shared" si="31"/>
        <v/>
      </c>
      <c r="BP122" s="27">
        <v>0.0</v>
      </c>
      <c r="BQ122" s="33"/>
      <c r="BR122" s="23"/>
      <c r="BS122" s="45" t="str">
        <f t="shared" si="32"/>
        <v/>
      </c>
      <c r="BT122" s="25"/>
      <c r="BU122" s="45" t="str">
        <f t="shared" si="33"/>
        <v/>
      </c>
      <c r="BV122" s="29" t="str">
        <f t="shared" si="34"/>
        <v/>
      </c>
      <c r="BW122" s="29">
        <f t="shared" si="35"/>
        <v>0</v>
      </c>
      <c r="BX122" s="29">
        <f t="shared" si="36"/>
        <v>0</v>
      </c>
      <c r="BY122" s="26" t="str">
        <f t="shared" si="37"/>
        <v/>
      </c>
      <c r="BZ122" s="23"/>
      <c r="CA122" s="45" t="str">
        <f t="shared" si="38"/>
        <v/>
      </c>
      <c r="CB122" s="25"/>
      <c r="CC122" s="45" t="str">
        <f t="shared" si="39"/>
        <v/>
      </c>
      <c r="CD122" s="47"/>
      <c r="CE122" s="26" t="str">
        <f t="shared" si="40"/>
        <v/>
      </c>
      <c r="CF122" s="23"/>
      <c r="CG122" s="45" t="str">
        <f t="shared" si="41"/>
        <v/>
      </c>
      <c r="CH122" s="25"/>
      <c r="CI122" s="45" t="str">
        <f t="shared" si="42"/>
        <v/>
      </c>
      <c r="CJ122" s="47"/>
      <c r="CK122" s="26"/>
      <c r="CL122" s="23"/>
      <c r="CM122" s="45" t="str">
        <f t="shared" si="43"/>
        <v/>
      </c>
      <c r="CN122" s="25"/>
      <c r="CO122" s="45" t="str">
        <f t="shared" si="44"/>
        <v/>
      </c>
      <c r="CP122" s="27">
        <v>0.0</v>
      </c>
    </row>
    <row r="123">
      <c r="A123" s="26" t="str">
        <f t="shared" si="1"/>
        <v/>
      </c>
      <c r="B123" s="26"/>
      <c r="C123" s="81"/>
      <c r="D123" s="27"/>
      <c r="E123" s="82"/>
      <c r="F123" s="20"/>
      <c r="G123" s="20"/>
      <c r="H123" s="20"/>
      <c r="I123" s="23"/>
      <c r="J123" s="33"/>
      <c r="K123" s="26" t="str">
        <f t="shared" si="2"/>
        <v/>
      </c>
      <c r="L123" s="23"/>
      <c r="M123" s="45" t="str">
        <f t="shared" si="3"/>
        <v/>
      </c>
      <c r="N123" s="25"/>
      <c r="O123" s="45" t="str">
        <f t="shared" si="4"/>
        <v/>
      </c>
      <c r="P123" s="29" t="str">
        <f t="shared" si="5"/>
        <v/>
      </c>
      <c r="Q123" s="29">
        <f t="shared" si="6"/>
        <v>0</v>
      </c>
      <c r="R123" s="29">
        <f t="shared" si="7"/>
        <v>0</v>
      </c>
      <c r="S123" s="26" t="str">
        <f t="shared" si="8"/>
        <v/>
      </c>
      <c r="T123" s="23"/>
      <c r="U123" s="45" t="str">
        <f t="shared" si="9"/>
        <v/>
      </c>
      <c r="V123" s="25"/>
      <c r="W123" s="45" t="str">
        <f t="shared" si="10"/>
        <v/>
      </c>
      <c r="X123" s="47"/>
      <c r="Y123" s="26" t="str">
        <f t="shared" si="11"/>
        <v/>
      </c>
      <c r="Z123" s="23"/>
      <c r="AA123" s="45" t="str">
        <f t="shared" si="12"/>
        <v/>
      </c>
      <c r="AB123" s="25"/>
      <c r="AC123" s="45" t="str">
        <f t="shared" si="13"/>
        <v/>
      </c>
      <c r="AD123" s="47"/>
      <c r="AE123" s="26"/>
      <c r="AF123" s="23"/>
      <c r="AG123" s="45" t="str">
        <f t="shared" si="14"/>
        <v/>
      </c>
      <c r="AH123" s="25"/>
      <c r="AI123" s="45" t="str">
        <f t="shared" si="15"/>
        <v/>
      </c>
      <c r="AJ123" s="27">
        <v>0.0</v>
      </c>
      <c r="AK123" s="33"/>
      <c r="AL123" s="26" t="str">
        <f t="shared" si="16"/>
        <v/>
      </c>
      <c r="AM123" s="23"/>
      <c r="AN123" s="45" t="str">
        <f t="shared" si="17"/>
        <v/>
      </c>
      <c r="AO123" s="25"/>
      <c r="AP123" s="45" t="str">
        <f t="shared" si="18"/>
        <v/>
      </c>
      <c r="AQ123" s="29" t="str">
        <f t="shared" si="19"/>
        <v/>
      </c>
      <c r="AR123" s="29">
        <f t="shared" si="20"/>
        <v>0</v>
      </c>
      <c r="AS123" s="29">
        <f t="shared" si="21"/>
        <v>0</v>
      </c>
      <c r="AT123" s="26" t="str">
        <f t="shared" si="22"/>
        <v/>
      </c>
      <c r="AU123" s="23"/>
      <c r="AV123" s="45" t="str">
        <f t="shared" si="23"/>
        <v/>
      </c>
      <c r="AW123" s="25"/>
      <c r="AX123" s="45" t="str">
        <f t="shared" si="24"/>
        <v/>
      </c>
      <c r="AY123" s="47"/>
      <c r="AZ123" s="26" t="str">
        <f t="shared" si="25"/>
        <v/>
      </c>
      <c r="BA123" s="23"/>
      <c r="BB123" s="45" t="str">
        <f t="shared" si="26"/>
        <v/>
      </c>
      <c r="BC123" s="25"/>
      <c r="BD123" s="45" t="str">
        <f t="shared" si="27"/>
        <v/>
      </c>
      <c r="BE123" s="47"/>
      <c r="BF123" s="26"/>
      <c r="BG123" s="23"/>
      <c r="BH123" s="45" t="str">
        <f t="shared" si="28"/>
        <v/>
      </c>
      <c r="BI123" s="25"/>
      <c r="BJ123" s="45" t="str">
        <f t="shared" si="29"/>
        <v/>
      </c>
      <c r="BK123" s="27">
        <v>0.0</v>
      </c>
      <c r="BL123" s="23"/>
      <c r="BM123" s="45" t="str">
        <f t="shared" si="30"/>
        <v/>
      </c>
      <c r="BN123" s="25"/>
      <c r="BO123" s="45" t="str">
        <f t="shared" si="31"/>
        <v/>
      </c>
      <c r="BP123" s="27">
        <v>0.0</v>
      </c>
      <c r="BQ123" s="33"/>
      <c r="BR123" s="23"/>
      <c r="BS123" s="45" t="str">
        <f t="shared" si="32"/>
        <v/>
      </c>
      <c r="BT123" s="25"/>
      <c r="BU123" s="45" t="str">
        <f t="shared" si="33"/>
        <v/>
      </c>
      <c r="BV123" s="29" t="str">
        <f t="shared" si="34"/>
        <v/>
      </c>
      <c r="BW123" s="29">
        <f t="shared" si="35"/>
        <v>0</v>
      </c>
      <c r="BX123" s="29">
        <f t="shared" si="36"/>
        <v>0</v>
      </c>
      <c r="BY123" s="26" t="str">
        <f t="shared" si="37"/>
        <v/>
      </c>
      <c r="BZ123" s="23"/>
      <c r="CA123" s="45" t="str">
        <f t="shared" si="38"/>
        <v/>
      </c>
      <c r="CB123" s="25"/>
      <c r="CC123" s="45" t="str">
        <f t="shared" si="39"/>
        <v/>
      </c>
      <c r="CD123" s="47"/>
      <c r="CE123" s="26" t="str">
        <f t="shared" si="40"/>
        <v/>
      </c>
      <c r="CF123" s="23"/>
      <c r="CG123" s="45" t="str">
        <f t="shared" si="41"/>
        <v/>
      </c>
      <c r="CH123" s="25"/>
      <c r="CI123" s="45" t="str">
        <f t="shared" si="42"/>
        <v/>
      </c>
      <c r="CJ123" s="47"/>
      <c r="CK123" s="26"/>
      <c r="CL123" s="23"/>
      <c r="CM123" s="45" t="str">
        <f t="shared" si="43"/>
        <v/>
      </c>
      <c r="CN123" s="25"/>
      <c r="CO123" s="45" t="str">
        <f t="shared" si="44"/>
        <v/>
      </c>
      <c r="CP123" s="27">
        <v>0.0</v>
      </c>
    </row>
    <row r="124">
      <c r="A124" s="26" t="str">
        <f t="shared" si="1"/>
        <v/>
      </c>
      <c r="B124" s="26"/>
      <c r="C124" s="81"/>
      <c r="D124" s="27"/>
      <c r="E124" s="82"/>
      <c r="F124" s="20"/>
      <c r="G124" s="20"/>
      <c r="H124" s="20"/>
      <c r="I124" s="23"/>
      <c r="J124" s="33"/>
      <c r="K124" s="26" t="str">
        <f t="shared" si="2"/>
        <v/>
      </c>
      <c r="L124" s="23"/>
      <c r="M124" s="45" t="str">
        <f t="shared" si="3"/>
        <v/>
      </c>
      <c r="N124" s="25"/>
      <c r="O124" s="45" t="str">
        <f t="shared" si="4"/>
        <v/>
      </c>
      <c r="P124" s="29" t="str">
        <f t="shared" si="5"/>
        <v/>
      </c>
      <c r="Q124" s="29">
        <f t="shared" si="6"/>
        <v>0</v>
      </c>
      <c r="R124" s="29">
        <f t="shared" si="7"/>
        <v>0</v>
      </c>
      <c r="S124" s="26" t="str">
        <f t="shared" si="8"/>
        <v/>
      </c>
      <c r="T124" s="23"/>
      <c r="U124" s="45" t="str">
        <f t="shared" si="9"/>
        <v/>
      </c>
      <c r="V124" s="25"/>
      <c r="W124" s="45" t="str">
        <f t="shared" si="10"/>
        <v/>
      </c>
      <c r="X124" s="47"/>
      <c r="Y124" s="26" t="str">
        <f t="shared" si="11"/>
        <v/>
      </c>
      <c r="Z124" s="23"/>
      <c r="AA124" s="45" t="str">
        <f t="shared" si="12"/>
        <v/>
      </c>
      <c r="AB124" s="25"/>
      <c r="AC124" s="45" t="str">
        <f t="shared" si="13"/>
        <v/>
      </c>
      <c r="AD124" s="47"/>
      <c r="AE124" s="26"/>
      <c r="AF124" s="23"/>
      <c r="AG124" s="45" t="str">
        <f t="shared" si="14"/>
        <v/>
      </c>
      <c r="AH124" s="25"/>
      <c r="AI124" s="45" t="str">
        <f t="shared" si="15"/>
        <v/>
      </c>
      <c r="AJ124" s="27">
        <v>0.0</v>
      </c>
      <c r="AK124" s="33"/>
      <c r="AL124" s="26" t="str">
        <f t="shared" si="16"/>
        <v/>
      </c>
      <c r="AM124" s="23"/>
      <c r="AN124" s="45" t="str">
        <f t="shared" si="17"/>
        <v/>
      </c>
      <c r="AO124" s="25"/>
      <c r="AP124" s="45" t="str">
        <f t="shared" si="18"/>
        <v/>
      </c>
      <c r="AQ124" s="29" t="str">
        <f t="shared" si="19"/>
        <v/>
      </c>
      <c r="AR124" s="29">
        <f t="shared" si="20"/>
        <v>0</v>
      </c>
      <c r="AS124" s="29">
        <f t="shared" si="21"/>
        <v>0</v>
      </c>
      <c r="AT124" s="26" t="str">
        <f t="shared" si="22"/>
        <v/>
      </c>
      <c r="AU124" s="23"/>
      <c r="AV124" s="45" t="str">
        <f t="shared" si="23"/>
        <v/>
      </c>
      <c r="AW124" s="25"/>
      <c r="AX124" s="45" t="str">
        <f t="shared" si="24"/>
        <v/>
      </c>
      <c r="AY124" s="47"/>
      <c r="AZ124" s="26" t="str">
        <f t="shared" si="25"/>
        <v/>
      </c>
      <c r="BA124" s="23"/>
      <c r="BB124" s="45" t="str">
        <f t="shared" si="26"/>
        <v/>
      </c>
      <c r="BC124" s="25"/>
      <c r="BD124" s="45" t="str">
        <f t="shared" si="27"/>
        <v/>
      </c>
      <c r="BE124" s="47"/>
      <c r="BF124" s="26"/>
      <c r="BG124" s="23"/>
      <c r="BH124" s="45" t="str">
        <f t="shared" si="28"/>
        <v/>
      </c>
      <c r="BI124" s="25"/>
      <c r="BJ124" s="45" t="str">
        <f t="shared" si="29"/>
        <v/>
      </c>
      <c r="BK124" s="27">
        <v>0.0</v>
      </c>
      <c r="BL124" s="23"/>
      <c r="BM124" s="45" t="str">
        <f t="shared" si="30"/>
        <v/>
      </c>
      <c r="BN124" s="25"/>
      <c r="BO124" s="45" t="str">
        <f t="shared" si="31"/>
        <v/>
      </c>
      <c r="BP124" s="27">
        <v>0.0</v>
      </c>
      <c r="BQ124" s="33"/>
      <c r="BR124" s="23"/>
      <c r="BS124" s="45" t="str">
        <f t="shared" si="32"/>
        <v/>
      </c>
      <c r="BT124" s="25"/>
      <c r="BU124" s="45" t="str">
        <f t="shared" si="33"/>
        <v/>
      </c>
      <c r="BV124" s="29" t="str">
        <f t="shared" si="34"/>
        <v/>
      </c>
      <c r="BW124" s="29">
        <f t="shared" si="35"/>
        <v>0</v>
      </c>
      <c r="BX124" s="29">
        <f t="shared" si="36"/>
        <v>0</v>
      </c>
      <c r="BY124" s="26" t="str">
        <f t="shared" si="37"/>
        <v/>
      </c>
      <c r="BZ124" s="23"/>
      <c r="CA124" s="45" t="str">
        <f t="shared" si="38"/>
        <v/>
      </c>
      <c r="CB124" s="25"/>
      <c r="CC124" s="45" t="str">
        <f t="shared" si="39"/>
        <v/>
      </c>
      <c r="CD124" s="47"/>
      <c r="CE124" s="26" t="str">
        <f t="shared" si="40"/>
        <v/>
      </c>
      <c r="CF124" s="23"/>
      <c r="CG124" s="45" t="str">
        <f t="shared" si="41"/>
        <v/>
      </c>
      <c r="CH124" s="25"/>
      <c r="CI124" s="45" t="str">
        <f t="shared" si="42"/>
        <v/>
      </c>
      <c r="CJ124" s="47"/>
      <c r="CK124" s="26"/>
      <c r="CL124" s="23"/>
      <c r="CM124" s="45" t="str">
        <f t="shared" si="43"/>
        <v/>
      </c>
      <c r="CN124" s="25"/>
      <c r="CO124" s="45" t="str">
        <f t="shared" si="44"/>
        <v/>
      </c>
      <c r="CP124" s="27">
        <v>0.0</v>
      </c>
    </row>
    <row r="125">
      <c r="A125" s="26" t="str">
        <f t="shared" si="1"/>
        <v/>
      </c>
      <c r="B125" s="26"/>
      <c r="C125" s="81"/>
      <c r="D125" s="27"/>
      <c r="E125" s="82"/>
      <c r="F125" s="20"/>
      <c r="G125" s="20"/>
      <c r="H125" s="20"/>
      <c r="I125" s="23"/>
      <c r="J125" s="33"/>
      <c r="K125" s="26" t="str">
        <f t="shared" si="2"/>
        <v/>
      </c>
      <c r="L125" s="23"/>
      <c r="M125" s="45" t="str">
        <f t="shared" si="3"/>
        <v/>
      </c>
      <c r="N125" s="25"/>
      <c r="O125" s="45" t="str">
        <f t="shared" si="4"/>
        <v/>
      </c>
      <c r="P125" s="29" t="str">
        <f t="shared" si="5"/>
        <v/>
      </c>
      <c r="Q125" s="29">
        <f t="shared" si="6"/>
        <v>0</v>
      </c>
      <c r="R125" s="29">
        <f t="shared" si="7"/>
        <v>0</v>
      </c>
      <c r="S125" s="26" t="str">
        <f t="shared" si="8"/>
        <v/>
      </c>
      <c r="T125" s="23"/>
      <c r="U125" s="45" t="str">
        <f t="shared" si="9"/>
        <v/>
      </c>
      <c r="V125" s="25"/>
      <c r="W125" s="45" t="str">
        <f t="shared" si="10"/>
        <v/>
      </c>
      <c r="X125" s="47"/>
      <c r="Y125" s="26" t="str">
        <f t="shared" si="11"/>
        <v/>
      </c>
      <c r="Z125" s="23"/>
      <c r="AA125" s="45" t="str">
        <f t="shared" si="12"/>
        <v/>
      </c>
      <c r="AB125" s="25"/>
      <c r="AC125" s="45" t="str">
        <f t="shared" si="13"/>
        <v/>
      </c>
      <c r="AD125" s="47"/>
      <c r="AE125" s="26"/>
      <c r="AF125" s="23"/>
      <c r="AG125" s="45" t="str">
        <f t="shared" si="14"/>
        <v/>
      </c>
      <c r="AH125" s="25"/>
      <c r="AI125" s="45" t="str">
        <f t="shared" si="15"/>
        <v/>
      </c>
      <c r="AJ125" s="27">
        <v>0.0</v>
      </c>
      <c r="AK125" s="33"/>
      <c r="AL125" s="26" t="str">
        <f t="shared" si="16"/>
        <v/>
      </c>
      <c r="AM125" s="23"/>
      <c r="AN125" s="45" t="str">
        <f t="shared" si="17"/>
        <v/>
      </c>
      <c r="AO125" s="25"/>
      <c r="AP125" s="45" t="str">
        <f t="shared" si="18"/>
        <v/>
      </c>
      <c r="AQ125" s="29" t="str">
        <f t="shared" si="19"/>
        <v/>
      </c>
      <c r="AR125" s="29">
        <f t="shared" si="20"/>
        <v>0</v>
      </c>
      <c r="AS125" s="29">
        <f t="shared" si="21"/>
        <v>0</v>
      </c>
      <c r="AT125" s="26" t="str">
        <f t="shared" si="22"/>
        <v/>
      </c>
      <c r="AU125" s="23"/>
      <c r="AV125" s="45" t="str">
        <f t="shared" si="23"/>
        <v/>
      </c>
      <c r="AW125" s="25"/>
      <c r="AX125" s="45" t="str">
        <f t="shared" si="24"/>
        <v/>
      </c>
      <c r="AY125" s="47"/>
      <c r="AZ125" s="26" t="str">
        <f t="shared" si="25"/>
        <v/>
      </c>
      <c r="BA125" s="23"/>
      <c r="BB125" s="45" t="str">
        <f t="shared" si="26"/>
        <v/>
      </c>
      <c r="BC125" s="25"/>
      <c r="BD125" s="45" t="str">
        <f t="shared" si="27"/>
        <v/>
      </c>
      <c r="BE125" s="47"/>
      <c r="BF125" s="26"/>
      <c r="BG125" s="23"/>
      <c r="BH125" s="45" t="str">
        <f t="shared" si="28"/>
        <v/>
      </c>
      <c r="BI125" s="25"/>
      <c r="BJ125" s="45" t="str">
        <f t="shared" si="29"/>
        <v/>
      </c>
      <c r="BK125" s="27">
        <v>0.0</v>
      </c>
      <c r="BL125" s="23"/>
      <c r="BM125" s="45" t="str">
        <f t="shared" si="30"/>
        <v/>
      </c>
      <c r="BN125" s="25"/>
      <c r="BO125" s="45" t="str">
        <f t="shared" si="31"/>
        <v/>
      </c>
      <c r="BP125" s="27">
        <v>0.0</v>
      </c>
      <c r="BQ125" s="33"/>
      <c r="BR125" s="23"/>
      <c r="BS125" s="45" t="str">
        <f t="shared" si="32"/>
        <v/>
      </c>
      <c r="BT125" s="25"/>
      <c r="BU125" s="45" t="str">
        <f t="shared" si="33"/>
        <v/>
      </c>
      <c r="BV125" s="29" t="str">
        <f t="shared" si="34"/>
        <v/>
      </c>
      <c r="BW125" s="29">
        <f t="shared" si="35"/>
        <v>0</v>
      </c>
      <c r="BX125" s="29">
        <f t="shared" si="36"/>
        <v>0</v>
      </c>
      <c r="BY125" s="26" t="str">
        <f t="shared" si="37"/>
        <v/>
      </c>
      <c r="BZ125" s="23"/>
      <c r="CA125" s="45" t="str">
        <f t="shared" si="38"/>
        <v/>
      </c>
      <c r="CB125" s="25"/>
      <c r="CC125" s="45" t="str">
        <f t="shared" si="39"/>
        <v/>
      </c>
      <c r="CD125" s="47"/>
      <c r="CE125" s="26" t="str">
        <f t="shared" si="40"/>
        <v/>
      </c>
      <c r="CF125" s="23"/>
      <c r="CG125" s="45" t="str">
        <f t="shared" si="41"/>
        <v/>
      </c>
      <c r="CH125" s="25"/>
      <c r="CI125" s="45" t="str">
        <f t="shared" si="42"/>
        <v/>
      </c>
      <c r="CJ125" s="47"/>
      <c r="CK125" s="26"/>
      <c r="CL125" s="23"/>
      <c r="CM125" s="45" t="str">
        <f t="shared" si="43"/>
        <v/>
      </c>
      <c r="CN125" s="25"/>
      <c r="CO125" s="45" t="str">
        <f t="shared" si="44"/>
        <v/>
      </c>
      <c r="CP125" s="27">
        <v>0.0</v>
      </c>
    </row>
    <row r="126">
      <c r="A126" s="26" t="str">
        <f t="shared" si="1"/>
        <v/>
      </c>
      <c r="B126" s="26"/>
      <c r="C126" s="81"/>
      <c r="D126" s="27"/>
      <c r="E126" s="82"/>
      <c r="F126" s="20"/>
      <c r="G126" s="20"/>
      <c r="H126" s="20"/>
      <c r="I126" s="23"/>
      <c r="J126" s="33"/>
      <c r="K126" s="26" t="str">
        <f t="shared" si="2"/>
        <v/>
      </c>
      <c r="L126" s="23"/>
      <c r="M126" s="45" t="str">
        <f t="shared" si="3"/>
        <v/>
      </c>
      <c r="N126" s="25"/>
      <c r="O126" s="45" t="str">
        <f t="shared" si="4"/>
        <v/>
      </c>
      <c r="P126" s="29" t="str">
        <f t="shared" si="5"/>
        <v/>
      </c>
      <c r="Q126" s="29">
        <f t="shared" si="6"/>
        <v>0</v>
      </c>
      <c r="R126" s="29">
        <f t="shared" si="7"/>
        <v>0</v>
      </c>
      <c r="S126" s="26" t="str">
        <f t="shared" si="8"/>
        <v/>
      </c>
      <c r="T126" s="23"/>
      <c r="U126" s="45" t="str">
        <f t="shared" si="9"/>
        <v/>
      </c>
      <c r="V126" s="25"/>
      <c r="W126" s="45" t="str">
        <f t="shared" si="10"/>
        <v/>
      </c>
      <c r="X126" s="47"/>
      <c r="Y126" s="26" t="str">
        <f t="shared" si="11"/>
        <v/>
      </c>
      <c r="Z126" s="23"/>
      <c r="AA126" s="45" t="str">
        <f t="shared" si="12"/>
        <v/>
      </c>
      <c r="AB126" s="25"/>
      <c r="AC126" s="45" t="str">
        <f t="shared" si="13"/>
        <v/>
      </c>
      <c r="AD126" s="47"/>
      <c r="AE126" s="26"/>
      <c r="AF126" s="23"/>
      <c r="AG126" s="45" t="str">
        <f t="shared" si="14"/>
        <v/>
      </c>
      <c r="AH126" s="25"/>
      <c r="AI126" s="45" t="str">
        <f t="shared" si="15"/>
        <v/>
      </c>
      <c r="AJ126" s="27">
        <v>0.0</v>
      </c>
      <c r="AK126" s="33"/>
      <c r="AL126" s="26" t="str">
        <f t="shared" si="16"/>
        <v/>
      </c>
      <c r="AM126" s="23"/>
      <c r="AN126" s="45" t="str">
        <f t="shared" si="17"/>
        <v/>
      </c>
      <c r="AO126" s="25"/>
      <c r="AP126" s="45" t="str">
        <f t="shared" si="18"/>
        <v/>
      </c>
      <c r="AQ126" s="29" t="str">
        <f t="shared" si="19"/>
        <v/>
      </c>
      <c r="AR126" s="29">
        <f t="shared" si="20"/>
        <v>0</v>
      </c>
      <c r="AS126" s="29">
        <f t="shared" si="21"/>
        <v>0</v>
      </c>
      <c r="AT126" s="26" t="str">
        <f t="shared" si="22"/>
        <v/>
      </c>
      <c r="AU126" s="23"/>
      <c r="AV126" s="45" t="str">
        <f t="shared" si="23"/>
        <v/>
      </c>
      <c r="AW126" s="25"/>
      <c r="AX126" s="45" t="str">
        <f t="shared" si="24"/>
        <v/>
      </c>
      <c r="AY126" s="47"/>
      <c r="AZ126" s="26" t="str">
        <f t="shared" si="25"/>
        <v/>
      </c>
      <c r="BA126" s="23"/>
      <c r="BB126" s="45" t="str">
        <f t="shared" si="26"/>
        <v/>
      </c>
      <c r="BC126" s="25"/>
      <c r="BD126" s="45" t="str">
        <f t="shared" si="27"/>
        <v/>
      </c>
      <c r="BE126" s="47"/>
      <c r="BF126" s="26"/>
      <c r="BG126" s="23"/>
      <c r="BH126" s="45" t="str">
        <f t="shared" si="28"/>
        <v/>
      </c>
      <c r="BI126" s="25"/>
      <c r="BJ126" s="45" t="str">
        <f t="shared" si="29"/>
        <v/>
      </c>
      <c r="BK126" s="27">
        <v>0.0</v>
      </c>
      <c r="BL126" s="23"/>
      <c r="BM126" s="45" t="str">
        <f t="shared" si="30"/>
        <v/>
      </c>
      <c r="BN126" s="25"/>
      <c r="BO126" s="45" t="str">
        <f t="shared" si="31"/>
        <v/>
      </c>
      <c r="BP126" s="27">
        <v>0.0</v>
      </c>
      <c r="BQ126" s="33"/>
      <c r="BR126" s="23"/>
      <c r="BS126" s="45" t="str">
        <f t="shared" si="32"/>
        <v/>
      </c>
      <c r="BT126" s="25"/>
      <c r="BU126" s="45" t="str">
        <f t="shared" si="33"/>
        <v/>
      </c>
      <c r="BV126" s="29" t="str">
        <f t="shared" si="34"/>
        <v/>
      </c>
      <c r="BW126" s="29">
        <f t="shared" si="35"/>
        <v>0</v>
      </c>
      <c r="BX126" s="29">
        <f t="shared" si="36"/>
        <v>0</v>
      </c>
      <c r="BY126" s="26" t="str">
        <f t="shared" si="37"/>
        <v/>
      </c>
      <c r="BZ126" s="23"/>
      <c r="CA126" s="45" t="str">
        <f t="shared" si="38"/>
        <v/>
      </c>
      <c r="CB126" s="25"/>
      <c r="CC126" s="45" t="str">
        <f t="shared" si="39"/>
        <v/>
      </c>
      <c r="CD126" s="47"/>
      <c r="CE126" s="26" t="str">
        <f t="shared" si="40"/>
        <v/>
      </c>
      <c r="CF126" s="23"/>
      <c r="CG126" s="45" t="str">
        <f t="shared" si="41"/>
        <v/>
      </c>
      <c r="CH126" s="25"/>
      <c r="CI126" s="45" t="str">
        <f t="shared" si="42"/>
        <v/>
      </c>
      <c r="CJ126" s="47"/>
      <c r="CK126" s="26"/>
      <c r="CL126" s="23"/>
      <c r="CM126" s="45" t="str">
        <f t="shared" si="43"/>
        <v/>
      </c>
      <c r="CN126" s="25"/>
      <c r="CO126" s="45" t="str">
        <f t="shared" si="44"/>
        <v/>
      </c>
      <c r="CP126" s="27">
        <v>0.0</v>
      </c>
    </row>
    <row r="127">
      <c r="A127" s="26" t="str">
        <f t="shared" si="1"/>
        <v/>
      </c>
      <c r="B127" s="26"/>
      <c r="C127" s="81"/>
      <c r="D127" s="27"/>
      <c r="E127" s="82"/>
      <c r="F127" s="20"/>
      <c r="G127" s="20"/>
      <c r="H127" s="20"/>
      <c r="I127" s="23"/>
      <c r="J127" s="33"/>
      <c r="K127" s="26" t="str">
        <f t="shared" si="2"/>
        <v/>
      </c>
      <c r="L127" s="23"/>
      <c r="M127" s="45" t="str">
        <f t="shared" si="3"/>
        <v/>
      </c>
      <c r="N127" s="25"/>
      <c r="O127" s="45" t="str">
        <f t="shared" si="4"/>
        <v/>
      </c>
      <c r="P127" s="29" t="str">
        <f t="shared" si="5"/>
        <v/>
      </c>
      <c r="Q127" s="29">
        <f t="shared" si="6"/>
        <v>0</v>
      </c>
      <c r="R127" s="29">
        <f t="shared" si="7"/>
        <v>0</v>
      </c>
      <c r="S127" s="26" t="str">
        <f t="shared" si="8"/>
        <v/>
      </c>
      <c r="T127" s="23"/>
      <c r="U127" s="45" t="str">
        <f t="shared" si="9"/>
        <v/>
      </c>
      <c r="V127" s="25"/>
      <c r="W127" s="45" t="str">
        <f t="shared" si="10"/>
        <v/>
      </c>
      <c r="X127" s="47"/>
      <c r="Y127" s="26" t="str">
        <f t="shared" si="11"/>
        <v/>
      </c>
      <c r="Z127" s="23"/>
      <c r="AA127" s="45" t="str">
        <f t="shared" si="12"/>
        <v/>
      </c>
      <c r="AB127" s="25"/>
      <c r="AC127" s="45" t="str">
        <f t="shared" si="13"/>
        <v/>
      </c>
      <c r="AD127" s="47"/>
      <c r="AE127" s="26"/>
      <c r="AF127" s="23"/>
      <c r="AG127" s="45" t="str">
        <f t="shared" si="14"/>
        <v/>
      </c>
      <c r="AH127" s="25"/>
      <c r="AI127" s="45" t="str">
        <f t="shared" si="15"/>
        <v/>
      </c>
      <c r="AJ127" s="27">
        <v>0.0</v>
      </c>
      <c r="AK127" s="33"/>
      <c r="AL127" s="26" t="str">
        <f t="shared" si="16"/>
        <v/>
      </c>
      <c r="AM127" s="23"/>
      <c r="AN127" s="45" t="str">
        <f t="shared" si="17"/>
        <v/>
      </c>
      <c r="AO127" s="25"/>
      <c r="AP127" s="45" t="str">
        <f t="shared" si="18"/>
        <v/>
      </c>
      <c r="AQ127" s="29" t="str">
        <f t="shared" si="19"/>
        <v/>
      </c>
      <c r="AR127" s="29">
        <f t="shared" si="20"/>
        <v>0</v>
      </c>
      <c r="AS127" s="29">
        <f t="shared" si="21"/>
        <v>0</v>
      </c>
      <c r="AT127" s="26" t="str">
        <f t="shared" si="22"/>
        <v/>
      </c>
      <c r="AU127" s="23"/>
      <c r="AV127" s="45" t="str">
        <f t="shared" si="23"/>
        <v/>
      </c>
      <c r="AW127" s="25"/>
      <c r="AX127" s="45" t="str">
        <f t="shared" si="24"/>
        <v/>
      </c>
      <c r="AY127" s="47"/>
      <c r="AZ127" s="26" t="str">
        <f t="shared" si="25"/>
        <v/>
      </c>
      <c r="BA127" s="23"/>
      <c r="BB127" s="45" t="str">
        <f t="shared" si="26"/>
        <v/>
      </c>
      <c r="BC127" s="25"/>
      <c r="BD127" s="45" t="str">
        <f t="shared" si="27"/>
        <v/>
      </c>
      <c r="BE127" s="47"/>
      <c r="BF127" s="26"/>
      <c r="BG127" s="23"/>
      <c r="BH127" s="45" t="str">
        <f t="shared" si="28"/>
        <v/>
      </c>
      <c r="BI127" s="25"/>
      <c r="BJ127" s="45" t="str">
        <f t="shared" si="29"/>
        <v/>
      </c>
      <c r="BK127" s="27">
        <v>0.0</v>
      </c>
      <c r="BL127" s="23"/>
      <c r="BM127" s="45" t="str">
        <f t="shared" si="30"/>
        <v/>
      </c>
      <c r="BN127" s="25"/>
      <c r="BO127" s="45" t="str">
        <f t="shared" si="31"/>
        <v/>
      </c>
      <c r="BP127" s="27">
        <v>0.0</v>
      </c>
      <c r="BQ127" s="33"/>
      <c r="BR127" s="23"/>
      <c r="BS127" s="45" t="str">
        <f t="shared" si="32"/>
        <v/>
      </c>
      <c r="BT127" s="25"/>
      <c r="BU127" s="45" t="str">
        <f t="shared" si="33"/>
        <v/>
      </c>
      <c r="BV127" s="29" t="str">
        <f t="shared" si="34"/>
        <v/>
      </c>
      <c r="BW127" s="29">
        <f t="shared" si="35"/>
        <v>0</v>
      </c>
      <c r="BX127" s="29">
        <f t="shared" si="36"/>
        <v>0</v>
      </c>
      <c r="BY127" s="26" t="str">
        <f t="shared" si="37"/>
        <v/>
      </c>
      <c r="BZ127" s="23"/>
      <c r="CA127" s="45" t="str">
        <f t="shared" si="38"/>
        <v/>
      </c>
      <c r="CB127" s="25"/>
      <c r="CC127" s="45" t="str">
        <f t="shared" si="39"/>
        <v/>
      </c>
      <c r="CD127" s="47"/>
      <c r="CE127" s="26" t="str">
        <f t="shared" si="40"/>
        <v/>
      </c>
      <c r="CF127" s="23"/>
      <c r="CG127" s="45" t="str">
        <f t="shared" si="41"/>
        <v/>
      </c>
      <c r="CH127" s="25"/>
      <c r="CI127" s="45" t="str">
        <f t="shared" si="42"/>
        <v/>
      </c>
      <c r="CJ127" s="47"/>
      <c r="CK127" s="26"/>
      <c r="CL127" s="23"/>
      <c r="CM127" s="45" t="str">
        <f t="shared" si="43"/>
        <v/>
      </c>
      <c r="CN127" s="25"/>
      <c r="CO127" s="45" t="str">
        <f t="shared" si="44"/>
        <v/>
      </c>
      <c r="CP127" s="27">
        <v>0.0</v>
      </c>
    </row>
    <row r="128">
      <c r="A128" s="26" t="str">
        <f t="shared" si="1"/>
        <v/>
      </c>
      <c r="B128" s="26"/>
      <c r="C128" s="81"/>
      <c r="D128" s="27"/>
      <c r="E128" s="82"/>
      <c r="F128" s="20"/>
      <c r="G128" s="20"/>
      <c r="H128" s="20"/>
      <c r="I128" s="23"/>
      <c r="J128" s="33"/>
      <c r="K128" s="26" t="str">
        <f t="shared" si="2"/>
        <v/>
      </c>
      <c r="L128" s="23"/>
      <c r="M128" s="45" t="str">
        <f t="shared" si="3"/>
        <v/>
      </c>
      <c r="N128" s="25"/>
      <c r="O128" s="45" t="str">
        <f t="shared" si="4"/>
        <v/>
      </c>
      <c r="P128" s="29" t="str">
        <f t="shared" si="5"/>
        <v/>
      </c>
      <c r="Q128" s="29">
        <f t="shared" si="6"/>
        <v>0</v>
      </c>
      <c r="R128" s="29">
        <f t="shared" si="7"/>
        <v>0</v>
      </c>
      <c r="S128" s="26" t="str">
        <f t="shared" si="8"/>
        <v/>
      </c>
      <c r="T128" s="23"/>
      <c r="U128" s="45" t="str">
        <f t="shared" si="9"/>
        <v/>
      </c>
      <c r="V128" s="25"/>
      <c r="W128" s="45" t="str">
        <f t="shared" si="10"/>
        <v/>
      </c>
      <c r="X128" s="47"/>
      <c r="Y128" s="26" t="str">
        <f t="shared" si="11"/>
        <v/>
      </c>
      <c r="Z128" s="23"/>
      <c r="AA128" s="45" t="str">
        <f t="shared" si="12"/>
        <v/>
      </c>
      <c r="AB128" s="25"/>
      <c r="AC128" s="45" t="str">
        <f t="shared" si="13"/>
        <v/>
      </c>
      <c r="AD128" s="47"/>
      <c r="AE128" s="26"/>
      <c r="AF128" s="23"/>
      <c r="AG128" s="45" t="str">
        <f t="shared" si="14"/>
        <v/>
      </c>
      <c r="AH128" s="25"/>
      <c r="AI128" s="45" t="str">
        <f t="shared" si="15"/>
        <v/>
      </c>
      <c r="AJ128" s="27">
        <v>0.0</v>
      </c>
      <c r="AK128" s="33"/>
      <c r="AL128" s="26" t="str">
        <f t="shared" si="16"/>
        <v/>
      </c>
      <c r="AM128" s="23"/>
      <c r="AN128" s="45" t="str">
        <f t="shared" si="17"/>
        <v/>
      </c>
      <c r="AO128" s="25"/>
      <c r="AP128" s="45" t="str">
        <f t="shared" si="18"/>
        <v/>
      </c>
      <c r="AQ128" s="29" t="str">
        <f t="shared" si="19"/>
        <v/>
      </c>
      <c r="AR128" s="29">
        <f t="shared" si="20"/>
        <v>0</v>
      </c>
      <c r="AS128" s="29">
        <f t="shared" si="21"/>
        <v>0</v>
      </c>
      <c r="AT128" s="26" t="str">
        <f t="shared" si="22"/>
        <v/>
      </c>
      <c r="AU128" s="23"/>
      <c r="AV128" s="45" t="str">
        <f t="shared" si="23"/>
        <v/>
      </c>
      <c r="AW128" s="25"/>
      <c r="AX128" s="45" t="str">
        <f t="shared" si="24"/>
        <v/>
      </c>
      <c r="AY128" s="47"/>
      <c r="AZ128" s="26" t="str">
        <f t="shared" si="25"/>
        <v/>
      </c>
      <c r="BA128" s="23"/>
      <c r="BB128" s="45" t="str">
        <f t="shared" si="26"/>
        <v/>
      </c>
      <c r="BC128" s="25"/>
      <c r="BD128" s="45" t="str">
        <f t="shared" si="27"/>
        <v/>
      </c>
      <c r="BE128" s="47"/>
      <c r="BF128" s="26"/>
      <c r="BG128" s="23"/>
      <c r="BH128" s="45" t="str">
        <f t="shared" si="28"/>
        <v/>
      </c>
      <c r="BI128" s="25"/>
      <c r="BJ128" s="45" t="str">
        <f t="shared" si="29"/>
        <v/>
      </c>
      <c r="BK128" s="27">
        <v>0.0</v>
      </c>
      <c r="BL128" s="23"/>
      <c r="BM128" s="45" t="str">
        <f t="shared" si="30"/>
        <v/>
      </c>
      <c r="BN128" s="25"/>
      <c r="BO128" s="45" t="str">
        <f t="shared" si="31"/>
        <v/>
      </c>
      <c r="BP128" s="27">
        <v>0.0</v>
      </c>
      <c r="BQ128" s="33"/>
      <c r="BR128" s="23"/>
      <c r="BS128" s="45" t="str">
        <f t="shared" si="32"/>
        <v/>
      </c>
      <c r="BT128" s="25"/>
      <c r="BU128" s="45" t="str">
        <f t="shared" si="33"/>
        <v/>
      </c>
      <c r="BV128" s="29" t="str">
        <f t="shared" si="34"/>
        <v/>
      </c>
      <c r="BW128" s="29">
        <f t="shared" si="35"/>
        <v>0</v>
      </c>
      <c r="BX128" s="29">
        <f t="shared" si="36"/>
        <v>0</v>
      </c>
      <c r="BY128" s="26" t="str">
        <f t="shared" si="37"/>
        <v/>
      </c>
      <c r="BZ128" s="23"/>
      <c r="CA128" s="45" t="str">
        <f t="shared" si="38"/>
        <v/>
      </c>
      <c r="CB128" s="25"/>
      <c r="CC128" s="45" t="str">
        <f t="shared" si="39"/>
        <v/>
      </c>
      <c r="CD128" s="47"/>
      <c r="CE128" s="26" t="str">
        <f t="shared" si="40"/>
        <v/>
      </c>
      <c r="CF128" s="23"/>
      <c r="CG128" s="45" t="str">
        <f t="shared" si="41"/>
        <v/>
      </c>
      <c r="CH128" s="25"/>
      <c r="CI128" s="45" t="str">
        <f t="shared" si="42"/>
        <v/>
      </c>
      <c r="CJ128" s="47"/>
      <c r="CK128" s="26"/>
      <c r="CL128" s="23"/>
      <c r="CM128" s="45" t="str">
        <f t="shared" si="43"/>
        <v/>
      </c>
      <c r="CN128" s="25"/>
      <c r="CO128" s="45" t="str">
        <f t="shared" si="44"/>
        <v/>
      </c>
      <c r="CP128" s="27">
        <v>0.0</v>
      </c>
    </row>
    <row r="129">
      <c r="A129" s="26" t="str">
        <f t="shared" si="1"/>
        <v/>
      </c>
      <c r="B129" s="26"/>
      <c r="C129" s="81"/>
      <c r="D129" s="27"/>
      <c r="E129" s="82"/>
      <c r="F129" s="20"/>
      <c r="G129" s="20"/>
      <c r="H129" s="20"/>
      <c r="I129" s="23"/>
      <c r="J129" s="33"/>
      <c r="K129" s="26" t="str">
        <f t="shared" si="2"/>
        <v/>
      </c>
      <c r="L129" s="23"/>
      <c r="M129" s="45" t="str">
        <f t="shared" si="3"/>
        <v/>
      </c>
      <c r="N129" s="25"/>
      <c r="O129" s="45" t="str">
        <f t="shared" si="4"/>
        <v/>
      </c>
      <c r="P129" s="29" t="str">
        <f t="shared" si="5"/>
        <v/>
      </c>
      <c r="Q129" s="29">
        <f t="shared" si="6"/>
        <v>0</v>
      </c>
      <c r="R129" s="29">
        <f t="shared" si="7"/>
        <v>0</v>
      </c>
      <c r="S129" s="26" t="str">
        <f t="shared" si="8"/>
        <v/>
      </c>
      <c r="T129" s="23"/>
      <c r="U129" s="45" t="str">
        <f t="shared" si="9"/>
        <v/>
      </c>
      <c r="V129" s="25"/>
      <c r="W129" s="45" t="str">
        <f t="shared" si="10"/>
        <v/>
      </c>
      <c r="X129" s="47"/>
      <c r="Y129" s="26" t="str">
        <f t="shared" si="11"/>
        <v/>
      </c>
      <c r="Z129" s="23"/>
      <c r="AA129" s="45" t="str">
        <f t="shared" si="12"/>
        <v/>
      </c>
      <c r="AB129" s="25"/>
      <c r="AC129" s="45" t="str">
        <f t="shared" si="13"/>
        <v/>
      </c>
      <c r="AD129" s="47"/>
      <c r="AE129" s="26"/>
      <c r="AF129" s="23"/>
      <c r="AG129" s="45" t="str">
        <f t="shared" si="14"/>
        <v/>
      </c>
      <c r="AH129" s="25"/>
      <c r="AI129" s="45" t="str">
        <f t="shared" si="15"/>
        <v/>
      </c>
      <c r="AJ129" s="27">
        <v>0.0</v>
      </c>
      <c r="AK129" s="33"/>
      <c r="AL129" s="26" t="str">
        <f t="shared" si="16"/>
        <v/>
      </c>
      <c r="AM129" s="23"/>
      <c r="AN129" s="45" t="str">
        <f t="shared" si="17"/>
        <v/>
      </c>
      <c r="AO129" s="25"/>
      <c r="AP129" s="45" t="str">
        <f t="shared" si="18"/>
        <v/>
      </c>
      <c r="AQ129" s="29" t="str">
        <f t="shared" si="19"/>
        <v/>
      </c>
      <c r="AR129" s="29">
        <f t="shared" si="20"/>
        <v>0</v>
      </c>
      <c r="AS129" s="29">
        <f t="shared" si="21"/>
        <v>0</v>
      </c>
      <c r="AT129" s="26" t="str">
        <f t="shared" si="22"/>
        <v/>
      </c>
      <c r="AU129" s="23"/>
      <c r="AV129" s="45" t="str">
        <f t="shared" si="23"/>
        <v/>
      </c>
      <c r="AW129" s="25"/>
      <c r="AX129" s="45" t="str">
        <f t="shared" si="24"/>
        <v/>
      </c>
      <c r="AY129" s="47"/>
      <c r="AZ129" s="26" t="str">
        <f t="shared" si="25"/>
        <v/>
      </c>
      <c r="BA129" s="23"/>
      <c r="BB129" s="45" t="str">
        <f t="shared" si="26"/>
        <v/>
      </c>
      <c r="BC129" s="25"/>
      <c r="BD129" s="45" t="str">
        <f t="shared" si="27"/>
        <v/>
      </c>
      <c r="BE129" s="47"/>
      <c r="BF129" s="26"/>
      <c r="BG129" s="23"/>
      <c r="BH129" s="45" t="str">
        <f t="shared" si="28"/>
        <v/>
      </c>
      <c r="BI129" s="25"/>
      <c r="BJ129" s="45" t="str">
        <f t="shared" si="29"/>
        <v/>
      </c>
      <c r="BK129" s="27">
        <v>0.0</v>
      </c>
      <c r="BL129" s="23"/>
      <c r="BM129" s="45" t="str">
        <f t="shared" si="30"/>
        <v/>
      </c>
      <c r="BN129" s="25"/>
      <c r="BO129" s="45" t="str">
        <f t="shared" si="31"/>
        <v/>
      </c>
      <c r="BP129" s="27">
        <v>0.0</v>
      </c>
      <c r="BQ129" s="33"/>
      <c r="BR129" s="23"/>
      <c r="BS129" s="45" t="str">
        <f t="shared" si="32"/>
        <v/>
      </c>
      <c r="BT129" s="25"/>
      <c r="BU129" s="45" t="str">
        <f t="shared" si="33"/>
        <v/>
      </c>
      <c r="BV129" s="29" t="str">
        <f t="shared" si="34"/>
        <v/>
      </c>
      <c r="BW129" s="29">
        <f t="shared" si="35"/>
        <v>0</v>
      </c>
      <c r="BX129" s="29">
        <f t="shared" si="36"/>
        <v>0</v>
      </c>
      <c r="BY129" s="26" t="str">
        <f t="shared" si="37"/>
        <v/>
      </c>
      <c r="BZ129" s="23"/>
      <c r="CA129" s="45" t="str">
        <f t="shared" si="38"/>
        <v/>
      </c>
      <c r="CB129" s="25"/>
      <c r="CC129" s="45" t="str">
        <f t="shared" si="39"/>
        <v/>
      </c>
      <c r="CD129" s="47"/>
      <c r="CE129" s="26" t="str">
        <f t="shared" si="40"/>
        <v/>
      </c>
      <c r="CF129" s="23"/>
      <c r="CG129" s="45" t="str">
        <f t="shared" si="41"/>
        <v/>
      </c>
      <c r="CH129" s="25"/>
      <c r="CI129" s="45" t="str">
        <f t="shared" si="42"/>
        <v/>
      </c>
      <c r="CJ129" s="47"/>
      <c r="CK129" s="26"/>
      <c r="CL129" s="23"/>
      <c r="CM129" s="45" t="str">
        <f t="shared" si="43"/>
        <v/>
      </c>
      <c r="CN129" s="25"/>
      <c r="CO129" s="45" t="str">
        <f t="shared" si="44"/>
        <v/>
      </c>
      <c r="CP129" s="27">
        <v>0.0</v>
      </c>
    </row>
    <row r="130">
      <c r="A130" s="26" t="str">
        <f t="shared" si="1"/>
        <v/>
      </c>
      <c r="B130" s="26"/>
      <c r="C130" s="81"/>
      <c r="D130" s="27"/>
      <c r="E130" s="82"/>
      <c r="F130" s="20"/>
      <c r="G130" s="20"/>
      <c r="H130" s="20"/>
      <c r="I130" s="23"/>
      <c r="J130" s="33"/>
      <c r="K130" s="26" t="str">
        <f t="shared" si="2"/>
        <v/>
      </c>
      <c r="L130" s="23"/>
      <c r="M130" s="45" t="str">
        <f t="shared" si="3"/>
        <v/>
      </c>
      <c r="N130" s="25"/>
      <c r="O130" s="45" t="str">
        <f t="shared" si="4"/>
        <v/>
      </c>
      <c r="P130" s="29" t="str">
        <f t="shared" si="5"/>
        <v/>
      </c>
      <c r="Q130" s="29">
        <f t="shared" si="6"/>
        <v>0</v>
      </c>
      <c r="R130" s="29">
        <f t="shared" si="7"/>
        <v>0</v>
      </c>
      <c r="S130" s="26" t="str">
        <f t="shared" si="8"/>
        <v/>
      </c>
      <c r="T130" s="23"/>
      <c r="U130" s="45" t="str">
        <f t="shared" si="9"/>
        <v/>
      </c>
      <c r="V130" s="25"/>
      <c r="W130" s="45" t="str">
        <f t="shared" si="10"/>
        <v/>
      </c>
      <c r="X130" s="47"/>
      <c r="Y130" s="26" t="str">
        <f t="shared" si="11"/>
        <v/>
      </c>
      <c r="Z130" s="23"/>
      <c r="AA130" s="45" t="str">
        <f t="shared" si="12"/>
        <v/>
      </c>
      <c r="AB130" s="25"/>
      <c r="AC130" s="45" t="str">
        <f t="shared" si="13"/>
        <v/>
      </c>
      <c r="AD130" s="47"/>
      <c r="AE130" s="26"/>
      <c r="AF130" s="23"/>
      <c r="AG130" s="45" t="str">
        <f t="shared" si="14"/>
        <v/>
      </c>
      <c r="AH130" s="25"/>
      <c r="AI130" s="45" t="str">
        <f t="shared" si="15"/>
        <v/>
      </c>
      <c r="AJ130" s="27">
        <v>0.0</v>
      </c>
      <c r="AK130" s="33"/>
      <c r="AL130" s="26" t="str">
        <f t="shared" si="16"/>
        <v/>
      </c>
      <c r="AM130" s="23"/>
      <c r="AN130" s="45" t="str">
        <f t="shared" si="17"/>
        <v/>
      </c>
      <c r="AO130" s="25"/>
      <c r="AP130" s="45" t="str">
        <f t="shared" si="18"/>
        <v/>
      </c>
      <c r="AQ130" s="29" t="str">
        <f t="shared" si="19"/>
        <v/>
      </c>
      <c r="AR130" s="29">
        <f t="shared" si="20"/>
        <v>0</v>
      </c>
      <c r="AS130" s="29">
        <f t="shared" si="21"/>
        <v>0</v>
      </c>
      <c r="AT130" s="26" t="str">
        <f t="shared" si="22"/>
        <v/>
      </c>
      <c r="AU130" s="23"/>
      <c r="AV130" s="45" t="str">
        <f t="shared" si="23"/>
        <v/>
      </c>
      <c r="AW130" s="25"/>
      <c r="AX130" s="45" t="str">
        <f t="shared" si="24"/>
        <v/>
      </c>
      <c r="AY130" s="47"/>
      <c r="AZ130" s="26" t="str">
        <f t="shared" si="25"/>
        <v/>
      </c>
      <c r="BA130" s="23"/>
      <c r="BB130" s="45" t="str">
        <f t="shared" si="26"/>
        <v/>
      </c>
      <c r="BC130" s="25"/>
      <c r="BD130" s="45" t="str">
        <f t="shared" si="27"/>
        <v/>
      </c>
      <c r="BE130" s="47"/>
      <c r="BF130" s="26"/>
      <c r="BG130" s="23"/>
      <c r="BH130" s="45" t="str">
        <f t="shared" si="28"/>
        <v/>
      </c>
      <c r="BI130" s="25"/>
      <c r="BJ130" s="45" t="str">
        <f t="shared" si="29"/>
        <v/>
      </c>
      <c r="BK130" s="27">
        <v>0.0</v>
      </c>
      <c r="BL130" s="23"/>
      <c r="BM130" s="45" t="str">
        <f t="shared" si="30"/>
        <v/>
      </c>
      <c r="BN130" s="25"/>
      <c r="BO130" s="45" t="str">
        <f t="shared" si="31"/>
        <v/>
      </c>
      <c r="BP130" s="27">
        <v>0.0</v>
      </c>
      <c r="BQ130" s="33"/>
      <c r="BR130" s="23"/>
      <c r="BS130" s="45" t="str">
        <f t="shared" si="32"/>
        <v/>
      </c>
      <c r="BT130" s="25"/>
      <c r="BU130" s="45" t="str">
        <f t="shared" si="33"/>
        <v/>
      </c>
      <c r="BV130" s="29" t="str">
        <f t="shared" si="34"/>
        <v/>
      </c>
      <c r="BW130" s="29">
        <f t="shared" si="35"/>
        <v>0</v>
      </c>
      <c r="BX130" s="29">
        <f t="shared" si="36"/>
        <v>0</v>
      </c>
      <c r="BY130" s="26" t="str">
        <f t="shared" si="37"/>
        <v/>
      </c>
      <c r="BZ130" s="23"/>
      <c r="CA130" s="45" t="str">
        <f t="shared" si="38"/>
        <v/>
      </c>
      <c r="CB130" s="25"/>
      <c r="CC130" s="45" t="str">
        <f t="shared" si="39"/>
        <v/>
      </c>
      <c r="CD130" s="47"/>
      <c r="CE130" s="26" t="str">
        <f t="shared" si="40"/>
        <v/>
      </c>
      <c r="CF130" s="23"/>
      <c r="CG130" s="45" t="str">
        <f t="shared" si="41"/>
        <v/>
      </c>
      <c r="CH130" s="25"/>
      <c r="CI130" s="45" t="str">
        <f t="shared" si="42"/>
        <v/>
      </c>
      <c r="CJ130" s="47"/>
      <c r="CK130" s="26"/>
      <c r="CL130" s="23"/>
      <c r="CM130" s="45" t="str">
        <f t="shared" si="43"/>
        <v/>
      </c>
      <c r="CN130" s="25"/>
      <c r="CO130" s="45" t="str">
        <f t="shared" si="44"/>
        <v/>
      </c>
      <c r="CP130" s="27">
        <v>0.0</v>
      </c>
    </row>
    <row r="131">
      <c r="A131" s="26" t="str">
        <f t="shared" si="1"/>
        <v/>
      </c>
      <c r="B131" s="26"/>
      <c r="C131" s="81"/>
      <c r="D131" s="27"/>
      <c r="E131" s="82"/>
      <c r="F131" s="20"/>
      <c r="G131" s="20"/>
      <c r="H131" s="20"/>
      <c r="I131" s="23"/>
      <c r="J131" s="33"/>
      <c r="K131" s="26" t="str">
        <f t="shared" si="2"/>
        <v/>
      </c>
      <c r="L131" s="23"/>
      <c r="M131" s="45" t="str">
        <f t="shared" si="3"/>
        <v/>
      </c>
      <c r="N131" s="25"/>
      <c r="O131" s="45" t="str">
        <f t="shared" si="4"/>
        <v/>
      </c>
      <c r="P131" s="29" t="str">
        <f t="shared" si="5"/>
        <v/>
      </c>
      <c r="Q131" s="29">
        <f t="shared" si="6"/>
        <v>0</v>
      </c>
      <c r="R131" s="29">
        <f t="shared" si="7"/>
        <v>0</v>
      </c>
      <c r="S131" s="26" t="str">
        <f t="shared" si="8"/>
        <v/>
      </c>
      <c r="T131" s="23"/>
      <c r="U131" s="45" t="str">
        <f t="shared" si="9"/>
        <v/>
      </c>
      <c r="V131" s="25"/>
      <c r="W131" s="45" t="str">
        <f t="shared" si="10"/>
        <v/>
      </c>
      <c r="X131" s="47"/>
      <c r="Y131" s="26" t="str">
        <f t="shared" si="11"/>
        <v/>
      </c>
      <c r="Z131" s="23"/>
      <c r="AA131" s="45" t="str">
        <f t="shared" si="12"/>
        <v/>
      </c>
      <c r="AB131" s="25"/>
      <c r="AC131" s="45" t="str">
        <f t="shared" si="13"/>
        <v/>
      </c>
      <c r="AD131" s="47"/>
      <c r="AE131" s="26"/>
      <c r="AF131" s="23"/>
      <c r="AG131" s="45" t="str">
        <f t="shared" si="14"/>
        <v/>
      </c>
      <c r="AH131" s="25"/>
      <c r="AI131" s="45" t="str">
        <f t="shared" si="15"/>
        <v/>
      </c>
      <c r="AJ131" s="27">
        <v>0.0</v>
      </c>
      <c r="AK131" s="33"/>
      <c r="AL131" s="26" t="str">
        <f t="shared" si="16"/>
        <v/>
      </c>
      <c r="AM131" s="23"/>
      <c r="AN131" s="45" t="str">
        <f t="shared" si="17"/>
        <v/>
      </c>
      <c r="AO131" s="25"/>
      <c r="AP131" s="45" t="str">
        <f t="shared" si="18"/>
        <v/>
      </c>
      <c r="AQ131" s="29" t="str">
        <f t="shared" si="19"/>
        <v/>
      </c>
      <c r="AR131" s="29">
        <f t="shared" si="20"/>
        <v>0</v>
      </c>
      <c r="AS131" s="29">
        <f t="shared" si="21"/>
        <v>0</v>
      </c>
      <c r="AT131" s="26" t="str">
        <f t="shared" si="22"/>
        <v/>
      </c>
      <c r="AU131" s="23"/>
      <c r="AV131" s="45" t="str">
        <f t="shared" si="23"/>
        <v/>
      </c>
      <c r="AW131" s="25"/>
      <c r="AX131" s="45" t="str">
        <f t="shared" si="24"/>
        <v/>
      </c>
      <c r="AY131" s="47"/>
      <c r="AZ131" s="26" t="str">
        <f t="shared" si="25"/>
        <v/>
      </c>
      <c r="BA131" s="23"/>
      <c r="BB131" s="45" t="str">
        <f t="shared" si="26"/>
        <v/>
      </c>
      <c r="BC131" s="25"/>
      <c r="BD131" s="45" t="str">
        <f t="shared" si="27"/>
        <v/>
      </c>
      <c r="BE131" s="47"/>
      <c r="BF131" s="26"/>
      <c r="BG131" s="23"/>
      <c r="BH131" s="45" t="str">
        <f t="shared" si="28"/>
        <v/>
      </c>
      <c r="BI131" s="25"/>
      <c r="BJ131" s="45" t="str">
        <f t="shared" si="29"/>
        <v/>
      </c>
      <c r="BK131" s="27">
        <v>0.0</v>
      </c>
      <c r="BL131" s="23"/>
      <c r="BM131" s="45" t="str">
        <f t="shared" si="30"/>
        <v/>
      </c>
      <c r="BN131" s="25"/>
      <c r="BO131" s="45" t="str">
        <f t="shared" si="31"/>
        <v/>
      </c>
      <c r="BP131" s="27">
        <v>0.0</v>
      </c>
      <c r="BQ131" s="33"/>
      <c r="BR131" s="23"/>
      <c r="BS131" s="45" t="str">
        <f t="shared" si="32"/>
        <v/>
      </c>
      <c r="BT131" s="25"/>
      <c r="BU131" s="45" t="str">
        <f t="shared" si="33"/>
        <v/>
      </c>
      <c r="BV131" s="29" t="str">
        <f t="shared" si="34"/>
        <v/>
      </c>
      <c r="BW131" s="29">
        <f t="shared" si="35"/>
        <v>0</v>
      </c>
      <c r="BX131" s="29">
        <f t="shared" si="36"/>
        <v>0</v>
      </c>
      <c r="BY131" s="26" t="str">
        <f t="shared" si="37"/>
        <v/>
      </c>
      <c r="BZ131" s="23"/>
      <c r="CA131" s="45" t="str">
        <f t="shared" si="38"/>
        <v/>
      </c>
      <c r="CB131" s="25"/>
      <c r="CC131" s="45" t="str">
        <f t="shared" si="39"/>
        <v/>
      </c>
      <c r="CD131" s="47"/>
      <c r="CE131" s="26" t="str">
        <f t="shared" si="40"/>
        <v/>
      </c>
      <c r="CF131" s="23"/>
      <c r="CG131" s="45" t="str">
        <f t="shared" si="41"/>
        <v/>
      </c>
      <c r="CH131" s="25"/>
      <c r="CI131" s="45" t="str">
        <f t="shared" si="42"/>
        <v/>
      </c>
      <c r="CJ131" s="47"/>
      <c r="CK131" s="26"/>
      <c r="CL131" s="23"/>
      <c r="CM131" s="45" t="str">
        <f t="shared" si="43"/>
        <v/>
      </c>
      <c r="CN131" s="25"/>
      <c r="CO131" s="45" t="str">
        <f t="shared" si="44"/>
        <v/>
      </c>
      <c r="CP131" s="27">
        <v>0.0</v>
      </c>
    </row>
    <row r="132">
      <c r="A132" s="26" t="str">
        <f t="shared" si="1"/>
        <v/>
      </c>
      <c r="B132" s="26"/>
      <c r="C132" s="81"/>
      <c r="D132" s="27"/>
      <c r="E132" s="82"/>
      <c r="F132" s="20"/>
      <c r="G132" s="20"/>
      <c r="H132" s="20"/>
      <c r="I132" s="23"/>
      <c r="J132" s="33"/>
      <c r="K132" s="26" t="str">
        <f t="shared" si="2"/>
        <v/>
      </c>
      <c r="L132" s="23"/>
      <c r="M132" s="45" t="str">
        <f t="shared" si="3"/>
        <v/>
      </c>
      <c r="N132" s="25"/>
      <c r="O132" s="45" t="str">
        <f t="shared" si="4"/>
        <v/>
      </c>
      <c r="P132" s="29" t="str">
        <f t="shared" si="5"/>
        <v/>
      </c>
      <c r="Q132" s="29">
        <f t="shared" si="6"/>
        <v>0</v>
      </c>
      <c r="R132" s="29">
        <f t="shared" si="7"/>
        <v>0</v>
      </c>
      <c r="S132" s="26" t="str">
        <f t="shared" si="8"/>
        <v/>
      </c>
      <c r="T132" s="23"/>
      <c r="U132" s="45" t="str">
        <f t="shared" si="9"/>
        <v/>
      </c>
      <c r="V132" s="25"/>
      <c r="W132" s="45" t="str">
        <f t="shared" si="10"/>
        <v/>
      </c>
      <c r="X132" s="47"/>
      <c r="Y132" s="26" t="str">
        <f t="shared" si="11"/>
        <v/>
      </c>
      <c r="Z132" s="23"/>
      <c r="AA132" s="45" t="str">
        <f t="shared" si="12"/>
        <v/>
      </c>
      <c r="AB132" s="25"/>
      <c r="AC132" s="45" t="str">
        <f t="shared" si="13"/>
        <v/>
      </c>
      <c r="AD132" s="47"/>
      <c r="AE132" s="26"/>
      <c r="AF132" s="23"/>
      <c r="AG132" s="45" t="str">
        <f t="shared" si="14"/>
        <v/>
      </c>
      <c r="AH132" s="25"/>
      <c r="AI132" s="45" t="str">
        <f t="shared" si="15"/>
        <v/>
      </c>
      <c r="AJ132" s="27">
        <v>0.0</v>
      </c>
      <c r="AK132" s="33"/>
      <c r="AL132" s="26" t="str">
        <f t="shared" si="16"/>
        <v/>
      </c>
      <c r="AM132" s="23"/>
      <c r="AN132" s="45" t="str">
        <f t="shared" si="17"/>
        <v/>
      </c>
      <c r="AO132" s="25"/>
      <c r="AP132" s="45" t="str">
        <f t="shared" si="18"/>
        <v/>
      </c>
      <c r="AQ132" s="29" t="str">
        <f t="shared" si="19"/>
        <v/>
      </c>
      <c r="AR132" s="29">
        <f t="shared" si="20"/>
        <v>0</v>
      </c>
      <c r="AS132" s="29">
        <f t="shared" si="21"/>
        <v>0</v>
      </c>
      <c r="AT132" s="26" t="str">
        <f t="shared" si="22"/>
        <v/>
      </c>
      <c r="AU132" s="23"/>
      <c r="AV132" s="45" t="str">
        <f t="shared" si="23"/>
        <v/>
      </c>
      <c r="AW132" s="25"/>
      <c r="AX132" s="45" t="str">
        <f t="shared" si="24"/>
        <v/>
      </c>
      <c r="AY132" s="47"/>
      <c r="AZ132" s="26" t="str">
        <f t="shared" si="25"/>
        <v/>
      </c>
      <c r="BA132" s="23"/>
      <c r="BB132" s="45" t="str">
        <f t="shared" si="26"/>
        <v/>
      </c>
      <c r="BC132" s="25"/>
      <c r="BD132" s="45" t="str">
        <f t="shared" si="27"/>
        <v/>
      </c>
      <c r="BE132" s="47"/>
      <c r="BF132" s="26"/>
      <c r="BG132" s="23"/>
      <c r="BH132" s="45" t="str">
        <f t="shared" si="28"/>
        <v/>
      </c>
      <c r="BI132" s="25"/>
      <c r="BJ132" s="45" t="str">
        <f t="shared" si="29"/>
        <v/>
      </c>
      <c r="BK132" s="27">
        <v>0.0</v>
      </c>
      <c r="BL132" s="23"/>
      <c r="BM132" s="45" t="str">
        <f t="shared" si="30"/>
        <v/>
      </c>
      <c r="BN132" s="25"/>
      <c r="BO132" s="45" t="str">
        <f t="shared" si="31"/>
        <v/>
      </c>
      <c r="BP132" s="27">
        <v>0.0</v>
      </c>
      <c r="BQ132" s="33"/>
      <c r="BR132" s="23"/>
      <c r="BS132" s="45" t="str">
        <f t="shared" si="32"/>
        <v/>
      </c>
      <c r="BT132" s="25"/>
      <c r="BU132" s="45" t="str">
        <f t="shared" si="33"/>
        <v/>
      </c>
      <c r="BV132" s="29" t="str">
        <f t="shared" si="34"/>
        <v/>
      </c>
      <c r="BW132" s="29">
        <f t="shared" si="35"/>
        <v>0</v>
      </c>
      <c r="BX132" s="29">
        <f t="shared" si="36"/>
        <v>0</v>
      </c>
      <c r="BY132" s="26" t="str">
        <f t="shared" si="37"/>
        <v/>
      </c>
      <c r="BZ132" s="23"/>
      <c r="CA132" s="45" t="str">
        <f t="shared" si="38"/>
        <v/>
      </c>
      <c r="CB132" s="25"/>
      <c r="CC132" s="45" t="str">
        <f t="shared" si="39"/>
        <v/>
      </c>
      <c r="CD132" s="47"/>
      <c r="CE132" s="26" t="str">
        <f t="shared" si="40"/>
        <v/>
      </c>
      <c r="CF132" s="23"/>
      <c r="CG132" s="45" t="str">
        <f t="shared" si="41"/>
        <v/>
      </c>
      <c r="CH132" s="25"/>
      <c r="CI132" s="45" t="str">
        <f t="shared" si="42"/>
        <v/>
      </c>
      <c r="CJ132" s="47"/>
      <c r="CK132" s="26"/>
      <c r="CL132" s="23"/>
      <c r="CM132" s="45" t="str">
        <f t="shared" si="43"/>
        <v/>
      </c>
      <c r="CN132" s="25"/>
      <c r="CO132" s="45" t="str">
        <f t="shared" si="44"/>
        <v/>
      </c>
      <c r="CP132" s="27">
        <v>0.0</v>
      </c>
    </row>
    <row r="133">
      <c r="A133" s="26" t="str">
        <f t="shared" si="1"/>
        <v/>
      </c>
      <c r="B133" s="26"/>
      <c r="C133" s="81"/>
      <c r="D133" s="27"/>
      <c r="E133" s="82"/>
      <c r="F133" s="20"/>
      <c r="G133" s="20"/>
      <c r="H133" s="20"/>
      <c r="I133" s="23"/>
      <c r="J133" s="33"/>
      <c r="K133" s="26" t="str">
        <f t="shared" si="2"/>
        <v/>
      </c>
      <c r="L133" s="23"/>
      <c r="M133" s="45" t="str">
        <f t="shared" si="3"/>
        <v/>
      </c>
      <c r="N133" s="25"/>
      <c r="O133" s="45" t="str">
        <f t="shared" si="4"/>
        <v/>
      </c>
      <c r="P133" s="29" t="str">
        <f t="shared" si="5"/>
        <v/>
      </c>
      <c r="Q133" s="29">
        <f t="shared" si="6"/>
        <v>0</v>
      </c>
      <c r="R133" s="29">
        <f t="shared" si="7"/>
        <v>0</v>
      </c>
      <c r="S133" s="26" t="str">
        <f t="shared" si="8"/>
        <v/>
      </c>
      <c r="T133" s="23"/>
      <c r="U133" s="45" t="str">
        <f t="shared" si="9"/>
        <v/>
      </c>
      <c r="V133" s="25"/>
      <c r="W133" s="45" t="str">
        <f t="shared" si="10"/>
        <v/>
      </c>
      <c r="X133" s="47"/>
      <c r="Y133" s="26" t="str">
        <f t="shared" si="11"/>
        <v/>
      </c>
      <c r="Z133" s="23"/>
      <c r="AA133" s="45" t="str">
        <f t="shared" si="12"/>
        <v/>
      </c>
      <c r="AB133" s="25"/>
      <c r="AC133" s="45" t="str">
        <f t="shared" si="13"/>
        <v/>
      </c>
      <c r="AD133" s="47"/>
      <c r="AE133" s="26"/>
      <c r="AF133" s="23"/>
      <c r="AG133" s="45" t="str">
        <f t="shared" si="14"/>
        <v/>
      </c>
      <c r="AH133" s="25"/>
      <c r="AI133" s="45" t="str">
        <f t="shared" si="15"/>
        <v/>
      </c>
      <c r="AJ133" s="27">
        <v>0.0</v>
      </c>
      <c r="AK133" s="33"/>
      <c r="AL133" s="26" t="str">
        <f t="shared" si="16"/>
        <v/>
      </c>
      <c r="AM133" s="23"/>
      <c r="AN133" s="45" t="str">
        <f t="shared" si="17"/>
        <v/>
      </c>
      <c r="AO133" s="25"/>
      <c r="AP133" s="45" t="str">
        <f t="shared" si="18"/>
        <v/>
      </c>
      <c r="AQ133" s="29" t="str">
        <f t="shared" si="19"/>
        <v/>
      </c>
      <c r="AR133" s="29">
        <f t="shared" si="20"/>
        <v>0</v>
      </c>
      <c r="AS133" s="29">
        <f t="shared" si="21"/>
        <v>0</v>
      </c>
      <c r="AT133" s="26" t="str">
        <f t="shared" si="22"/>
        <v/>
      </c>
      <c r="AU133" s="23"/>
      <c r="AV133" s="45" t="str">
        <f t="shared" si="23"/>
        <v/>
      </c>
      <c r="AW133" s="25"/>
      <c r="AX133" s="45" t="str">
        <f t="shared" si="24"/>
        <v/>
      </c>
      <c r="AY133" s="47"/>
      <c r="AZ133" s="26" t="str">
        <f t="shared" si="25"/>
        <v/>
      </c>
      <c r="BA133" s="23"/>
      <c r="BB133" s="45" t="str">
        <f t="shared" si="26"/>
        <v/>
      </c>
      <c r="BC133" s="25"/>
      <c r="BD133" s="45" t="str">
        <f t="shared" si="27"/>
        <v/>
      </c>
      <c r="BE133" s="47"/>
      <c r="BF133" s="26"/>
      <c r="BG133" s="23"/>
      <c r="BH133" s="45" t="str">
        <f t="shared" si="28"/>
        <v/>
      </c>
      <c r="BI133" s="25"/>
      <c r="BJ133" s="45" t="str">
        <f t="shared" si="29"/>
        <v/>
      </c>
      <c r="BK133" s="27">
        <v>0.0</v>
      </c>
      <c r="BL133" s="23"/>
      <c r="BM133" s="45" t="str">
        <f t="shared" si="30"/>
        <v/>
      </c>
      <c r="BN133" s="25"/>
      <c r="BO133" s="45" t="str">
        <f t="shared" si="31"/>
        <v/>
      </c>
      <c r="BP133" s="27">
        <v>0.0</v>
      </c>
      <c r="BQ133" s="33"/>
      <c r="BR133" s="23"/>
      <c r="BS133" s="45" t="str">
        <f t="shared" si="32"/>
        <v/>
      </c>
      <c r="BT133" s="25"/>
      <c r="BU133" s="45" t="str">
        <f t="shared" si="33"/>
        <v/>
      </c>
      <c r="BV133" s="29" t="str">
        <f t="shared" si="34"/>
        <v/>
      </c>
      <c r="BW133" s="29">
        <f t="shared" si="35"/>
        <v>0</v>
      </c>
      <c r="BX133" s="29">
        <f t="shared" si="36"/>
        <v>0</v>
      </c>
      <c r="BY133" s="26" t="str">
        <f t="shared" si="37"/>
        <v/>
      </c>
      <c r="BZ133" s="23"/>
      <c r="CA133" s="45" t="str">
        <f t="shared" si="38"/>
        <v/>
      </c>
      <c r="CB133" s="25"/>
      <c r="CC133" s="45" t="str">
        <f t="shared" si="39"/>
        <v/>
      </c>
      <c r="CD133" s="47"/>
      <c r="CE133" s="26" t="str">
        <f t="shared" si="40"/>
        <v/>
      </c>
      <c r="CF133" s="23"/>
      <c r="CG133" s="45" t="str">
        <f t="shared" si="41"/>
        <v/>
      </c>
      <c r="CH133" s="25"/>
      <c r="CI133" s="45" t="str">
        <f t="shared" si="42"/>
        <v/>
      </c>
      <c r="CJ133" s="47"/>
      <c r="CK133" s="26"/>
      <c r="CL133" s="23"/>
      <c r="CM133" s="45" t="str">
        <f t="shared" si="43"/>
        <v/>
      </c>
      <c r="CN133" s="25"/>
      <c r="CO133" s="45" t="str">
        <f t="shared" si="44"/>
        <v/>
      </c>
      <c r="CP133" s="27">
        <v>0.0</v>
      </c>
    </row>
    <row r="134">
      <c r="A134" s="26" t="str">
        <f t="shared" si="1"/>
        <v/>
      </c>
      <c r="B134" s="26"/>
      <c r="C134" s="81"/>
      <c r="D134" s="27"/>
      <c r="E134" s="82"/>
      <c r="F134" s="20"/>
      <c r="G134" s="20"/>
      <c r="H134" s="20"/>
      <c r="I134" s="23"/>
      <c r="J134" s="33"/>
      <c r="K134" s="26" t="str">
        <f t="shared" si="2"/>
        <v/>
      </c>
      <c r="L134" s="23"/>
      <c r="M134" s="45" t="str">
        <f t="shared" si="3"/>
        <v/>
      </c>
      <c r="N134" s="25"/>
      <c r="O134" s="45" t="str">
        <f t="shared" si="4"/>
        <v/>
      </c>
      <c r="P134" s="29" t="str">
        <f t="shared" si="5"/>
        <v/>
      </c>
      <c r="Q134" s="29">
        <f t="shared" si="6"/>
        <v>0</v>
      </c>
      <c r="R134" s="29">
        <f t="shared" si="7"/>
        <v>0</v>
      </c>
      <c r="S134" s="26" t="str">
        <f t="shared" si="8"/>
        <v/>
      </c>
      <c r="T134" s="23"/>
      <c r="U134" s="45" t="str">
        <f t="shared" si="9"/>
        <v/>
      </c>
      <c r="V134" s="25"/>
      <c r="W134" s="45" t="str">
        <f t="shared" si="10"/>
        <v/>
      </c>
      <c r="X134" s="47"/>
      <c r="Y134" s="26" t="str">
        <f t="shared" si="11"/>
        <v/>
      </c>
      <c r="Z134" s="23"/>
      <c r="AA134" s="45" t="str">
        <f t="shared" si="12"/>
        <v/>
      </c>
      <c r="AB134" s="25"/>
      <c r="AC134" s="45" t="str">
        <f t="shared" si="13"/>
        <v/>
      </c>
      <c r="AD134" s="47"/>
      <c r="AE134" s="26"/>
      <c r="AF134" s="23"/>
      <c r="AG134" s="45" t="str">
        <f t="shared" si="14"/>
        <v/>
      </c>
      <c r="AH134" s="25"/>
      <c r="AI134" s="45" t="str">
        <f t="shared" si="15"/>
        <v/>
      </c>
      <c r="AJ134" s="27">
        <v>0.0</v>
      </c>
      <c r="AK134" s="33"/>
      <c r="AL134" s="26" t="str">
        <f t="shared" si="16"/>
        <v/>
      </c>
      <c r="AM134" s="23"/>
      <c r="AN134" s="45" t="str">
        <f t="shared" si="17"/>
        <v/>
      </c>
      <c r="AO134" s="25"/>
      <c r="AP134" s="45" t="str">
        <f t="shared" si="18"/>
        <v/>
      </c>
      <c r="AQ134" s="29" t="str">
        <f t="shared" si="19"/>
        <v/>
      </c>
      <c r="AR134" s="29">
        <f t="shared" si="20"/>
        <v>0</v>
      </c>
      <c r="AS134" s="29">
        <f t="shared" si="21"/>
        <v>0</v>
      </c>
      <c r="AT134" s="26" t="str">
        <f t="shared" si="22"/>
        <v/>
      </c>
      <c r="AU134" s="23"/>
      <c r="AV134" s="45" t="str">
        <f t="shared" si="23"/>
        <v/>
      </c>
      <c r="AW134" s="25"/>
      <c r="AX134" s="45" t="str">
        <f t="shared" si="24"/>
        <v/>
      </c>
      <c r="AY134" s="47"/>
      <c r="AZ134" s="26" t="str">
        <f t="shared" si="25"/>
        <v/>
      </c>
      <c r="BA134" s="23"/>
      <c r="BB134" s="45" t="str">
        <f t="shared" si="26"/>
        <v/>
      </c>
      <c r="BC134" s="25"/>
      <c r="BD134" s="45" t="str">
        <f t="shared" si="27"/>
        <v/>
      </c>
      <c r="BE134" s="47"/>
      <c r="BF134" s="26"/>
      <c r="BG134" s="23"/>
      <c r="BH134" s="45" t="str">
        <f t="shared" si="28"/>
        <v/>
      </c>
      <c r="BI134" s="25"/>
      <c r="BJ134" s="45" t="str">
        <f t="shared" si="29"/>
        <v/>
      </c>
      <c r="BK134" s="27">
        <v>0.0</v>
      </c>
      <c r="BL134" s="23"/>
      <c r="BM134" s="45" t="str">
        <f t="shared" si="30"/>
        <v/>
      </c>
      <c r="BN134" s="25"/>
      <c r="BO134" s="45" t="str">
        <f t="shared" si="31"/>
        <v/>
      </c>
      <c r="BP134" s="27">
        <v>0.0</v>
      </c>
      <c r="BQ134" s="33"/>
      <c r="BR134" s="23"/>
      <c r="BS134" s="45" t="str">
        <f t="shared" si="32"/>
        <v/>
      </c>
      <c r="BT134" s="25"/>
      <c r="BU134" s="45" t="str">
        <f t="shared" si="33"/>
        <v/>
      </c>
      <c r="BV134" s="29" t="str">
        <f t="shared" si="34"/>
        <v/>
      </c>
      <c r="BW134" s="29">
        <f t="shared" si="35"/>
        <v>0</v>
      </c>
      <c r="BX134" s="29">
        <f t="shared" si="36"/>
        <v>0</v>
      </c>
      <c r="BY134" s="26" t="str">
        <f t="shared" si="37"/>
        <v/>
      </c>
      <c r="BZ134" s="23"/>
      <c r="CA134" s="45" t="str">
        <f t="shared" si="38"/>
        <v/>
      </c>
      <c r="CB134" s="25"/>
      <c r="CC134" s="45" t="str">
        <f t="shared" si="39"/>
        <v/>
      </c>
      <c r="CD134" s="47"/>
      <c r="CE134" s="26" t="str">
        <f t="shared" si="40"/>
        <v/>
      </c>
      <c r="CF134" s="23"/>
      <c r="CG134" s="45" t="str">
        <f t="shared" si="41"/>
        <v/>
      </c>
      <c r="CH134" s="25"/>
      <c r="CI134" s="45" t="str">
        <f t="shared" si="42"/>
        <v/>
      </c>
      <c r="CJ134" s="47"/>
      <c r="CK134" s="26"/>
      <c r="CL134" s="23"/>
      <c r="CM134" s="45" t="str">
        <f t="shared" si="43"/>
        <v/>
      </c>
      <c r="CN134" s="25"/>
      <c r="CO134" s="45" t="str">
        <f t="shared" si="44"/>
        <v/>
      </c>
      <c r="CP134" s="27">
        <v>0.0</v>
      </c>
    </row>
    <row r="135">
      <c r="A135" s="26" t="str">
        <f t="shared" si="1"/>
        <v/>
      </c>
      <c r="B135" s="26"/>
      <c r="C135" s="81"/>
      <c r="D135" s="27"/>
      <c r="E135" s="82"/>
      <c r="F135" s="20"/>
      <c r="G135" s="20"/>
      <c r="H135" s="20"/>
      <c r="I135" s="23"/>
      <c r="J135" s="33"/>
      <c r="K135" s="26" t="str">
        <f t="shared" si="2"/>
        <v/>
      </c>
      <c r="L135" s="23"/>
      <c r="M135" s="45" t="str">
        <f t="shared" si="3"/>
        <v/>
      </c>
      <c r="N135" s="25"/>
      <c r="O135" s="45" t="str">
        <f t="shared" si="4"/>
        <v/>
      </c>
      <c r="P135" s="29" t="str">
        <f t="shared" si="5"/>
        <v/>
      </c>
      <c r="Q135" s="29">
        <f t="shared" si="6"/>
        <v>0</v>
      </c>
      <c r="R135" s="29">
        <f t="shared" si="7"/>
        <v>0</v>
      </c>
      <c r="S135" s="26" t="str">
        <f t="shared" si="8"/>
        <v/>
      </c>
      <c r="T135" s="23"/>
      <c r="U135" s="45" t="str">
        <f t="shared" si="9"/>
        <v/>
      </c>
      <c r="V135" s="25"/>
      <c r="W135" s="45" t="str">
        <f t="shared" si="10"/>
        <v/>
      </c>
      <c r="X135" s="47"/>
      <c r="Y135" s="26" t="str">
        <f t="shared" si="11"/>
        <v/>
      </c>
      <c r="Z135" s="23"/>
      <c r="AA135" s="45" t="str">
        <f t="shared" si="12"/>
        <v/>
      </c>
      <c r="AB135" s="25"/>
      <c r="AC135" s="45" t="str">
        <f t="shared" si="13"/>
        <v/>
      </c>
      <c r="AD135" s="47"/>
      <c r="AE135" s="26"/>
      <c r="AF135" s="23"/>
      <c r="AG135" s="45" t="str">
        <f t="shared" si="14"/>
        <v/>
      </c>
      <c r="AH135" s="25"/>
      <c r="AI135" s="45" t="str">
        <f t="shared" si="15"/>
        <v/>
      </c>
      <c r="AJ135" s="27">
        <v>0.0</v>
      </c>
      <c r="AK135" s="33"/>
      <c r="AL135" s="26" t="str">
        <f t="shared" si="16"/>
        <v/>
      </c>
      <c r="AM135" s="23"/>
      <c r="AN135" s="45" t="str">
        <f t="shared" si="17"/>
        <v/>
      </c>
      <c r="AO135" s="25"/>
      <c r="AP135" s="45" t="str">
        <f t="shared" si="18"/>
        <v/>
      </c>
      <c r="AQ135" s="29" t="str">
        <f t="shared" si="19"/>
        <v/>
      </c>
      <c r="AR135" s="29">
        <f t="shared" si="20"/>
        <v>0</v>
      </c>
      <c r="AS135" s="29">
        <f t="shared" si="21"/>
        <v>0</v>
      </c>
      <c r="AT135" s="26" t="str">
        <f t="shared" si="22"/>
        <v/>
      </c>
      <c r="AU135" s="23"/>
      <c r="AV135" s="45" t="str">
        <f t="shared" si="23"/>
        <v/>
      </c>
      <c r="AW135" s="25"/>
      <c r="AX135" s="45" t="str">
        <f t="shared" si="24"/>
        <v/>
      </c>
      <c r="AY135" s="47"/>
      <c r="AZ135" s="26" t="str">
        <f t="shared" si="25"/>
        <v/>
      </c>
      <c r="BA135" s="23"/>
      <c r="BB135" s="45" t="str">
        <f t="shared" si="26"/>
        <v/>
      </c>
      <c r="BC135" s="25"/>
      <c r="BD135" s="45" t="str">
        <f t="shared" si="27"/>
        <v/>
      </c>
      <c r="BE135" s="47"/>
      <c r="BF135" s="26"/>
      <c r="BG135" s="23"/>
      <c r="BH135" s="45" t="str">
        <f t="shared" si="28"/>
        <v/>
      </c>
      <c r="BI135" s="25"/>
      <c r="BJ135" s="45" t="str">
        <f t="shared" si="29"/>
        <v/>
      </c>
      <c r="BK135" s="27">
        <v>0.0</v>
      </c>
      <c r="BL135" s="23"/>
      <c r="BM135" s="45" t="str">
        <f t="shared" si="30"/>
        <v/>
      </c>
      <c r="BN135" s="25"/>
      <c r="BO135" s="45" t="str">
        <f t="shared" si="31"/>
        <v/>
      </c>
      <c r="BP135" s="27">
        <v>0.0</v>
      </c>
      <c r="BQ135" s="33"/>
      <c r="BR135" s="23"/>
      <c r="BS135" s="45" t="str">
        <f t="shared" si="32"/>
        <v/>
      </c>
      <c r="BT135" s="25"/>
      <c r="BU135" s="45" t="str">
        <f t="shared" si="33"/>
        <v/>
      </c>
      <c r="BV135" s="29" t="str">
        <f t="shared" si="34"/>
        <v/>
      </c>
      <c r="BW135" s="29">
        <f t="shared" si="35"/>
        <v>0</v>
      </c>
      <c r="BX135" s="29">
        <f t="shared" si="36"/>
        <v>0</v>
      </c>
      <c r="BY135" s="26" t="str">
        <f t="shared" si="37"/>
        <v/>
      </c>
      <c r="BZ135" s="23"/>
      <c r="CA135" s="45" t="str">
        <f t="shared" si="38"/>
        <v/>
      </c>
      <c r="CB135" s="25"/>
      <c r="CC135" s="45" t="str">
        <f t="shared" si="39"/>
        <v/>
      </c>
      <c r="CD135" s="47"/>
      <c r="CE135" s="26" t="str">
        <f t="shared" si="40"/>
        <v/>
      </c>
      <c r="CF135" s="23"/>
      <c r="CG135" s="45" t="str">
        <f t="shared" si="41"/>
        <v/>
      </c>
      <c r="CH135" s="25"/>
      <c r="CI135" s="45" t="str">
        <f t="shared" si="42"/>
        <v/>
      </c>
      <c r="CJ135" s="47"/>
      <c r="CK135" s="26"/>
      <c r="CL135" s="23"/>
      <c r="CM135" s="45" t="str">
        <f t="shared" si="43"/>
        <v/>
      </c>
      <c r="CN135" s="25"/>
      <c r="CO135" s="45" t="str">
        <f t="shared" si="44"/>
        <v/>
      </c>
      <c r="CP135" s="27">
        <v>0.0</v>
      </c>
    </row>
    <row r="136">
      <c r="A136" s="26" t="str">
        <f t="shared" si="1"/>
        <v/>
      </c>
      <c r="B136" s="26"/>
      <c r="C136" s="81"/>
      <c r="D136" s="27"/>
      <c r="E136" s="82"/>
      <c r="F136" s="20"/>
      <c r="G136" s="20"/>
      <c r="H136" s="20"/>
      <c r="I136" s="23"/>
      <c r="J136" s="33"/>
      <c r="K136" s="26" t="str">
        <f t="shared" si="2"/>
        <v/>
      </c>
      <c r="L136" s="23"/>
      <c r="M136" s="45" t="str">
        <f t="shared" si="3"/>
        <v/>
      </c>
      <c r="N136" s="25"/>
      <c r="O136" s="45" t="str">
        <f t="shared" si="4"/>
        <v/>
      </c>
      <c r="P136" s="29" t="str">
        <f t="shared" si="5"/>
        <v/>
      </c>
      <c r="Q136" s="29">
        <f t="shared" si="6"/>
        <v>0</v>
      </c>
      <c r="R136" s="29">
        <f t="shared" si="7"/>
        <v>0</v>
      </c>
      <c r="S136" s="26" t="str">
        <f t="shared" si="8"/>
        <v/>
      </c>
      <c r="T136" s="23"/>
      <c r="U136" s="45" t="str">
        <f t="shared" si="9"/>
        <v/>
      </c>
      <c r="V136" s="25"/>
      <c r="W136" s="45" t="str">
        <f t="shared" si="10"/>
        <v/>
      </c>
      <c r="X136" s="47"/>
      <c r="Y136" s="26" t="str">
        <f t="shared" si="11"/>
        <v/>
      </c>
      <c r="Z136" s="23"/>
      <c r="AA136" s="45" t="str">
        <f t="shared" si="12"/>
        <v/>
      </c>
      <c r="AB136" s="25"/>
      <c r="AC136" s="45" t="str">
        <f t="shared" si="13"/>
        <v/>
      </c>
      <c r="AD136" s="47"/>
      <c r="AE136" s="26"/>
      <c r="AF136" s="23"/>
      <c r="AG136" s="45" t="str">
        <f t="shared" si="14"/>
        <v/>
      </c>
      <c r="AH136" s="25"/>
      <c r="AI136" s="45" t="str">
        <f t="shared" si="15"/>
        <v/>
      </c>
      <c r="AJ136" s="27">
        <v>0.0</v>
      </c>
      <c r="AK136" s="33"/>
      <c r="AL136" s="26" t="str">
        <f t="shared" si="16"/>
        <v/>
      </c>
      <c r="AM136" s="23"/>
      <c r="AN136" s="45" t="str">
        <f t="shared" si="17"/>
        <v/>
      </c>
      <c r="AO136" s="25"/>
      <c r="AP136" s="45" t="str">
        <f t="shared" si="18"/>
        <v/>
      </c>
      <c r="AQ136" s="29" t="str">
        <f t="shared" si="19"/>
        <v/>
      </c>
      <c r="AR136" s="29">
        <f t="shared" si="20"/>
        <v>0</v>
      </c>
      <c r="AS136" s="29">
        <f t="shared" si="21"/>
        <v>0</v>
      </c>
      <c r="AT136" s="26" t="str">
        <f t="shared" si="22"/>
        <v/>
      </c>
      <c r="AU136" s="23"/>
      <c r="AV136" s="45" t="str">
        <f t="shared" si="23"/>
        <v/>
      </c>
      <c r="AW136" s="25"/>
      <c r="AX136" s="45" t="str">
        <f t="shared" si="24"/>
        <v/>
      </c>
      <c r="AY136" s="47"/>
      <c r="AZ136" s="26" t="str">
        <f t="shared" si="25"/>
        <v/>
      </c>
      <c r="BA136" s="23"/>
      <c r="BB136" s="45" t="str">
        <f t="shared" si="26"/>
        <v/>
      </c>
      <c r="BC136" s="25"/>
      <c r="BD136" s="45" t="str">
        <f t="shared" si="27"/>
        <v/>
      </c>
      <c r="BE136" s="47"/>
      <c r="BF136" s="26"/>
      <c r="BG136" s="23"/>
      <c r="BH136" s="45" t="str">
        <f t="shared" si="28"/>
        <v/>
      </c>
      <c r="BI136" s="25"/>
      <c r="BJ136" s="45" t="str">
        <f t="shared" si="29"/>
        <v/>
      </c>
      <c r="BK136" s="27">
        <v>0.0</v>
      </c>
      <c r="BL136" s="23"/>
      <c r="BM136" s="45" t="str">
        <f t="shared" si="30"/>
        <v/>
      </c>
      <c r="BN136" s="25"/>
      <c r="BO136" s="45" t="str">
        <f t="shared" si="31"/>
        <v/>
      </c>
      <c r="BP136" s="27">
        <v>0.0</v>
      </c>
      <c r="BQ136" s="33"/>
      <c r="BR136" s="23"/>
      <c r="BS136" s="45" t="str">
        <f t="shared" si="32"/>
        <v/>
      </c>
      <c r="BT136" s="25"/>
      <c r="BU136" s="45" t="str">
        <f t="shared" si="33"/>
        <v/>
      </c>
      <c r="BV136" s="29" t="str">
        <f t="shared" si="34"/>
        <v/>
      </c>
      <c r="BW136" s="29">
        <f t="shared" si="35"/>
        <v>0</v>
      </c>
      <c r="BX136" s="29">
        <f t="shared" si="36"/>
        <v>0</v>
      </c>
      <c r="BY136" s="26" t="str">
        <f t="shared" si="37"/>
        <v/>
      </c>
      <c r="BZ136" s="23"/>
      <c r="CA136" s="45" t="str">
        <f t="shared" si="38"/>
        <v/>
      </c>
      <c r="CB136" s="25"/>
      <c r="CC136" s="45" t="str">
        <f t="shared" si="39"/>
        <v/>
      </c>
      <c r="CD136" s="47"/>
      <c r="CE136" s="26" t="str">
        <f t="shared" si="40"/>
        <v/>
      </c>
      <c r="CF136" s="23"/>
      <c r="CG136" s="45" t="str">
        <f t="shared" si="41"/>
        <v/>
      </c>
      <c r="CH136" s="25"/>
      <c r="CI136" s="45" t="str">
        <f t="shared" si="42"/>
        <v/>
      </c>
      <c r="CJ136" s="47"/>
      <c r="CK136" s="26"/>
      <c r="CL136" s="23"/>
      <c r="CM136" s="45" t="str">
        <f t="shared" si="43"/>
        <v/>
      </c>
      <c r="CN136" s="25"/>
      <c r="CO136" s="45" t="str">
        <f t="shared" si="44"/>
        <v/>
      </c>
      <c r="CP136" s="27">
        <v>0.0</v>
      </c>
    </row>
    <row r="137">
      <c r="A137" s="26" t="str">
        <f t="shared" si="1"/>
        <v/>
      </c>
      <c r="B137" s="26"/>
      <c r="C137" s="81"/>
      <c r="D137" s="27"/>
      <c r="E137" s="82"/>
      <c r="F137" s="20"/>
      <c r="G137" s="20"/>
      <c r="H137" s="20"/>
      <c r="I137" s="23"/>
      <c r="J137" s="33"/>
      <c r="K137" s="26" t="str">
        <f t="shared" si="2"/>
        <v/>
      </c>
      <c r="L137" s="23"/>
      <c r="M137" s="45" t="str">
        <f t="shared" si="3"/>
        <v/>
      </c>
      <c r="N137" s="25"/>
      <c r="O137" s="45" t="str">
        <f t="shared" si="4"/>
        <v/>
      </c>
      <c r="P137" s="29" t="str">
        <f t="shared" si="5"/>
        <v/>
      </c>
      <c r="Q137" s="29">
        <f t="shared" si="6"/>
        <v>0</v>
      </c>
      <c r="R137" s="29">
        <f t="shared" si="7"/>
        <v>0</v>
      </c>
      <c r="S137" s="26" t="str">
        <f t="shared" si="8"/>
        <v/>
      </c>
      <c r="T137" s="23"/>
      <c r="U137" s="45" t="str">
        <f t="shared" si="9"/>
        <v/>
      </c>
      <c r="V137" s="25"/>
      <c r="W137" s="45" t="str">
        <f t="shared" si="10"/>
        <v/>
      </c>
      <c r="X137" s="47"/>
      <c r="Y137" s="26" t="str">
        <f t="shared" si="11"/>
        <v/>
      </c>
      <c r="Z137" s="23"/>
      <c r="AA137" s="45" t="str">
        <f t="shared" si="12"/>
        <v/>
      </c>
      <c r="AB137" s="25"/>
      <c r="AC137" s="45" t="str">
        <f t="shared" si="13"/>
        <v/>
      </c>
      <c r="AD137" s="47"/>
      <c r="AE137" s="26"/>
      <c r="AF137" s="23"/>
      <c r="AG137" s="45" t="str">
        <f t="shared" si="14"/>
        <v/>
      </c>
      <c r="AH137" s="25"/>
      <c r="AI137" s="45" t="str">
        <f t="shared" si="15"/>
        <v/>
      </c>
      <c r="AJ137" s="27">
        <v>0.0</v>
      </c>
      <c r="AK137" s="33"/>
      <c r="AL137" s="26" t="str">
        <f t="shared" si="16"/>
        <v/>
      </c>
      <c r="AM137" s="23"/>
      <c r="AN137" s="45" t="str">
        <f t="shared" si="17"/>
        <v/>
      </c>
      <c r="AO137" s="25"/>
      <c r="AP137" s="45" t="str">
        <f t="shared" si="18"/>
        <v/>
      </c>
      <c r="AQ137" s="29" t="str">
        <f t="shared" si="19"/>
        <v/>
      </c>
      <c r="AR137" s="29">
        <f t="shared" si="20"/>
        <v>0</v>
      </c>
      <c r="AS137" s="29">
        <f t="shared" si="21"/>
        <v>0</v>
      </c>
      <c r="AT137" s="26" t="str">
        <f t="shared" si="22"/>
        <v/>
      </c>
      <c r="AU137" s="23"/>
      <c r="AV137" s="45" t="str">
        <f t="shared" si="23"/>
        <v/>
      </c>
      <c r="AW137" s="25"/>
      <c r="AX137" s="45" t="str">
        <f t="shared" si="24"/>
        <v/>
      </c>
      <c r="AY137" s="47"/>
      <c r="AZ137" s="26" t="str">
        <f t="shared" si="25"/>
        <v/>
      </c>
      <c r="BA137" s="23"/>
      <c r="BB137" s="45" t="str">
        <f t="shared" si="26"/>
        <v/>
      </c>
      <c r="BC137" s="25"/>
      <c r="BD137" s="45" t="str">
        <f t="shared" si="27"/>
        <v/>
      </c>
      <c r="BE137" s="47"/>
      <c r="BF137" s="26"/>
      <c r="BG137" s="23"/>
      <c r="BH137" s="45" t="str">
        <f t="shared" si="28"/>
        <v/>
      </c>
      <c r="BI137" s="25"/>
      <c r="BJ137" s="45" t="str">
        <f t="shared" si="29"/>
        <v/>
      </c>
      <c r="BK137" s="27">
        <v>0.0</v>
      </c>
      <c r="BL137" s="23"/>
      <c r="BM137" s="45" t="str">
        <f t="shared" si="30"/>
        <v/>
      </c>
      <c r="BN137" s="25"/>
      <c r="BO137" s="45" t="str">
        <f t="shared" si="31"/>
        <v/>
      </c>
      <c r="BP137" s="27">
        <v>0.0</v>
      </c>
      <c r="BQ137" s="33"/>
      <c r="BR137" s="23"/>
      <c r="BS137" s="45" t="str">
        <f t="shared" si="32"/>
        <v/>
      </c>
      <c r="BT137" s="25"/>
      <c r="BU137" s="45" t="str">
        <f t="shared" si="33"/>
        <v/>
      </c>
      <c r="BV137" s="29" t="str">
        <f t="shared" si="34"/>
        <v/>
      </c>
      <c r="BW137" s="29">
        <f t="shared" si="35"/>
        <v>0</v>
      </c>
      <c r="BX137" s="29">
        <f t="shared" si="36"/>
        <v>0</v>
      </c>
      <c r="BY137" s="26" t="str">
        <f t="shared" si="37"/>
        <v/>
      </c>
      <c r="BZ137" s="23"/>
      <c r="CA137" s="45" t="str">
        <f t="shared" si="38"/>
        <v/>
      </c>
      <c r="CB137" s="25"/>
      <c r="CC137" s="45" t="str">
        <f t="shared" si="39"/>
        <v/>
      </c>
      <c r="CD137" s="47"/>
      <c r="CE137" s="26" t="str">
        <f t="shared" si="40"/>
        <v/>
      </c>
      <c r="CF137" s="23"/>
      <c r="CG137" s="45" t="str">
        <f t="shared" si="41"/>
        <v/>
      </c>
      <c r="CH137" s="25"/>
      <c r="CI137" s="45" t="str">
        <f t="shared" si="42"/>
        <v/>
      </c>
      <c r="CJ137" s="47"/>
      <c r="CK137" s="26"/>
      <c r="CL137" s="23"/>
      <c r="CM137" s="45" t="str">
        <f t="shared" si="43"/>
        <v/>
      </c>
      <c r="CN137" s="25"/>
      <c r="CO137" s="45" t="str">
        <f t="shared" si="44"/>
        <v/>
      </c>
      <c r="CP137" s="27">
        <v>0.0</v>
      </c>
    </row>
    <row r="138">
      <c r="A138" s="26" t="str">
        <f t="shared" si="1"/>
        <v/>
      </c>
      <c r="B138" s="26"/>
      <c r="C138" s="81"/>
      <c r="D138" s="27"/>
      <c r="E138" s="82"/>
      <c r="F138" s="20"/>
      <c r="G138" s="20"/>
      <c r="H138" s="20"/>
      <c r="I138" s="23"/>
      <c r="J138" s="33"/>
      <c r="K138" s="26" t="str">
        <f t="shared" si="2"/>
        <v/>
      </c>
      <c r="L138" s="23"/>
      <c r="M138" s="45" t="str">
        <f t="shared" si="3"/>
        <v/>
      </c>
      <c r="N138" s="25"/>
      <c r="O138" s="45" t="str">
        <f t="shared" si="4"/>
        <v/>
      </c>
      <c r="P138" s="29" t="str">
        <f t="shared" si="5"/>
        <v/>
      </c>
      <c r="Q138" s="29">
        <f t="shared" si="6"/>
        <v>0</v>
      </c>
      <c r="R138" s="29">
        <f t="shared" si="7"/>
        <v>0</v>
      </c>
      <c r="S138" s="26" t="str">
        <f t="shared" si="8"/>
        <v/>
      </c>
      <c r="T138" s="23"/>
      <c r="U138" s="45" t="str">
        <f t="shared" si="9"/>
        <v/>
      </c>
      <c r="V138" s="25"/>
      <c r="W138" s="45" t="str">
        <f t="shared" si="10"/>
        <v/>
      </c>
      <c r="X138" s="47"/>
      <c r="Y138" s="26" t="str">
        <f t="shared" si="11"/>
        <v/>
      </c>
      <c r="Z138" s="23"/>
      <c r="AA138" s="45" t="str">
        <f t="shared" si="12"/>
        <v/>
      </c>
      <c r="AB138" s="25"/>
      <c r="AC138" s="45" t="str">
        <f t="shared" si="13"/>
        <v/>
      </c>
      <c r="AD138" s="47"/>
      <c r="AE138" s="26"/>
      <c r="AF138" s="23"/>
      <c r="AG138" s="45" t="str">
        <f t="shared" si="14"/>
        <v/>
      </c>
      <c r="AH138" s="25"/>
      <c r="AI138" s="45" t="str">
        <f t="shared" si="15"/>
        <v/>
      </c>
      <c r="AJ138" s="27">
        <v>0.0</v>
      </c>
      <c r="AK138" s="33"/>
      <c r="AL138" s="26" t="str">
        <f t="shared" si="16"/>
        <v/>
      </c>
      <c r="AM138" s="23"/>
      <c r="AN138" s="45" t="str">
        <f t="shared" si="17"/>
        <v/>
      </c>
      <c r="AO138" s="25"/>
      <c r="AP138" s="45" t="str">
        <f t="shared" si="18"/>
        <v/>
      </c>
      <c r="AQ138" s="29" t="str">
        <f t="shared" si="19"/>
        <v/>
      </c>
      <c r="AR138" s="29">
        <f t="shared" si="20"/>
        <v>0</v>
      </c>
      <c r="AS138" s="29">
        <f t="shared" si="21"/>
        <v>0</v>
      </c>
      <c r="AT138" s="26" t="str">
        <f t="shared" si="22"/>
        <v/>
      </c>
      <c r="AU138" s="23"/>
      <c r="AV138" s="45" t="str">
        <f t="shared" si="23"/>
        <v/>
      </c>
      <c r="AW138" s="25"/>
      <c r="AX138" s="45" t="str">
        <f t="shared" si="24"/>
        <v/>
      </c>
      <c r="AY138" s="47"/>
      <c r="AZ138" s="26" t="str">
        <f t="shared" si="25"/>
        <v/>
      </c>
      <c r="BA138" s="23"/>
      <c r="BB138" s="45" t="str">
        <f t="shared" si="26"/>
        <v/>
      </c>
      <c r="BC138" s="25"/>
      <c r="BD138" s="45" t="str">
        <f t="shared" si="27"/>
        <v/>
      </c>
      <c r="BE138" s="47"/>
      <c r="BF138" s="26"/>
      <c r="BG138" s="23"/>
      <c r="BH138" s="45" t="str">
        <f t="shared" si="28"/>
        <v/>
      </c>
      <c r="BI138" s="25"/>
      <c r="BJ138" s="45" t="str">
        <f t="shared" si="29"/>
        <v/>
      </c>
      <c r="BK138" s="27">
        <v>0.0</v>
      </c>
      <c r="BL138" s="23"/>
      <c r="BM138" s="45" t="str">
        <f t="shared" si="30"/>
        <v/>
      </c>
      <c r="BN138" s="25"/>
      <c r="BO138" s="45" t="str">
        <f t="shared" si="31"/>
        <v/>
      </c>
      <c r="BP138" s="27">
        <v>0.0</v>
      </c>
      <c r="BQ138" s="33"/>
      <c r="BR138" s="23"/>
      <c r="BS138" s="45" t="str">
        <f t="shared" si="32"/>
        <v/>
      </c>
      <c r="BT138" s="25"/>
      <c r="BU138" s="45" t="str">
        <f t="shared" si="33"/>
        <v/>
      </c>
      <c r="BV138" s="29" t="str">
        <f t="shared" si="34"/>
        <v/>
      </c>
      <c r="BW138" s="29">
        <f t="shared" si="35"/>
        <v>0</v>
      </c>
      <c r="BX138" s="29">
        <f t="shared" si="36"/>
        <v>0</v>
      </c>
      <c r="BY138" s="26" t="str">
        <f t="shared" si="37"/>
        <v/>
      </c>
      <c r="BZ138" s="23"/>
      <c r="CA138" s="45" t="str">
        <f t="shared" si="38"/>
        <v/>
      </c>
      <c r="CB138" s="25"/>
      <c r="CC138" s="45" t="str">
        <f t="shared" si="39"/>
        <v/>
      </c>
      <c r="CD138" s="47"/>
      <c r="CE138" s="26" t="str">
        <f t="shared" si="40"/>
        <v/>
      </c>
      <c r="CF138" s="23"/>
      <c r="CG138" s="45" t="str">
        <f t="shared" si="41"/>
        <v/>
      </c>
      <c r="CH138" s="25"/>
      <c r="CI138" s="45" t="str">
        <f t="shared" si="42"/>
        <v/>
      </c>
      <c r="CJ138" s="47"/>
      <c r="CK138" s="26"/>
      <c r="CL138" s="23"/>
      <c r="CM138" s="45" t="str">
        <f t="shared" si="43"/>
        <v/>
      </c>
      <c r="CN138" s="25"/>
      <c r="CO138" s="45" t="str">
        <f t="shared" si="44"/>
        <v/>
      </c>
      <c r="CP138" s="27">
        <v>0.0</v>
      </c>
    </row>
    <row r="139">
      <c r="A139" s="26" t="str">
        <f t="shared" si="1"/>
        <v/>
      </c>
      <c r="B139" s="26"/>
      <c r="C139" s="81"/>
      <c r="D139" s="27"/>
      <c r="E139" s="82"/>
      <c r="F139" s="20"/>
      <c r="G139" s="20"/>
      <c r="H139" s="20"/>
      <c r="I139" s="23"/>
      <c r="J139" s="33"/>
      <c r="K139" s="26" t="str">
        <f t="shared" si="2"/>
        <v/>
      </c>
      <c r="L139" s="23"/>
      <c r="M139" s="45" t="str">
        <f t="shared" si="3"/>
        <v/>
      </c>
      <c r="N139" s="25"/>
      <c r="O139" s="45" t="str">
        <f t="shared" si="4"/>
        <v/>
      </c>
      <c r="P139" s="29" t="str">
        <f t="shared" si="5"/>
        <v/>
      </c>
      <c r="Q139" s="29">
        <f t="shared" si="6"/>
        <v>0</v>
      </c>
      <c r="R139" s="29">
        <f t="shared" si="7"/>
        <v>0</v>
      </c>
      <c r="S139" s="26" t="str">
        <f t="shared" si="8"/>
        <v/>
      </c>
      <c r="T139" s="23"/>
      <c r="U139" s="45" t="str">
        <f t="shared" si="9"/>
        <v/>
      </c>
      <c r="V139" s="25"/>
      <c r="W139" s="45" t="str">
        <f t="shared" si="10"/>
        <v/>
      </c>
      <c r="X139" s="47"/>
      <c r="Y139" s="26" t="str">
        <f t="shared" si="11"/>
        <v/>
      </c>
      <c r="Z139" s="23"/>
      <c r="AA139" s="45" t="str">
        <f t="shared" si="12"/>
        <v/>
      </c>
      <c r="AB139" s="25"/>
      <c r="AC139" s="45" t="str">
        <f t="shared" si="13"/>
        <v/>
      </c>
      <c r="AD139" s="47"/>
      <c r="AE139" s="26"/>
      <c r="AF139" s="23"/>
      <c r="AG139" s="45" t="str">
        <f t="shared" si="14"/>
        <v/>
      </c>
      <c r="AH139" s="25"/>
      <c r="AI139" s="45" t="str">
        <f t="shared" si="15"/>
        <v/>
      </c>
      <c r="AJ139" s="27">
        <v>0.0</v>
      </c>
      <c r="AK139" s="33"/>
      <c r="AL139" s="26" t="str">
        <f t="shared" si="16"/>
        <v/>
      </c>
      <c r="AM139" s="23"/>
      <c r="AN139" s="45" t="str">
        <f t="shared" si="17"/>
        <v/>
      </c>
      <c r="AO139" s="25"/>
      <c r="AP139" s="45" t="str">
        <f t="shared" si="18"/>
        <v/>
      </c>
      <c r="AQ139" s="29" t="str">
        <f t="shared" si="19"/>
        <v/>
      </c>
      <c r="AR139" s="29">
        <f t="shared" si="20"/>
        <v>0</v>
      </c>
      <c r="AS139" s="29">
        <f t="shared" si="21"/>
        <v>0</v>
      </c>
      <c r="AT139" s="26" t="str">
        <f t="shared" si="22"/>
        <v/>
      </c>
      <c r="AU139" s="23"/>
      <c r="AV139" s="45" t="str">
        <f t="shared" si="23"/>
        <v/>
      </c>
      <c r="AW139" s="25"/>
      <c r="AX139" s="45" t="str">
        <f t="shared" si="24"/>
        <v/>
      </c>
      <c r="AY139" s="47"/>
      <c r="AZ139" s="26" t="str">
        <f t="shared" si="25"/>
        <v/>
      </c>
      <c r="BA139" s="23"/>
      <c r="BB139" s="45" t="str">
        <f t="shared" si="26"/>
        <v/>
      </c>
      <c r="BC139" s="25"/>
      <c r="BD139" s="45" t="str">
        <f t="shared" si="27"/>
        <v/>
      </c>
      <c r="BE139" s="47"/>
      <c r="BF139" s="26"/>
      <c r="BG139" s="23"/>
      <c r="BH139" s="45" t="str">
        <f t="shared" si="28"/>
        <v/>
      </c>
      <c r="BI139" s="25"/>
      <c r="BJ139" s="45" t="str">
        <f t="shared" si="29"/>
        <v/>
      </c>
      <c r="BK139" s="27">
        <v>0.0</v>
      </c>
      <c r="BL139" s="23"/>
      <c r="BM139" s="45" t="str">
        <f t="shared" si="30"/>
        <v/>
      </c>
      <c r="BN139" s="25"/>
      <c r="BO139" s="45" t="str">
        <f t="shared" si="31"/>
        <v/>
      </c>
      <c r="BP139" s="27">
        <v>0.0</v>
      </c>
      <c r="BQ139" s="33"/>
      <c r="BR139" s="23"/>
      <c r="BS139" s="45" t="str">
        <f t="shared" si="32"/>
        <v/>
      </c>
      <c r="BT139" s="25"/>
      <c r="BU139" s="45" t="str">
        <f t="shared" si="33"/>
        <v/>
      </c>
      <c r="BV139" s="29" t="str">
        <f t="shared" si="34"/>
        <v/>
      </c>
      <c r="BW139" s="29">
        <f t="shared" si="35"/>
        <v>0</v>
      </c>
      <c r="BX139" s="29">
        <f t="shared" si="36"/>
        <v>0</v>
      </c>
      <c r="BY139" s="26" t="str">
        <f t="shared" si="37"/>
        <v/>
      </c>
      <c r="BZ139" s="23"/>
      <c r="CA139" s="45" t="str">
        <f t="shared" si="38"/>
        <v/>
      </c>
      <c r="CB139" s="25"/>
      <c r="CC139" s="45" t="str">
        <f t="shared" si="39"/>
        <v/>
      </c>
      <c r="CD139" s="47"/>
      <c r="CE139" s="26" t="str">
        <f t="shared" si="40"/>
        <v/>
      </c>
      <c r="CF139" s="23"/>
      <c r="CG139" s="45" t="str">
        <f t="shared" si="41"/>
        <v/>
      </c>
      <c r="CH139" s="25"/>
      <c r="CI139" s="45" t="str">
        <f t="shared" si="42"/>
        <v/>
      </c>
      <c r="CJ139" s="47"/>
      <c r="CK139" s="26"/>
      <c r="CL139" s="23"/>
      <c r="CM139" s="45" t="str">
        <f t="shared" si="43"/>
        <v/>
      </c>
      <c r="CN139" s="25"/>
      <c r="CO139" s="45" t="str">
        <f t="shared" si="44"/>
        <v/>
      </c>
      <c r="CP139" s="27">
        <v>0.0</v>
      </c>
    </row>
    <row r="140">
      <c r="A140" s="26" t="str">
        <f t="shared" si="1"/>
        <v/>
      </c>
      <c r="B140" s="26"/>
      <c r="C140" s="81"/>
      <c r="D140" s="27"/>
      <c r="E140" s="82"/>
      <c r="F140" s="20"/>
      <c r="G140" s="20"/>
      <c r="H140" s="20"/>
      <c r="I140" s="23"/>
      <c r="J140" s="33"/>
      <c r="K140" s="26" t="str">
        <f t="shared" si="2"/>
        <v/>
      </c>
      <c r="L140" s="23"/>
      <c r="M140" s="45" t="str">
        <f t="shared" si="3"/>
        <v/>
      </c>
      <c r="N140" s="25"/>
      <c r="O140" s="45" t="str">
        <f t="shared" si="4"/>
        <v/>
      </c>
      <c r="P140" s="29" t="str">
        <f t="shared" si="5"/>
        <v/>
      </c>
      <c r="Q140" s="29">
        <f t="shared" si="6"/>
        <v>0</v>
      </c>
      <c r="R140" s="29">
        <f t="shared" si="7"/>
        <v>0</v>
      </c>
      <c r="S140" s="26" t="str">
        <f t="shared" si="8"/>
        <v/>
      </c>
      <c r="T140" s="23"/>
      <c r="U140" s="45" t="str">
        <f t="shared" si="9"/>
        <v/>
      </c>
      <c r="V140" s="25"/>
      <c r="W140" s="45" t="str">
        <f t="shared" si="10"/>
        <v/>
      </c>
      <c r="X140" s="47"/>
      <c r="Y140" s="26" t="str">
        <f t="shared" si="11"/>
        <v/>
      </c>
      <c r="Z140" s="23"/>
      <c r="AA140" s="45" t="str">
        <f t="shared" si="12"/>
        <v/>
      </c>
      <c r="AB140" s="25"/>
      <c r="AC140" s="45" t="str">
        <f t="shared" si="13"/>
        <v/>
      </c>
      <c r="AD140" s="47"/>
      <c r="AE140" s="26"/>
      <c r="AF140" s="23"/>
      <c r="AG140" s="45" t="str">
        <f t="shared" si="14"/>
        <v/>
      </c>
      <c r="AH140" s="25"/>
      <c r="AI140" s="45" t="str">
        <f t="shared" si="15"/>
        <v/>
      </c>
      <c r="AJ140" s="27">
        <v>0.0</v>
      </c>
      <c r="AK140" s="33"/>
      <c r="AL140" s="26" t="str">
        <f t="shared" si="16"/>
        <v/>
      </c>
      <c r="AM140" s="23"/>
      <c r="AN140" s="45" t="str">
        <f t="shared" si="17"/>
        <v/>
      </c>
      <c r="AO140" s="25"/>
      <c r="AP140" s="45" t="str">
        <f t="shared" si="18"/>
        <v/>
      </c>
      <c r="AQ140" s="29" t="str">
        <f t="shared" si="19"/>
        <v/>
      </c>
      <c r="AR140" s="29">
        <f t="shared" si="20"/>
        <v>0</v>
      </c>
      <c r="AS140" s="29">
        <f t="shared" si="21"/>
        <v>0</v>
      </c>
      <c r="AT140" s="26" t="str">
        <f t="shared" si="22"/>
        <v/>
      </c>
      <c r="AU140" s="23"/>
      <c r="AV140" s="45" t="str">
        <f t="shared" si="23"/>
        <v/>
      </c>
      <c r="AW140" s="25"/>
      <c r="AX140" s="45" t="str">
        <f t="shared" si="24"/>
        <v/>
      </c>
      <c r="AY140" s="47"/>
      <c r="AZ140" s="26" t="str">
        <f t="shared" si="25"/>
        <v/>
      </c>
      <c r="BA140" s="23"/>
      <c r="BB140" s="45" t="str">
        <f t="shared" si="26"/>
        <v/>
      </c>
      <c r="BC140" s="25"/>
      <c r="BD140" s="45" t="str">
        <f t="shared" si="27"/>
        <v/>
      </c>
      <c r="BE140" s="47"/>
      <c r="BF140" s="26"/>
      <c r="BG140" s="23"/>
      <c r="BH140" s="45" t="str">
        <f t="shared" si="28"/>
        <v/>
      </c>
      <c r="BI140" s="25"/>
      <c r="BJ140" s="45" t="str">
        <f t="shared" si="29"/>
        <v/>
      </c>
      <c r="BK140" s="27">
        <v>0.0</v>
      </c>
      <c r="BL140" s="23"/>
      <c r="BM140" s="45" t="str">
        <f t="shared" si="30"/>
        <v/>
      </c>
      <c r="BN140" s="25"/>
      <c r="BO140" s="45" t="str">
        <f t="shared" si="31"/>
        <v/>
      </c>
      <c r="BP140" s="27">
        <v>0.0</v>
      </c>
      <c r="BQ140" s="33"/>
      <c r="BR140" s="23"/>
      <c r="BS140" s="45" t="str">
        <f t="shared" si="32"/>
        <v/>
      </c>
      <c r="BT140" s="25"/>
      <c r="BU140" s="45" t="str">
        <f t="shared" si="33"/>
        <v/>
      </c>
      <c r="BV140" s="29" t="str">
        <f t="shared" si="34"/>
        <v/>
      </c>
      <c r="BW140" s="29">
        <f t="shared" si="35"/>
        <v>0</v>
      </c>
      <c r="BX140" s="29">
        <f t="shared" si="36"/>
        <v>0</v>
      </c>
      <c r="BY140" s="26" t="str">
        <f t="shared" si="37"/>
        <v/>
      </c>
      <c r="BZ140" s="23"/>
      <c r="CA140" s="45" t="str">
        <f t="shared" si="38"/>
        <v/>
      </c>
      <c r="CB140" s="25"/>
      <c r="CC140" s="45" t="str">
        <f t="shared" si="39"/>
        <v/>
      </c>
      <c r="CD140" s="47"/>
      <c r="CE140" s="26" t="str">
        <f t="shared" si="40"/>
        <v/>
      </c>
      <c r="CF140" s="23"/>
      <c r="CG140" s="45" t="str">
        <f t="shared" si="41"/>
        <v/>
      </c>
      <c r="CH140" s="25"/>
      <c r="CI140" s="45" t="str">
        <f t="shared" si="42"/>
        <v/>
      </c>
      <c r="CJ140" s="47"/>
      <c r="CK140" s="26"/>
      <c r="CL140" s="23"/>
      <c r="CM140" s="45" t="str">
        <f t="shared" si="43"/>
        <v/>
      </c>
      <c r="CN140" s="25"/>
      <c r="CO140" s="45" t="str">
        <f t="shared" si="44"/>
        <v/>
      </c>
      <c r="CP140" s="27">
        <v>0.0</v>
      </c>
    </row>
    <row r="141">
      <c r="A141" s="26" t="str">
        <f t="shared" si="1"/>
        <v/>
      </c>
      <c r="B141" s="26"/>
      <c r="C141" s="81"/>
      <c r="D141" s="27"/>
      <c r="E141" s="82"/>
      <c r="F141" s="20"/>
      <c r="G141" s="20"/>
      <c r="H141" s="20"/>
      <c r="I141" s="23"/>
      <c r="J141" s="33"/>
      <c r="K141" s="26" t="str">
        <f t="shared" si="2"/>
        <v/>
      </c>
      <c r="L141" s="23"/>
      <c r="M141" s="45" t="str">
        <f t="shared" si="3"/>
        <v/>
      </c>
      <c r="N141" s="25"/>
      <c r="O141" s="45" t="str">
        <f t="shared" si="4"/>
        <v/>
      </c>
      <c r="P141" s="29" t="str">
        <f t="shared" si="5"/>
        <v/>
      </c>
      <c r="Q141" s="29">
        <f t="shared" si="6"/>
        <v>0</v>
      </c>
      <c r="R141" s="29">
        <f t="shared" si="7"/>
        <v>0</v>
      </c>
      <c r="S141" s="26" t="str">
        <f t="shared" si="8"/>
        <v/>
      </c>
      <c r="T141" s="23"/>
      <c r="U141" s="45" t="str">
        <f t="shared" si="9"/>
        <v/>
      </c>
      <c r="V141" s="25"/>
      <c r="W141" s="45" t="str">
        <f t="shared" si="10"/>
        <v/>
      </c>
      <c r="X141" s="47"/>
      <c r="Y141" s="26" t="str">
        <f t="shared" si="11"/>
        <v/>
      </c>
      <c r="Z141" s="23"/>
      <c r="AA141" s="45" t="str">
        <f t="shared" si="12"/>
        <v/>
      </c>
      <c r="AB141" s="25"/>
      <c r="AC141" s="45" t="str">
        <f t="shared" si="13"/>
        <v/>
      </c>
      <c r="AD141" s="47"/>
      <c r="AE141" s="26"/>
      <c r="AF141" s="23"/>
      <c r="AG141" s="45" t="str">
        <f t="shared" si="14"/>
        <v/>
      </c>
      <c r="AH141" s="25"/>
      <c r="AI141" s="45" t="str">
        <f t="shared" si="15"/>
        <v/>
      </c>
      <c r="AJ141" s="27">
        <v>0.0</v>
      </c>
      <c r="AK141" s="33"/>
      <c r="AL141" s="26" t="str">
        <f t="shared" si="16"/>
        <v/>
      </c>
      <c r="AM141" s="23"/>
      <c r="AN141" s="45" t="str">
        <f t="shared" si="17"/>
        <v/>
      </c>
      <c r="AO141" s="25"/>
      <c r="AP141" s="45" t="str">
        <f t="shared" si="18"/>
        <v/>
      </c>
      <c r="AQ141" s="29" t="str">
        <f t="shared" si="19"/>
        <v/>
      </c>
      <c r="AR141" s="29">
        <f t="shared" si="20"/>
        <v>0</v>
      </c>
      <c r="AS141" s="29">
        <f t="shared" si="21"/>
        <v>0</v>
      </c>
      <c r="AT141" s="26" t="str">
        <f t="shared" si="22"/>
        <v/>
      </c>
      <c r="AU141" s="23"/>
      <c r="AV141" s="45" t="str">
        <f t="shared" si="23"/>
        <v/>
      </c>
      <c r="AW141" s="25"/>
      <c r="AX141" s="45" t="str">
        <f t="shared" si="24"/>
        <v/>
      </c>
      <c r="AY141" s="47"/>
      <c r="AZ141" s="26" t="str">
        <f t="shared" si="25"/>
        <v/>
      </c>
      <c r="BA141" s="23"/>
      <c r="BB141" s="45" t="str">
        <f t="shared" si="26"/>
        <v/>
      </c>
      <c r="BC141" s="25"/>
      <c r="BD141" s="45" t="str">
        <f t="shared" si="27"/>
        <v/>
      </c>
      <c r="BE141" s="47"/>
      <c r="BF141" s="26"/>
      <c r="BG141" s="23"/>
      <c r="BH141" s="45" t="str">
        <f t="shared" si="28"/>
        <v/>
      </c>
      <c r="BI141" s="25"/>
      <c r="BJ141" s="45" t="str">
        <f t="shared" si="29"/>
        <v/>
      </c>
      <c r="BK141" s="27">
        <v>0.0</v>
      </c>
      <c r="BL141" s="23"/>
      <c r="BM141" s="45" t="str">
        <f t="shared" si="30"/>
        <v/>
      </c>
      <c r="BN141" s="25"/>
      <c r="BO141" s="45" t="str">
        <f t="shared" si="31"/>
        <v/>
      </c>
      <c r="BP141" s="27">
        <v>0.0</v>
      </c>
      <c r="BQ141" s="33"/>
      <c r="BR141" s="23"/>
      <c r="BS141" s="45" t="str">
        <f t="shared" si="32"/>
        <v/>
      </c>
      <c r="BT141" s="25"/>
      <c r="BU141" s="45" t="str">
        <f t="shared" si="33"/>
        <v/>
      </c>
      <c r="BV141" s="29" t="str">
        <f t="shared" si="34"/>
        <v/>
      </c>
      <c r="BW141" s="29">
        <f t="shared" si="35"/>
        <v>0</v>
      </c>
      <c r="BX141" s="29">
        <f t="shared" si="36"/>
        <v>0</v>
      </c>
      <c r="BY141" s="26" t="str">
        <f t="shared" si="37"/>
        <v/>
      </c>
      <c r="BZ141" s="23"/>
      <c r="CA141" s="45" t="str">
        <f t="shared" si="38"/>
        <v/>
      </c>
      <c r="CB141" s="25"/>
      <c r="CC141" s="45" t="str">
        <f t="shared" si="39"/>
        <v/>
      </c>
      <c r="CD141" s="47"/>
      <c r="CE141" s="26" t="str">
        <f t="shared" si="40"/>
        <v/>
      </c>
      <c r="CF141" s="23"/>
      <c r="CG141" s="45" t="str">
        <f t="shared" si="41"/>
        <v/>
      </c>
      <c r="CH141" s="25"/>
      <c r="CI141" s="45" t="str">
        <f t="shared" si="42"/>
        <v/>
      </c>
      <c r="CJ141" s="47"/>
      <c r="CK141" s="26"/>
      <c r="CL141" s="23"/>
      <c r="CM141" s="45" t="str">
        <f t="shared" si="43"/>
        <v/>
      </c>
      <c r="CN141" s="25"/>
      <c r="CO141" s="45" t="str">
        <f t="shared" si="44"/>
        <v/>
      </c>
      <c r="CP141" s="27">
        <v>0.0</v>
      </c>
    </row>
    <row r="142">
      <c r="A142" s="26" t="str">
        <f t="shared" si="1"/>
        <v/>
      </c>
      <c r="B142" s="26"/>
      <c r="C142" s="81"/>
      <c r="D142" s="27"/>
      <c r="E142" s="82"/>
      <c r="F142" s="20"/>
      <c r="G142" s="20"/>
      <c r="H142" s="20"/>
      <c r="I142" s="23"/>
      <c r="J142" s="33"/>
      <c r="K142" s="26" t="str">
        <f t="shared" si="2"/>
        <v/>
      </c>
      <c r="L142" s="23"/>
      <c r="M142" s="45" t="str">
        <f t="shared" si="3"/>
        <v/>
      </c>
      <c r="N142" s="25"/>
      <c r="O142" s="45" t="str">
        <f t="shared" si="4"/>
        <v/>
      </c>
      <c r="P142" s="29" t="str">
        <f t="shared" si="5"/>
        <v/>
      </c>
      <c r="Q142" s="29">
        <f t="shared" si="6"/>
        <v>0</v>
      </c>
      <c r="R142" s="29">
        <f t="shared" si="7"/>
        <v>0</v>
      </c>
      <c r="S142" s="26" t="str">
        <f t="shared" si="8"/>
        <v/>
      </c>
      <c r="T142" s="23"/>
      <c r="U142" s="45" t="str">
        <f t="shared" si="9"/>
        <v/>
      </c>
      <c r="V142" s="25"/>
      <c r="W142" s="45" t="str">
        <f t="shared" si="10"/>
        <v/>
      </c>
      <c r="X142" s="47"/>
      <c r="Y142" s="26" t="str">
        <f t="shared" si="11"/>
        <v/>
      </c>
      <c r="Z142" s="23"/>
      <c r="AA142" s="45" t="str">
        <f t="shared" si="12"/>
        <v/>
      </c>
      <c r="AB142" s="25"/>
      <c r="AC142" s="45" t="str">
        <f t="shared" si="13"/>
        <v/>
      </c>
      <c r="AD142" s="47"/>
      <c r="AE142" s="26"/>
      <c r="AF142" s="23"/>
      <c r="AG142" s="45" t="str">
        <f t="shared" si="14"/>
        <v/>
      </c>
      <c r="AH142" s="25"/>
      <c r="AI142" s="45" t="str">
        <f t="shared" si="15"/>
        <v/>
      </c>
      <c r="AJ142" s="27">
        <v>0.0</v>
      </c>
      <c r="AK142" s="33"/>
      <c r="AL142" s="26" t="str">
        <f t="shared" si="16"/>
        <v/>
      </c>
      <c r="AM142" s="23"/>
      <c r="AN142" s="45" t="str">
        <f t="shared" si="17"/>
        <v/>
      </c>
      <c r="AO142" s="25"/>
      <c r="AP142" s="45" t="str">
        <f t="shared" si="18"/>
        <v/>
      </c>
      <c r="AQ142" s="29" t="str">
        <f t="shared" si="19"/>
        <v/>
      </c>
      <c r="AR142" s="29">
        <f t="shared" si="20"/>
        <v>0</v>
      </c>
      <c r="AS142" s="29">
        <f t="shared" si="21"/>
        <v>0</v>
      </c>
      <c r="AT142" s="26" t="str">
        <f t="shared" si="22"/>
        <v/>
      </c>
      <c r="AU142" s="23"/>
      <c r="AV142" s="45" t="str">
        <f t="shared" si="23"/>
        <v/>
      </c>
      <c r="AW142" s="25"/>
      <c r="AX142" s="45" t="str">
        <f t="shared" si="24"/>
        <v/>
      </c>
      <c r="AY142" s="47"/>
      <c r="AZ142" s="26" t="str">
        <f t="shared" si="25"/>
        <v/>
      </c>
      <c r="BA142" s="23"/>
      <c r="BB142" s="45" t="str">
        <f t="shared" si="26"/>
        <v/>
      </c>
      <c r="BC142" s="25"/>
      <c r="BD142" s="45" t="str">
        <f t="shared" si="27"/>
        <v/>
      </c>
      <c r="BE142" s="47"/>
      <c r="BF142" s="26"/>
      <c r="BG142" s="23"/>
      <c r="BH142" s="45" t="str">
        <f t="shared" si="28"/>
        <v/>
      </c>
      <c r="BI142" s="25"/>
      <c r="BJ142" s="45" t="str">
        <f t="shared" si="29"/>
        <v/>
      </c>
      <c r="BK142" s="27">
        <v>0.0</v>
      </c>
      <c r="BL142" s="23"/>
      <c r="BM142" s="45" t="str">
        <f t="shared" si="30"/>
        <v/>
      </c>
      <c r="BN142" s="25"/>
      <c r="BO142" s="45" t="str">
        <f t="shared" si="31"/>
        <v/>
      </c>
      <c r="BP142" s="27">
        <v>0.0</v>
      </c>
      <c r="BQ142" s="33"/>
      <c r="BR142" s="23"/>
      <c r="BS142" s="45" t="str">
        <f t="shared" si="32"/>
        <v/>
      </c>
      <c r="BT142" s="25"/>
      <c r="BU142" s="45" t="str">
        <f t="shared" si="33"/>
        <v/>
      </c>
      <c r="BV142" s="29" t="str">
        <f t="shared" si="34"/>
        <v/>
      </c>
      <c r="BW142" s="29">
        <f t="shared" si="35"/>
        <v>0</v>
      </c>
      <c r="BX142" s="29">
        <f t="shared" si="36"/>
        <v>0</v>
      </c>
      <c r="BY142" s="26" t="str">
        <f t="shared" si="37"/>
        <v/>
      </c>
      <c r="BZ142" s="23"/>
      <c r="CA142" s="45" t="str">
        <f t="shared" si="38"/>
        <v/>
      </c>
      <c r="CB142" s="25"/>
      <c r="CC142" s="45" t="str">
        <f t="shared" si="39"/>
        <v/>
      </c>
      <c r="CD142" s="47"/>
      <c r="CE142" s="26" t="str">
        <f t="shared" si="40"/>
        <v/>
      </c>
      <c r="CF142" s="23"/>
      <c r="CG142" s="45" t="str">
        <f t="shared" si="41"/>
        <v/>
      </c>
      <c r="CH142" s="25"/>
      <c r="CI142" s="45" t="str">
        <f t="shared" si="42"/>
        <v/>
      </c>
      <c r="CJ142" s="47"/>
      <c r="CK142" s="26"/>
      <c r="CL142" s="23"/>
      <c r="CM142" s="45" t="str">
        <f t="shared" si="43"/>
        <v/>
      </c>
      <c r="CN142" s="25"/>
      <c r="CO142" s="45" t="str">
        <f t="shared" si="44"/>
        <v/>
      </c>
      <c r="CP142" s="27">
        <v>0.0</v>
      </c>
    </row>
    <row r="143">
      <c r="A143" s="26" t="str">
        <f t="shared" si="1"/>
        <v/>
      </c>
      <c r="B143" s="26"/>
      <c r="C143" s="81"/>
      <c r="D143" s="27"/>
      <c r="E143" s="82"/>
      <c r="F143" s="20"/>
      <c r="G143" s="20"/>
      <c r="H143" s="20"/>
      <c r="I143" s="23"/>
      <c r="J143" s="33"/>
      <c r="K143" s="26" t="str">
        <f t="shared" si="2"/>
        <v/>
      </c>
      <c r="L143" s="23"/>
      <c r="M143" s="45" t="str">
        <f t="shared" si="3"/>
        <v/>
      </c>
      <c r="N143" s="25"/>
      <c r="O143" s="45" t="str">
        <f t="shared" si="4"/>
        <v/>
      </c>
      <c r="P143" s="29" t="str">
        <f t="shared" si="5"/>
        <v/>
      </c>
      <c r="Q143" s="29">
        <f t="shared" si="6"/>
        <v>0</v>
      </c>
      <c r="R143" s="29">
        <f t="shared" si="7"/>
        <v>0</v>
      </c>
      <c r="S143" s="26" t="str">
        <f t="shared" si="8"/>
        <v/>
      </c>
      <c r="T143" s="23"/>
      <c r="U143" s="45" t="str">
        <f t="shared" si="9"/>
        <v/>
      </c>
      <c r="V143" s="25"/>
      <c r="W143" s="45" t="str">
        <f t="shared" si="10"/>
        <v/>
      </c>
      <c r="X143" s="47"/>
      <c r="Y143" s="26" t="str">
        <f t="shared" si="11"/>
        <v/>
      </c>
      <c r="Z143" s="23"/>
      <c r="AA143" s="45" t="str">
        <f t="shared" si="12"/>
        <v/>
      </c>
      <c r="AB143" s="25"/>
      <c r="AC143" s="45" t="str">
        <f t="shared" si="13"/>
        <v/>
      </c>
      <c r="AD143" s="47"/>
      <c r="AE143" s="26"/>
      <c r="AF143" s="23"/>
      <c r="AG143" s="45" t="str">
        <f t="shared" si="14"/>
        <v/>
      </c>
      <c r="AH143" s="25"/>
      <c r="AI143" s="45" t="str">
        <f t="shared" si="15"/>
        <v/>
      </c>
      <c r="AJ143" s="27">
        <v>0.0</v>
      </c>
      <c r="AK143" s="33"/>
      <c r="AL143" s="26" t="str">
        <f t="shared" si="16"/>
        <v/>
      </c>
      <c r="AM143" s="23"/>
      <c r="AN143" s="45" t="str">
        <f t="shared" si="17"/>
        <v/>
      </c>
      <c r="AO143" s="25"/>
      <c r="AP143" s="45" t="str">
        <f t="shared" si="18"/>
        <v/>
      </c>
      <c r="AQ143" s="29" t="str">
        <f t="shared" si="19"/>
        <v/>
      </c>
      <c r="AR143" s="29">
        <f t="shared" si="20"/>
        <v>0</v>
      </c>
      <c r="AS143" s="29">
        <f t="shared" si="21"/>
        <v>0</v>
      </c>
      <c r="AT143" s="26" t="str">
        <f t="shared" si="22"/>
        <v/>
      </c>
      <c r="AU143" s="23"/>
      <c r="AV143" s="45" t="str">
        <f t="shared" si="23"/>
        <v/>
      </c>
      <c r="AW143" s="25"/>
      <c r="AX143" s="45" t="str">
        <f t="shared" si="24"/>
        <v/>
      </c>
      <c r="AY143" s="47"/>
      <c r="AZ143" s="26" t="str">
        <f t="shared" si="25"/>
        <v/>
      </c>
      <c r="BA143" s="23"/>
      <c r="BB143" s="45" t="str">
        <f t="shared" si="26"/>
        <v/>
      </c>
      <c r="BC143" s="25"/>
      <c r="BD143" s="45" t="str">
        <f t="shared" si="27"/>
        <v/>
      </c>
      <c r="BE143" s="47"/>
      <c r="BF143" s="26"/>
      <c r="BG143" s="23"/>
      <c r="BH143" s="45" t="str">
        <f t="shared" si="28"/>
        <v/>
      </c>
      <c r="BI143" s="25"/>
      <c r="BJ143" s="45" t="str">
        <f t="shared" si="29"/>
        <v/>
      </c>
      <c r="BK143" s="27">
        <v>0.0</v>
      </c>
      <c r="BL143" s="23"/>
      <c r="BM143" s="45" t="str">
        <f t="shared" si="30"/>
        <v/>
      </c>
      <c r="BN143" s="25"/>
      <c r="BO143" s="45" t="str">
        <f t="shared" si="31"/>
        <v/>
      </c>
      <c r="BP143" s="27">
        <v>0.0</v>
      </c>
      <c r="BQ143" s="33"/>
      <c r="BR143" s="23"/>
      <c r="BS143" s="45" t="str">
        <f t="shared" si="32"/>
        <v/>
      </c>
      <c r="BT143" s="25"/>
      <c r="BU143" s="45" t="str">
        <f t="shared" si="33"/>
        <v/>
      </c>
      <c r="BV143" s="29" t="str">
        <f t="shared" si="34"/>
        <v/>
      </c>
      <c r="BW143" s="29">
        <f t="shared" si="35"/>
        <v>0</v>
      </c>
      <c r="BX143" s="29">
        <f t="shared" si="36"/>
        <v>0</v>
      </c>
      <c r="BY143" s="26" t="str">
        <f t="shared" si="37"/>
        <v/>
      </c>
      <c r="BZ143" s="23"/>
      <c r="CA143" s="45" t="str">
        <f t="shared" si="38"/>
        <v/>
      </c>
      <c r="CB143" s="25"/>
      <c r="CC143" s="45" t="str">
        <f t="shared" si="39"/>
        <v/>
      </c>
      <c r="CD143" s="47"/>
      <c r="CE143" s="26" t="str">
        <f t="shared" si="40"/>
        <v/>
      </c>
      <c r="CF143" s="23"/>
      <c r="CG143" s="45" t="str">
        <f t="shared" si="41"/>
        <v/>
      </c>
      <c r="CH143" s="25"/>
      <c r="CI143" s="45" t="str">
        <f t="shared" si="42"/>
        <v/>
      </c>
      <c r="CJ143" s="47"/>
      <c r="CK143" s="26"/>
      <c r="CL143" s="23"/>
      <c r="CM143" s="45" t="str">
        <f t="shared" si="43"/>
        <v/>
      </c>
      <c r="CN143" s="25"/>
      <c r="CO143" s="45" t="str">
        <f t="shared" si="44"/>
        <v/>
      </c>
      <c r="CP143" s="27">
        <v>0.0</v>
      </c>
    </row>
    <row r="144">
      <c r="A144" s="26" t="str">
        <f t="shared" si="1"/>
        <v/>
      </c>
      <c r="B144" s="26"/>
      <c r="C144" s="81"/>
      <c r="D144" s="27"/>
      <c r="E144" s="82"/>
      <c r="F144" s="20"/>
      <c r="G144" s="20"/>
      <c r="H144" s="20"/>
      <c r="I144" s="23"/>
      <c r="J144" s="33"/>
      <c r="K144" s="26" t="str">
        <f t="shared" si="2"/>
        <v/>
      </c>
      <c r="L144" s="23"/>
      <c r="M144" s="45" t="str">
        <f t="shared" si="3"/>
        <v/>
      </c>
      <c r="N144" s="25"/>
      <c r="O144" s="45" t="str">
        <f t="shared" si="4"/>
        <v/>
      </c>
      <c r="P144" s="29" t="str">
        <f t="shared" si="5"/>
        <v/>
      </c>
      <c r="Q144" s="29">
        <f t="shared" si="6"/>
        <v>0</v>
      </c>
      <c r="R144" s="29">
        <f t="shared" si="7"/>
        <v>0</v>
      </c>
      <c r="S144" s="26" t="str">
        <f t="shared" si="8"/>
        <v/>
      </c>
      <c r="T144" s="23"/>
      <c r="U144" s="45" t="str">
        <f t="shared" si="9"/>
        <v/>
      </c>
      <c r="V144" s="25"/>
      <c r="W144" s="45" t="str">
        <f t="shared" si="10"/>
        <v/>
      </c>
      <c r="X144" s="47"/>
      <c r="Y144" s="26" t="str">
        <f t="shared" si="11"/>
        <v/>
      </c>
      <c r="Z144" s="23"/>
      <c r="AA144" s="45" t="str">
        <f t="shared" si="12"/>
        <v/>
      </c>
      <c r="AB144" s="25"/>
      <c r="AC144" s="45" t="str">
        <f t="shared" si="13"/>
        <v/>
      </c>
      <c r="AD144" s="47"/>
      <c r="AE144" s="26"/>
      <c r="AF144" s="23"/>
      <c r="AG144" s="45" t="str">
        <f t="shared" si="14"/>
        <v/>
      </c>
      <c r="AH144" s="25"/>
      <c r="AI144" s="45" t="str">
        <f t="shared" si="15"/>
        <v/>
      </c>
      <c r="AJ144" s="27">
        <v>0.0</v>
      </c>
      <c r="AK144" s="33"/>
      <c r="AL144" s="26" t="str">
        <f t="shared" si="16"/>
        <v/>
      </c>
      <c r="AM144" s="23"/>
      <c r="AN144" s="45" t="str">
        <f t="shared" si="17"/>
        <v/>
      </c>
      <c r="AO144" s="25"/>
      <c r="AP144" s="45" t="str">
        <f t="shared" si="18"/>
        <v/>
      </c>
      <c r="AQ144" s="29" t="str">
        <f t="shared" si="19"/>
        <v/>
      </c>
      <c r="AR144" s="29">
        <f t="shared" si="20"/>
        <v>0</v>
      </c>
      <c r="AS144" s="29">
        <f t="shared" si="21"/>
        <v>0</v>
      </c>
      <c r="AT144" s="26" t="str">
        <f t="shared" si="22"/>
        <v/>
      </c>
      <c r="AU144" s="23"/>
      <c r="AV144" s="45" t="str">
        <f t="shared" si="23"/>
        <v/>
      </c>
      <c r="AW144" s="25"/>
      <c r="AX144" s="45" t="str">
        <f t="shared" si="24"/>
        <v/>
      </c>
      <c r="AY144" s="47"/>
      <c r="AZ144" s="26" t="str">
        <f t="shared" si="25"/>
        <v/>
      </c>
      <c r="BA144" s="23"/>
      <c r="BB144" s="45" t="str">
        <f t="shared" si="26"/>
        <v/>
      </c>
      <c r="BC144" s="25"/>
      <c r="BD144" s="45" t="str">
        <f t="shared" si="27"/>
        <v/>
      </c>
      <c r="BE144" s="47"/>
      <c r="BF144" s="26"/>
      <c r="BG144" s="23"/>
      <c r="BH144" s="45" t="str">
        <f t="shared" si="28"/>
        <v/>
      </c>
      <c r="BI144" s="25"/>
      <c r="BJ144" s="45" t="str">
        <f t="shared" si="29"/>
        <v/>
      </c>
      <c r="BK144" s="27">
        <v>0.0</v>
      </c>
      <c r="BL144" s="23"/>
      <c r="BM144" s="45" t="str">
        <f t="shared" si="30"/>
        <v/>
      </c>
      <c r="BN144" s="25"/>
      <c r="BO144" s="45" t="str">
        <f t="shared" si="31"/>
        <v/>
      </c>
      <c r="BP144" s="27">
        <v>0.0</v>
      </c>
      <c r="BQ144" s="33"/>
      <c r="BR144" s="23"/>
      <c r="BS144" s="45" t="str">
        <f t="shared" si="32"/>
        <v/>
      </c>
      <c r="BT144" s="25"/>
      <c r="BU144" s="45" t="str">
        <f t="shared" si="33"/>
        <v/>
      </c>
      <c r="BV144" s="29" t="str">
        <f t="shared" si="34"/>
        <v/>
      </c>
      <c r="BW144" s="29">
        <f t="shared" si="35"/>
        <v>0</v>
      </c>
      <c r="BX144" s="29">
        <f t="shared" si="36"/>
        <v>0</v>
      </c>
      <c r="BY144" s="26" t="str">
        <f t="shared" si="37"/>
        <v/>
      </c>
      <c r="BZ144" s="23"/>
      <c r="CA144" s="45" t="str">
        <f t="shared" si="38"/>
        <v/>
      </c>
      <c r="CB144" s="25"/>
      <c r="CC144" s="45" t="str">
        <f t="shared" si="39"/>
        <v/>
      </c>
      <c r="CD144" s="47"/>
      <c r="CE144" s="26" t="str">
        <f t="shared" si="40"/>
        <v/>
      </c>
      <c r="CF144" s="23"/>
      <c r="CG144" s="45" t="str">
        <f t="shared" si="41"/>
        <v/>
      </c>
      <c r="CH144" s="25"/>
      <c r="CI144" s="45" t="str">
        <f t="shared" si="42"/>
        <v/>
      </c>
      <c r="CJ144" s="47"/>
      <c r="CK144" s="26"/>
      <c r="CL144" s="23"/>
      <c r="CM144" s="45" t="str">
        <f t="shared" si="43"/>
        <v/>
      </c>
      <c r="CN144" s="25"/>
      <c r="CO144" s="45" t="str">
        <f t="shared" si="44"/>
        <v/>
      </c>
      <c r="CP144" s="27">
        <v>0.0</v>
      </c>
    </row>
    <row r="145">
      <c r="A145" s="26" t="str">
        <f t="shared" si="1"/>
        <v/>
      </c>
      <c r="B145" s="26"/>
      <c r="C145" s="81"/>
      <c r="D145" s="27"/>
      <c r="E145" s="82"/>
      <c r="F145" s="20"/>
      <c r="G145" s="20"/>
      <c r="H145" s="20"/>
      <c r="I145" s="23"/>
      <c r="J145" s="33"/>
      <c r="K145" s="26" t="str">
        <f t="shared" si="2"/>
        <v/>
      </c>
      <c r="L145" s="23"/>
      <c r="M145" s="45" t="str">
        <f t="shared" si="3"/>
        <v/>
      </c>
      <c r="N145" s="25"/>
      <c r="O145" s="45" t="str">
        <f t="shared" si="4"/>
        <v/>
      </c>
      <c r="P145" s="29" t="str">
        <f t="shared" si="5"/>
        <v/>
      </c>
      <c r="Q145" s="29">
        <f t="shared" si="6"/>
        <v>0</v>
      </c>
      <c r="R145" s="29">
        <f t="shared" si="7"/>
        <v>0</v>
      </c>
      <c r="S145" s="26" t="str">
        <f t="shared" si="8"/>
        <v/>
      </c>
      <c r="T145" s="23"/>
      <c r="U145" s="45" t="str">
        <f t="shared" si="9"/>
        <v/>
      </c>
      <c r="V145" s="25"/>
      <c r="W145" s="45" t="str">
        <f t="shared" si="10"/>
        <v/>
      </c>
      <c r="X145" s="47"/>
      <c r="Y145" s="26" t="str">
        <f t="shared" si="11"/>
        <v/>
      </c>
      <c r="Z145" s="23"/>
      <c r="AA145" s="45" t="str">
        <f t="shared" si="12"/>
        <v/>
      </c>
      <c r="AB145" s="25"/>
      <c r="AC145" s="45" t="str">
        <f t="shared" si="13"/>
        <v/>
      </c>
      <c r="AD145" s="47"/>
      <c r="AE145" s="26"/>
      <c r="AF145" s="23"/>
      <c r="AG145" s="45" t="str">
        <f t="shared" si="14"/>
        <v/>
      </c>
      <c r="AH145" s="25"/>
      <c r="AI145" s="45" t="str">
        <f t="shared" si="15"/>
        <v/>
      </c>
      <c r="AJ145" s="27">
        <v>0.0</v>
      </c>
      <c r="AK145" s="33"/>
      <c r="AL145" s="26" t="str">
        <f t="shared" si="16"/>
        <v/>
      </c>
      <c r="AM145" s="23"/>
      <c r="AN145" s="45" t="str">
        <f t="shared" si="17"/>
        <v/>
      </c>
      <c r="AO145" s="25"/>
      <c r="AP145" s="45" t="str">
        <f t="shared" si="18"/>
        <v/>
      </c>
      <c r="AQ145" s="29" t="str">
        <f t="shared" si="19"/>
        <v/>
      </c>
      <c r="AR145" s="29">
        <f t="shared" si="20"/>
        <v>0</v>
      </c>
      <c r="AS145" s="29">
        <f t="shared" si="21"/>
        <v>0</v>
      </c>
      <c r="AT145" s="26" t="str">
        <f t="shared" si="22"/>
        <v/>
      </c>
      <c r="AU145" s="23"/>
      <c r="AV145" s="45" t="str">
        <f t="shared" si="23"/>
        <v/>
      </c>
      <c r="AW145" s="25"/>
      <c r="AX145" s="45" t="str">
        <f t="shared" si="24"/>
        <v/>
      </c>
      <c r="AY145" s="47"/>
      <c r="AZ145" s="26" t="str">
        <f t="shared" si="25"/>
        <v/>
      </c>
      <c r="BA145" s="23"/>
      <c r="BB145" s="45" t="str">
        <f t="shared" si="26"/>
        <v/>
      </c>
      <c r="BC145" s="25"/>
      <c r="BD145" s="45" t="str">
        <f t="shared" si="27"/>
        <v/>
      </c>
      <c r="BE145" s="47"/>
      <c r="BF145" s="26"/>
      <c r="BG145" s="23"/>
      <c r="BH145" s="45" t="str">
        <f t="shared" si="28"/>
        <v/>
      </c>
      <c r="BI145" s="25"/>
      <c r="BJ145" s="45" t="str">
        <f t="shared" si="29"/>
        <v/>
      </c>
      <c r="BK145" s="27">
        <v>0.0</v>
      </c>
      <c r="BL145" s="23"/>
      <c r="BM145" s="45" t="str">
        <f t="shared" si="30"/>
        <v/>
      </c>
      <c r="BN145" s="25"/>
      <c r="BO145" s="45" t="str">
        <f t="shared" si="31"/>
        <v/>
      </c>
      <c r="BP145" s="27">
        <v>0.0</v>
      </c>
      <c r="BQ145" s="33"/>
      <c r="BR145" s="23"/>
      <c r="BS145" s="45" t="str">
        <f t="shared" si="32"/>
        <v/>
      </c>
      <c r="BT145" s="25"/>
      <c r="BU145" s="45" t="str">
        <f t="shared" si="33"/>
        <v/>
      </c>
      <c r="BV145" s="29" t="str">
        <f t="shared" si="34"/>
        <v/>
      </c>
      <c r="BW145" s="29">
        <f t="shared" si="35"/>
        <v>0</v>
      </c>
      <c r="BX145" s="29">
        <f t="shared" si="36"/>
        <v>0</v>
      </c>
      <c r="BY145" s="26" t="str">
        <f t="shared" si="37"/>
        <v/>
      </c>
      <c r="BZ145" s="23"/>
      <c r="CA145" s="45" t="str">
        <f t="shared" si="38"/>
        <v/>
      </c>
      <c r="CB145" s="25"/>
      <c r="CC145" s="45" t="str">
        <f t="shared" si="39"/>
        <v/>
      </c>
      <c r="CD145" s="47"/>
      <c r="CE145" s="26" t="str">
        <f t="shared" si="40"/>
        <v/>
      </c>
      <c r="CF145" s="23"/>
      <c r="CG145" s="45" t="str">
        <f t="shared" si="41"/>
        <v/>
      </c>
      <c r="CH145" s="25"/>
      <c r="CI145" s="45" t="str">
        <f t="shared" si="42"/>
        <v/>
      </c>
      <c r="CJ145" s="47"/>
      <c r="CK145" s="26"/>
      <c r="CL145" s="23"/>
      <c r="CM145" s="45" t="str">
        <f t="shared" si="43"/>
        <v/>
      </c>
      <c r="CN145" s="25"/>
      <c r="CO145" s="45" t="str">
        <f t="shared" si="44"/>
        <v/>
      </c>
      <c r="CP145" s="27">
        <v>0.0</v>
      </c>
    </row>
    <row r="146">
      <c r="A146" s="26" t="str">
        <f t="shared" si="1"/>
        <v/>
      </c>
      <c r="B146" s="26"/>
      <c r="C146" s="81"/>
      <c r="D146" s="27"/>
      <c r="E146" s="82"/>
      <c r="F146" s="20"/>
      <c r="G146" s="20"/>
      <c r="H146" s="20"/>
      <c r="I146" s="23"/>
      <c r="J146" s="33"/>
      <c r="K146" s="26" t="str">
        <f t="shared" si="2"/>
        <v/>
      </c>
      <c r="L146" s="23"/>
      <c r="M146" s="45" t="str">
        <f t="shared" si="3"/>
        <v/>
      </c>
      <c r="N146" s="25"/>
      <c r="O146" s="45" t="str">
        <f t="shared" si="4"/>
        <v/>
      </c>
      <c r="P146" s="29" t="str">
        <f t="shared" si="5"/>
        <v/>
      </c>
      <c r="Q146" s="29">
        <f t="shared" si="6"/>
        <v>0</v>
      </c>
      <c r="R146" s="29">
        <f t="shared" si="7"/>
        <v>0</v>
      </c>
      <c r="S146" s="26" t="str">
        <f t="shared" si="8"/>
        <v/>
      </c>
      <c r="T146" s="23"/>
      <c r="U146" s="45" t="str">
        <f t="shared" si="9"/>
        <v/>
      </c>
      <c r="V146" s="25"/>
      <c r="W146" s="45" t="str">
        <f t="shared" si="10"/>
        <v/>
      </c>
      <c r="X146" s="47"/>
      <c r="Y146" s="26" t="str">
        <f t="shared" si="11"/>
        <v/>
      </c>
      <c r="Z146" s="23"/>
      <c r="AA146" s="45" t="str">
        <f t="shared" si="12"/>
        <v/>
      </c>
      <c r="AB146" s="25"/>
      <c r="AC146" s="45" t="str">
        <f t="shared" si="13"/>
        <v/>
      </c>
      <c r="AD146" s="47"/>
      <c r="AE146" s="26"/>
      <c r="AF146" s="23"/>
      <c r="AG146" s="45" t="str">
        <f t="shared" si="14"/>
        <v/>
      </c>
      <c r="AH146" s="25"/>
      <c r="AI146" s="45" t="str">
        <f t="shared" si="15"/>
        <v/>
      </c>
      <c r="AJ146" s="27">
        <v>0.0</v>
      </c>
      <c r="AK146" s="33"/>
      <c r="AL146" s="26" t="str">
        <f t="shared" si="16"/>
        <v/>
      </c>
      <c r="AM146" s="23"/>
      <c r="AN146" s="45" t="str">
        <f t="shared" si="17"/>
        <v/>
      </c>
      <c r="AO146" s="25"/>
      <c r="AP146" s="45" t="str">
        <f t="shared" si="18"/>
        <v/>
      </c>
      <c r="AQ146" s="29" t="str">
        <f t="shared" si="19"/>
        <v/>
      </c>
      <c r="AR146" s="29">
        <f t="shared" si="20"/>
        <v>0</v>
      </c>
      <c r="AS146" s="29">
        <f t="shared" si="21"/>
        <v>0</v>
      </c>
      <c r="AT146" s="26" t="str">
        <f t="shared" si="22"/>
        <v/>
      </c>
      <c r="AU146" s="23"/>
      <c r="AV146" s="45" t="str">
        <f t="shared" si="23"/>
        <v/>
      </c>
      <c r="AW146" s="25"/>
      <c r="AX146" s="45" t="str">
        <f t="shared" si="24"/>
        <v/>
      </c>
      <c r="AY146" s="47"/>
      <c r="AZ146" s="26" t="str">
        <f t="shared" si="25"/>
        <v/>
      </c>
      <c r="BA146" s="23"/>
      <c r="BB146" s="45" t="str">
        <f t="shared" si="26"/>
        <v/>
      </c>
      <c r="BC146" s="25"/>
      <c r="BD146" s="45" t="str">
        <f t="shared" si="27"/>
        <v/>
      </c>
      <c r="BE146" s="47"/>
      <c r="BF146" s="26"/>
      <c r="BG146" s="23"/>
      <c r="BH146" s="45" t="str">
        <f t="shared" si="28"/>
        <v/>
      </c>
      <c r="BI146" s="25"/>
      <c r="BJ146" s="45" t="str">
        <f t="shared" si="29"/>
        <v/>
      </c>
      <c r="BK146" s="27">
        <v>0.0</v>
      </c>
      <c r="BL146" s="23"/>
      <c r="BM146" s="45" t="str">
        <f t="shared" si="30"/>
        <v/>
      </c>
      <c r="BN146" s="25"/>
      <c r="BO146" s="45" t="str">
        <f t="shared" si="31"/>
        <v/>
      </c>
      <c r="BP146" s="27">
        <v>0.0</v>
      </c>
      <c r="BQ146" s="33"/>
      <c r="BR146" s="23"/>
      <c r="BS146" s="45" t="str">
        <f t="shared" si="32"/>
        <v/>
      </c>
      <c r="BT146" s="25"/>
      <c r="BU146" s="45" t="str">
        <f t="shared" si="33"/>
        <v/>
      </c>
      <c r="BV146" s="29" t="str">
        <f t="shared" si="34"/>
        <v/>
      </c>
      <c r="BW146" s="29">
        <f t="shared" si="35"/>
        <v>0</v>
      </c>
      <c r="BX146" s="29">
        <f t="shared" si="36"/>
        <v>0</v>
      </c>
      <c r="BY146" s="26" t="str">
        <f t="shared" si="37"/>
        <v/>
      </c>
      <c r="BZ146" s="23"/>
      <c r="CA146" s="45" t="str">
        <f t="shared" si="38"/>
        <v/>
      </c>
      <c r="CB146" s="25"/>
      <c r="CC146" s="45" t="str">
        <f t="shared" si="39"/>
        <v/>
      </c>
      <c r="CD146" s="47"/>
      <c r="CE146" s="26" t="str">
        <f t="shared" si="40"/>
        <v/>
      </c>
      <c r="CF146" s="23"/>
      <c r="CG146" s="45" t="str">
        <f t="shared" si="41"/>
        <v/>
      </c>
      <c r="CH146" s="25"/>
      <c r="CI146" s="45" t="str">
        <f t="shared" si="42"/>
        <v/>
      </c>
      <c r="CJ146" s="47"/>
      <c r="CK146" s="26"/>
      <c r="CL146" s="23"/>
      <c r="CM146" s="45" t="str">
        <f t="shared" si="43"/>
        <v/>
      </c>
      <c r="CN146" s="25"/>
      <c r="CO146" s="45" t="str">
        <f t="shared" si="44"/>
        <v/>
      </c>
      <c r="CP146" s="27">
        <v>0.0</v>
      </c>
    </row>
    <row r="147">
      <c r="A147" s="26" t="str">
        <f t="shared" si="1"/>
        <v/>
      </c>
      <c r="B147" s="26"/>
      <c r="C147" s="81"/>
      <c r="D147" s="27"/>
      <c r="E147" s="82"/>
      <c r="F147" s="20"/>
      <c r="G147" s="20"/>
      <c r="H147" s="20"/>
      <c r="I147" s="23"/>
      <c r="J147" s="33"/>
      <c r="K147" s="26" t="str">
        <f t="shared" si="2"/>
        <v/>
      </c>
      <c r="L147" s="23"/>
      <c r="M147" s="45" t="str">
        <f t="shared" si="3"/>
        <v/>
      </c>
      <c r="N147" s="25"/>
      <c r="O147" s="45" t="str">
        <f t="shared" si="4"/>
        <v/>
      </c>
      <c r="P147" s="29" t="str">
        <f t="shared" si="5"/>
        <v/>
      </c>
      <c r="Q147" s="29">
        <f t="shared" si="6"/>
        <v>0</v>
      </c>
      <c r="R147" s="29">
        <f t="shared" si="7"/>
        <v>0</v>
      </c>
      <c r="S147" s="26" t="str">
        <f t="shared" si="8"/>
        <v/>
      </c>
      <c r="T147" s="23"/>
      <c r="U147" s="45" t="str">
        <f t="shared" si="9"/>
        <v/>
      </c>
      <c r="V147" s="25"/>
      <c r="W147" s="45" t="str">
        <f t="shared" si="10"/>
        <v/>
      </c>
      <c r="X147" s="47"/>
      <c r="Y147" s="26" t="str">
        <f t="shared" si="11"/>
        <v/>
      </c>
      <c r="Z147" s="23"/>
      <c r="AA147" s="45" t="str">
        <f t="shared" si="12"/>
        <v/>
      </c>
      <c r="AB147" s="25"/>
      <c r="AC147" s="45" t="str">
        <f t="shared" si="13"/>
        <v/>
      </c>
      <c r="AD147" s="47"/>
      <c r="AE147" s="26"/>
      <c r="AF147" s="23"/>
      <c r="AG147" s="45" t="str">
        <f t="shared" si="14"/>
        <v/>
      </c>
      <c r="AH147" s="25"/>
      <c r="AI147" s="45" t="str">
        <f t="shared" si="15"/>
        <v/>
      </c>
      <c r="AJ147" s="27">
        <v>0.0</v>
      </c>
      <c r="AK147" s="33"/>
      <c r="AL147" s="26" t="str">
        <f t="shared" si="16"/>
        <v/>
      </c>
      <c r="AM147" s="23"/>
      <c r="AN147" s="45" t="str">
        <f t="shared" si="17"/>
        <v/>
      </c>
      <c r="AO147" s="25"/>
      <c r="AP147" s="45" t="str">
        <f t="shared" si="18"/>
        <v/>
      </c>
      <c r="AQ147" s="29" t="str">
        <f t="shared" si="19"/>
        <v/>
      </c>
      <c r="AR147" s="29">
        <f t="shared" si="20"/>
        <v>0</v>
      </c>
      <c r="AS147" s="29">
        <f t="shared" si="21"/>
        <v>0</v>
      </c>
      <c r="AT147" s="26" t="str">
        <f t="shared" si="22"/>
        <v/>
      </c>
      <c r="AU147" s="23"/>
      <c r="AV147" s="45" t="str">
        <f t="shared" si="23"/>
        <v/>
      </c>
      <c r="AW147" s="25"/>
      <c r="AX147" s="45" t="str">
        <f t="shared" si="24"/>
        <v/>
      </c>
      <c r="AY147" s="47"/>
      <c r="AZ147" s="26" t="str">
        <f t="shared" si="25"/>
        <v/>
      </c>
      <c r="BA147" s="23"/>
      <c r="BB147" s="45" t="str">
        <f t="shared" si="26"/>
        <v/>
      </c>
      <c r="BC147" s="25"/>
      <c r="BD147" s="45" t="str">
        <f t="shared" si="27"/>
        <v/>
      </c>
      <c r="BE147" s="47"/>
      <c r="BF147" s="26"/>
      <c r="BG147" s="23"/>
      <c r="BH147" s="45" t="str">
        <f t="shared" si="28"/>
        <v/>
      </c>
      <c r="BI147" s="25"/>
      <c r="BJ147" s="45" t="str">
        <f t="shared" si="29"/>
        <v/>
      </c>
      <c r="BK147" s="27">
        <v>0.0</v>
      </c>
      <c r="BL147" s="23"/>
      <c r="BM147" s="45" t="str">
        <f t="shared" si="30"/>
        <v/>
      </c>
      <c r="BN147" s="25"/>
      <c r="BO147" s="45" t="str">
        <f t="shared" si="31"/>
        <v/>
      </c>
      <c r="BP147" s="27">
        <v>0.0</v>
      </c>
      <c r="BQ147" s="33"/>
      <c r="BR147" s="23"/>
      <c r="BS147" s="45" t="str">
        <f t="shared" si="32"/>
        <v/>
      </c>
      <c r="BT147" s="25"/>
      <c r="BU147" s="45" t="str">
        <f t="shared" si="33"/>
        <v/>
      </c>
      <c r="BV147" s="29" t="str">
        <f t="shared" si="34"/>
        <v/>
      </c>
      <c r="BW147" s="29">
        <f t="shared" si="35"/>
        <v>0</v>
      </c>
      <c r="BX147" s="29">
        <f t="shared" si="36"/>
        <v>0</v>
      </c>
      <c r="BY147" s="26" t="str">
        <f t="shared" si="37"/>
        <v/>
      </c>
      <c r="BZ147" s="23"/>
      <c r="CA147" s="45" t="str">
        <f t="shared" si="38"/>
        <v/>
      </c>
      <c r="CB147" s="25"/>
      <c r="CC147" s="45" t="str">
        <f t="shared" si="39"/>
        <v/>
      </c>
      <c r="CD147" s="47"/>
      <c r="CE147" s="26" t="str">
        <f t="shared" si="40"/>
        <v/>
      </c>
      <c r="CF147" s="23"/>
      <c r="CG147" s="45" t="str">
        <f t="shared" si="41"/>
        <v/>
      </c>
      <c r="CH147" s="25"/>
      <c r="CI147" s="45" t="str">
        <f t="shared" si="42"/>
        <v/>
      </c>
      <c r="CJ147" s="47"/>
      <c r="CK147" s="26"/>
      <c r="CL147" s="23"/>
      <c r="CM147" s="45" t="str">
        <f t="shared" si="43"/>
        <v/>
      </c>
      <c r="CN147" s="25"/>
      <c r="CO147" s="45" t="str">
        <f t="shared" si="44"/>
        <v/>
      </c>
      <c r="CP147" s="27">
        <v>0.0</v>
      </c>
    </row>
    <row r="148">
      <c r="A148" s="26" t="str">
        <f t="shared" si="1"/>
        <v/>
      </c>
      <c r="B148" s="26"/>
      <c r="C148" s="81"/>
      <c r="D148" s="27"/>
      <c r="E148" s="82"/>
      <c r="F148" s="20"/>
      <c r="G148" s="20"/>
      <c r="H148" s="20"/>
      <c r="I148" s="23"/>
      <c r="J148" s="33"/>
      <c r="K148" s="26" t="str">
        <f t="shared" si="2"/>
        <v/>
      </c>
      <c r="L148" s="23"/>
      <c r="M148" s="45" t="str">
        <f t="shared" si="3"/>
        <v/>
      </c>
      <c r="N148" s="25"/>
      <c r="O148" s="45" t="str">
        <f t="shared" si="4"/>
        <v/>
      </c>
      <c r="P148" s="29" t="str">
        <f t="shared" si="5"/>
        <v/>
      </c>
      <c r="Q148" s="29">
        <f t="shared" si="6"/>
        <v>0</v>
      </c>
      <c r="R148" s="29">
        <f t="shared" si="7"/>
        <v>0</v>
      </c>
      <c r="S148" s="26" t="str">
        <f t="shared" si="8"/>
        <v/>
      </c>
      <c r="T148" s="23"/>
      <c r="U148" s="45" t="str">
        <f t="shared" si="9"/>
        <v/>
      </c>
      <c r="V148" s="25"/>
      <c r="W148" s="45" t="str">
        <f t="shared" si="10"/>
        <v/>
      </c>
      <c r="X148" s="47"/>
      <c r="Y148" s="26" t="str">
        <f t="shared" si="11"/>
        <v/>
      </c>
      <c r="Z148" s="23"/>
      <c r="AA148" s="45" t="str">
        <f t="shared" si="12"/>
        <v/>
      </c>
      <c r="AB148" s="25"/>
      <c r="AC148" s="45" t="str">
        <f t="shared" si="13"/>
        <v/>
      </c>
      <c r="AD148" s="47"/>
      <c r="AE148" s="26"/>
      <c r="AF148" s="23"/>
      <c r="AG148" s="45" t="str">
        <f t="shared" si="14"/>
        <v/>
      </c>
      <c r="AH148" s="25"/>
      <c r="AI148" s="45" t="str">
        <f t="shared" si="15"/>
        <v/>
      </c>
      <c r="AJ148" s="27">
        <v>0.0</v>
      </c>
      <c r="AK148" s="33"/>
      <c r="AL148" s="26" t="str">
        <f t="shared" si="16"/>
        <v/>
      </c>
      <c r="AM148" s="23"/>
      <c r="AN148" s="45" t="str">
        <f t="shared" si="17"/>
        <v/>
      </c>
      <c r="AO148" s="25"/>
      <c r="AP148" s="45" t="str">
        <f t="shared" si="18"/>
        <v/>
      </c>
      <c r="AQ148" s="29" t="str">
        <f t="shared" si="19"/>
        <v/>
      </c>
      <c r="AR148" s="29">
        <f t="shared" si="20"/>
        <v>0</v>
      </c>
      <c r="AS148" s="29">
        <f t="shared" si="21"/>
        <v>0</v>
      </c>
      <c r="AT148" s="26" t="str">
        <f t="shared" si="22"/>
        <v/>
      </c>
      <c r="AU148" s="23"/>
      <c r="AV148" s="45" t="str">
        <f t="shared" si="23"/>
        <v/>
      </c>
      <c r="AW148" s="25"/>
      <c r="AX148" s="45" t="str">
        <f t="shared" si="24"/>
        <v/>
      </c>
      <c r="AY148" s="47"/>
      <c r="AZ148" s="26" t="str">
        <f t="shared" si="25"/>
        <v/>
      </c>
      <c r="BA148" s="23"/>
      <c r="BB148" s="45" t="str">
        <f t="shared" si="26"/>
        <v/>
      </c>
      <c r="BC148" s="25"/>
      <c r="BD148" s="45" t="str">
        <f t="shared" si="27"/>
        <v/>
      </c>
      <c r="BE148" s="47"/>
      <c r="BF148" s="26"/>
      <c r="BG148" s="23"/>
      <c r="BH148" s="45" t="str">
        <f t="shared" si="28"/>
        <v/>
      </c>
      <c r="BI148" s="25"/>
      <c r="BJ148" s="45" t="str">
        <f t="shared" si="29"/>
        <v/>
      </c>
      <c r="BK148" s="27">
        <v>0.0</v>
      </c>
      <c r="BL148" s="23"/>
      <c r="BM148" s="45" t="str">
        <f t="shared" si="30"/>
        <v/>
      </c>
      <c r="BN148" s="25"/>
      <c r="BO148" s="45" t="str">
        <f t="shared" si="31"/>
        <v/>
      </c>
      <c r="BP148" s="27">
        <v>0.0</v>
      </c>
      <c r="BQ148" s="33"/>
      <c r="BR148" s="23"/>
      <c r="BS148" s="45" t="str">
        <f t="shared" si="32"/>
        <v/>
      </c>
      <c r="BT148" s="25"/>
      <c r="BU148" s="45" t="str">
        <f t="shared" si="33"/>
        <v/>
      </c>
      <c r="BV148" s="29" t="str">
        <f t="shared" si="34"/>
        <v/>
      </c>
      <c r="BW148" s="29">
        <f t="shared" si="35"/>
        <v>0</v>
      </c>
      <c r="BX148" s="29">
        <f t="shared" si="36"/>
        <v>0</v>
      </c>
      <c r="BY148" s="26" t="str">
        <f t="shared" si="37"/>
        <v/>
      </c>
      <c r="BZ148" s="23"/>
      <c r="CA148" s="45" t="str">
        <f t="shared" si="38"/>
        <v/>
      </c>
      <c r="CB148" s="25"/>
      <c r="CC148" s="45" t="str">
        <f t="shared" si="39"/>
        <v/>
      </c>
      <c r="CD148" s="47"/>
      <c r="CE148" s="26" t="str">
        <f t="shared" si="40"/>
        <v/>
      </c>
      <c r="CF148" s="23"/>
      <c r="CG148" s="45" t="str">
        <f t="shared" si="41"/>
        <v/>
      </c>
      <c r="CH148" s="25"/>
      <c r="CI148" s="45" t="str">
        <f t="shared" si="42"/>
        <v/>
      </c>
      <c r="CJ148" s="47"/>
      <c r="CK148" s="26"/>
      <c r="CL148" s="23"/>
      <c r="CM148" s="45" t="str">
        <f t="shared" si="43"/>
        <v/>
      </c>
      <c r="CN148" s="25"/>
      <c r="CO148" s="45" t="str">
        <f t="shared" si="44"/>
        <v/>
      </c>
      <c r="CP148" s="27">
        <v>0.0</v>
      </c>
    </row>
    <row r="149">
      <c r="A149" s="26" t="str">
        <f t="shared" si="1"/>
        <v/>
      </c>
      <c r="B149" s="26"/>
      <c r="C149" s="81"/>
      <c r="D149" s="27"/>
      <c r="E149" s="82"/>
      <c r="F149" s="20"/>
      <c r="G149" s="20"/>
      <c r="H149" s="20"/>
      <c r="I149" s="23"/>
      <c r="J149" s="33"/>
      <c r="K149" s="26" t="str">
        <f t="shared" si="2"/>
        <v/>
      </c>
      <c r="L149" s="23"/>
      <c r="M149" s="45" t="str">
        <f t="shared" si="3"/>
        <v/>
      </c>
      <c r="N149" s="25"/>
      <c r="O149" s="45" t="str">
        <f t="shared" si="4"/>
        <v/>
      </c>
      <c r="P149" s="29" t="str">
        <f t="shared" si="5"/>
        <v/>
      </c>
      <c r="Q149" s="29">
        <f t="shared" si="6"/>
        <v>0</v>
      </c>
      <c r="R149" s="29">
        <f t="shared" si="7"/>
        <v>0</v>
      </c>
      <c r="S149" s="26" t="str">
        <f t="shared" si="8"/>
        <v/>
      </c>
      <c r="T149" s="23"/>
      <c r="U149" s="45" t="str">
        <f t="shared" si="9"/>
        <v/>
      </c>
      <c r="V149" s="25"/>
      <c r="W149" s="45" t="str">
        <f t="shared" si="10"/>
        <v/>
      </c>
      <c r="X149" s="47"/>
      <c r="Y149" s="26" t="str">
        <f t="shared" si="11"/>
        <v/>
      </c>
      <c r="Z149" s="23"/>
      <c r="AA149" s="45" t="str">
        <f t="shared" si="12"/>
        <v/>
      </c>
      <c r="AB149" s="25"/>
      <c r="AC149" s="45" t="str">
        <f t="shared" si="13"/>
        <v/>
      </c>
      <c r="AD149" s="47"/>
      <c r="AE149" s="26"/>
      <c r="AF149" s="23"/>
      <c r="AG149" s="45" t="str">
        <f t="shared" si="14"/>
        <v/>
      </c>
      <c r="AH149" s="25"/>
      <c r="AI149" s="45" t="str">
        <f t="shared" si="15"/>
        <v/>
      </c>
      <c r="AJ149" s="27">
        <v>0.0</v>
      </c>
      <c r="AK149" s="33"/>
      <c r="AL149" s="26" t="str">
        <f t="shared" si="16"/>
        <v/>
      </c>
      <c r="AM149" s="23"/>
      <c r="AN149" s="45" t="str">
        <f t="shared" si="17"/>
        <v/>
      </c>
      <c r="AO149" s="25"/>
      <c r="AP149" s="45" t="str">
        <f t="shared" si="18"/>
        <v/>
      </c>
      <c r="AQ149" s="29" t="str">
        <f t="shared" si="19"/>
        <v/>
      </c>
      <c r="AR149" s="29">
        <f t="shared" si="20"/>
        <v>0</v>
      </c>
      <c r="AS149" s="29">
        <f t="shared" si="21"/>
        <v>0</v>
      </c>
      <c r="AT149" s="26" t="str">
        <f t="shared" si="22"/>
        <v/>
      </c>
      <c r="AU149" s="23"/>
      <c r="AV149" s="45" t="str">
        <f t="shared" si="23"/>
        <v/>
      </c>
      <c r="AW149" s="25"/>
      <c r="AX149" s="45" t="str">
        <f t="shared" si="24"/>
        <v/>
      </c>
      <c r="AY149" s="47"/>
      <c r="AZ149" s="26" t="str">
        <f t="shared" si="25"/>
        <v/>
      </c>
      <c r="BA149" s="23"/>
      <c r="BB149" s="45" t="str">
        <f t="shared" si="26"/>
        <v/>
      </c>
      <c r="BC149" s="25"/>
      <c r="BD149" s="45" t="str">
        <f t="shared" si="27"/>
        <v/>
      </c>
      <c r="BE149" s="47"/>
      <c r="BF149" s="26"/>
      <c r="BG149" s="23"/>
      <c r="BH149" s="45" t="str">
        <f t="shared" si="28"/>
        <v/>
      </c>
      <c r="BI149" s="25"/>
      <c r="BJ149" s="45" t="str">
        <f t="shared" si="29"/>
        <v/>
      </c>
      <c r="BK149" s="27">
        <v>0.0</v>
      </c>
      <c r="BL149" s="23"/>
      <c r="BM149" s="45" t="str">
        <f t="shared" si="30"/>
        <v/>
      </c>
      <c r="BN149" s="25"/>
      <c r="BO149" s="45" t="str">
        <f t="shared" si="31"/>
        <v/>
      </c>
      <c r="BP149" s="27">
        <v>0.0</v>
      </c>
      <c r="BQ149" s="33"/>
      <c r="BR149" s="23"/>
      <c r="BS149" s="45" t="str">
        <f t="shared" si="32"/>
        <v/>
      </c>
      <c r="BT149" s="25"/>
      <c r="BU149" s="45" t="str">
        <f t="shared" si="33"/>
        <v/>
      </c>
      <c r="BV149" s="29" t="str">
        <f t="shared" si="34"/>
        <v/>
      </c>
      <c r="BW149" s="29">
        <f t="shared" si="35"/>
        <v>0</v>
      </c>
      <c r="BX149" s="29">
        <f t="shared" si="36"/>
        <v>0</v>
      </c>
      <c r="BY149" s="26" t="str">
        <f t="shared" si="37"/>
        <v/>
      </c>
      <c r="BZ149" s="23"/>
      <c r="CA149" s="45" t="str">
        <f t="shared" si="38"/>
        <v/>
      </c>
      <c r="CB149" s="25"/>
      <c r="CC149" s="45" t="str">
        <f t="shared" si="39"/>
        <v/>
      </c>
      <c r="CD149" s="47"/>
      <c r="CE149" s="26" t="str">
        <f t="shared" si="40"/>
        <v/>
      </c>
      <c r="CF149" s="23"/>
      <c r="CG149" s="45" t="str">
        <f t="shared" si="41"/>
        <v/>
      </c>
      <c r="CH149" s="25"/>
      <c r="CI149" s="45" t="str">
        <f t="shared" si="42"/>
        <v/>
      </c>
      <c r="CJ149" s="47"/>
      <c r="CK149" s="26"/>
      <c r="CL149" s="23"/>
      <c r="CM149" s="45" t="str">
        <f t="shared" si="43"/>
        <v/>
      </c>
      <c r="CN149" s="25"/>
      <c r="CO149" s="45" t="str">
        <f t="shared" si="44"/>
        <v/>
      </c>
      <c r="CP149" s="27">
        <v>0.0</v>
      </c>
    </row>
    <row r="150">
      <c r="A150" s="26" t="str">
        <f t="shared" si="1"/>
        <v/>
      </c>
      <c r="B150" s="26"/>
      <c r="C150" s="81"/>
      <c r="D150" s="27"/>
      <c r="E150" s="82"/>
      <c r="F150" s="20"/>
      <c r="G150" s="20"/>
      <c r="H150" s="20"/>
      <c r="I150" s="23"/>
      <c r="J150" s="33"/>
      <c r="K150" s="26" t="str">
        <f t="shared" si="2"/>
        <v/>
      </c>
      <c r="L150" s="23"/>
      <c r="M150" s="45" t="str">
        <f t="shared" si="3"/>
        <v/>
      </c>
      <c r="N150" s="25"/>
      <c r="O150" s="45" t="str">
        <f t="shared" si="4"/>
        <v/>
      </c>
      <c r="P150" s="29" t="str">
        <f t="shared" si="5"/>
        <v/>
      </c>
      <c r="Q150" s="29">
        <f t="shared" si="6"/>
        <v>0</v>
      </c>
      <c r="R150" s="29">
        <f t="shared" si="7"/>
        <v>0</v>
      </c>
      <c r="S150" s="26" t="str">
        <f t="shared" si="8"/>
        <v/>
      </c>
      <c r="T150" s="23"/>
      <c r="U150" s="45" t="str">
        <f t="shared" si="9"/>
        <v/>
      </c>
      <c r="V150" s="25"/>
      <c r="W150" s="45" t="str">
        <f t="shared" si="10"/>
        <v/>
      </c>
      <c r="X150" s="47"/>
      <c r="Y150" s="26" t="str">
        <f t="shared" si="11"/>
        <v/>
      </c>
      <c r="Z150" s="23"/>
      <c r="AA150" s="45" t="str">
        <f t="shared" si="12"/>
        <v/>
      </c>
      <c r="AB150" s="25"/>
      <c r="AC150" s="45" t="str">
        <f t="shared" si="13"/>
        <v/>
      </c>
      <c r="AD150" s="47"/>
      <c r="AE150" s="26"/>
      <c r="AF150" s="23"/>
      <c r="AG150" s="45" t="str">
        <f t="shared" si="14"/>
        <v/>
      </c>
      <c r="AH150" s="25"/>
      <c r="AI150" s="45" t="str">
        <f t="shared" si="15"/>
        <v/>
      </c>
      <c r="AJ150" s="27">
        <v>0.0</v>
      </c>
      <c r="AK150" s="33"/>
      <c r="AL150" s="26" t="str">
        <f t="shared" si="16"/>
        <v/>
      </c>
      <c r="AM150" s="23"/>
      <c r="AN150" s="45" t="str">
        <f t="shared" si="17"/>
        <v/>
      </c>
      <c r="AO150" s="25"/>
      <c r="AP150" s="45" t="str">
        <f t="shared" si="18"/>
        <v/>
      </c>
      <c r="AQ150" s="29" t="str">
        <f t="shared" si="19"/>
        <v/>
      </c>
      <c r="AR150" s="29">
        <f t="shared" si="20"/>
        <v>0</v>
      </c>
      <c r="AS150" s="29">
        <f t="shared" si="21"/>
        <v>0</v>
      </c>
      <c r="AT150" s="26" t="str">
        <f t="shared" si="22"/>
        <v/>
      </c>
      <c r="AU150" s="23"/>
      <c r="AV150" s="45" t="str">
        <f t="shared" si="23"/>
        <v/>
      </c>
      <c r="AW150" s="25"/>
      <c r="AX150" s="45" t="str">
        <f t="shared" si="24"/>
        <v/>
      </c>
      <c r="AY150" s="47"/>
      <c r="AZ150" s="26" t="str">
        <f t="shared" si="25"/>
        <v/>
      </c>
      <c r="BA150" s="23"/>
      <c r="BB150" s="45" t="str">
        <f t="shared" si="26"/>
        <v/>
      </c>
      <c r="BC150" s="25"/>
      <c r="BD150" s="45" t="str">
        <f t="shared" si="27"/>
        <v/>
      </c>
      <c r="BE150" s="47"/>
      <c r="BF150" s="26"/>
      <c r="BG150" s="23"/>
      <c r="BH150" s="45" t="str">
        <f t="shared" si="28"/>
        <v/>
      </c>
      <c r="BI150" s="25"/>
      <c r="BJ150" s="45" t="str">
        <f t="shared" si="29"/>
        <v/>
      </c>
      <c r="BK150" s="27">
        <v>0.0</v>
      </c>
      <c r="BL150" s="23"/>
      <c r="BM150" s="45" t="str">
        <f t="shared" si="30"/>
        <v/>
      </c>
      <c r="BN150" s="25"/>
      <c r="BO150" s="45" t="str">
        <f t="shared" si="31"/>
        <v/>
      </c>
      <c r="BP150" s="27">
        <v>0.0</v>
      </c>
      <c r="BQ150" s="33"/>
      <c r="BR150" s="23"/>
      <c r="BS150" s="45" t="str">
        <f t="shared" si="32"/>
        <v/>
      </c>
      <c r="BT150" s="25"/>
      <c r="BU150" s="45" t="str">
        <f t="shared" si="33"/>
        <v/>
      </c>
      <c r="BV150" s="29" t="str">
        <f t="shared" si="34"/>
        <v/>
      </c>
      <c r="BW150" s="29">
        <f t="shared" si="35"/>
        <v>0</v>
      </c>
      <c r="BX150" s="29">
        <f t="shared" si="36"/>
        <v>0</v>
      </c>
      <c r="BY150" s="26" t="str">
        <f t="shared" si="37"/>
        <v/>
      </c>
      <c r="BZ150" s="23"/>
      <c r="CA150" s="45" t="str">
        <f t="shared" si="38"/>
        <v/>
      </c>
      <c r="CB150" s="25"/>
      <c r="CC150" s="45" t="str">
        <f t="shared" si="39"/>
        <v/>
      </c>
      <c r="CD150" s="47"/>
      <c r="CE150" s="26" t="str">
        <f t="shared" si="40"/>
        <v/>
      </c>
      <c r="CF150" s="23"/>
      <c r="CG150" s="45" t="str">
        <f t="shared" si="41"/>
        <v/>
      </c>
      <c r="CH150" s="25"/>
      <c r="CI150" s="45" t="str">
        <f t="shared" si="42"/>
        <v/>
      </c>
      <c r="CJ150" s="47"/>
      <c r="CK150" s="26"/>
      <c r="CL150" s="23"/>
      <c r="CM150" s="45" t="str">
        <f t="shared" si="43"/>
        <v/>
      </c>
      <c r="CN150" s="25"/>
      <c r="CO150" s="45" t="str">
        <f t="shared" si="44"/>
        <v/>
      </c>
      <c r="CP150" s="27">
        <v>0.0</v>
      </c>
    </row>
    <row r="151">
      <c r="A151" s="26" t="str">
        <f t="shared" si="1"/>
        <v/>
      </c>
      <c r="B151" s="26"/>
      <c r="C151" s="81"/>
      <c r="D151" s="27"/>
      <c r="E151" s="82"/>
      <c r="F151" s="20"/>
      <c r="G151" s="20"/>
      <c r="H151" s="20"/>
      <c r="I151" s="23"/>
      <c r="J151" s="33"/>
      <c r="K151" s="26" t="str">
        <f t="shared" si="2"/>
        <v/>
      </c>
      <c r="L151" s="23"/>
      <c r="M151" s="45" t="str">
        <f t="shared" si="3"/>
        <v/>
      </c>
      <c r="N151" s="25"/>
      <c r="O151" s="45" t="str">
        <f t="shared" si="4"/>
        <v/>
      </c>
      <c r="P151" s="29" t="str">
        <f t="shared" si="5"/>
        <v/>
      </c>
      <c r="Q151" s="29">
        <f t="shared" si="6"/>
        <v>0</v>
      </c>
      <c r="R151" s="29">
        <f t="shared" si="7"/>
        <v>0</v>
      </c>
      <c r="S151" s="26" t="str">
        <f t="shared" si="8"/>
        <v/>
      </c>
      <c r="T151" s="23"/>
      <c r="U151" s="45" t="str">
        <f t="shared" si="9"/>
        <v/>
      </c>
      <c r="V151" s="25"/>
      <c r="W151" s="45" t="str">
        <f t="shared" si="10"/>
        <v/>
      </c>
      <c r="X151" s="47"/>
      <c r="Y151" s="26" t="str">
        <f t="shared" si="11"/>
        <v/>
      </c>
      <c r="Z151" s="23"/>
      <c r="AA151" s="45" t="str">
        <f t="shared" si="12"/>
        <v/>
      </c>
      <c r="AB151" s="25"/>
      <c r="AC151" s="45" t="str">
        <f t="shared" si="13"/>
        <v/>
      </c>
      <c r="AD151" s="47"/>
      <c r="AE151" s="26"/>
      <c r="AF151" s="23"/>
      <c r="AG151" s="45" t="str">
        <f t="shared" si="14"/>
        <v/>
      </c>
      <c r="AH151" s="25"/>
      <c r="AI151" s="45" t="str">
        <f t="shared" si="15"/>
        <v/>
      </c>
      <c r="AJ151" s="27">
        <v>0.0</v>
      </c>
      <c r="AK151" s="33"/>
      <c r="AL151" s="26" t="str">
        <f t="shared" si="16"/>
        <v/>
      </c>
      <c r="AM151" s="23"/>
      <c r="AN151" s="45" t="str">
        <f t="shared" si="17"/>
        <v/>
      </c>
      <c r="AO151" s="25"/>
      <c r="AP151" s="45" t="str">
        <f t="shared" si="18"/>
        <v/>
      </c>
      <c r="AQ151" s="29" t="str">
        <f t="shared" si="19"/>
        <v/>
      </c>
      <c r="AR151" s="29">
        <f t="shared" si="20"/>
        <v>0</v>
      </c>
      <c r="AS151" s="29">
        <f t="shared" si="21"/>
        <v>0</v>
      </c>
      <c r="AT151" s="26" t="str">
        <f t="shared" si="22"/>
        <v/>
      </c>
      <c r="AU151" s="23"/>
      <c r="AV151" s="45" t="str">
        <f t="shared" si="23"/>
        <v/>
      </c>
      <c r="AW151" s="25"/>
      <c r="AX151" s="45" t="str">
        <f t="shared" si="24"/>
        <v/>
      </c>
      <c r="AY151" s="47"/>
      <c r="AZ151" s="26" t="str">
        <f t="shared" si="25"/>
        <v/>
      </c>
      <c r="BA151" s="23"/>
      <c r="BB151" s="45" t="str">
        <f t="shared" si="26"/>
        <v/>
      </c>
      <c r="BC151" s="25"/>
      <c r="BD151" s="45" t="str">
        <f t="shared" si="27"/>
        <v/>
      </c>
      <c r="BE151" s="47"/>
      <c r="BF151" s="26"/>
      <c r="BG151" s="23"/>
      <c r="BH151" s="45" t="str">
        <f t="shared" si="28"/>
        <v/>
      </c>
      <c r="BI151" s="25"/>
      <c r="BJ151" s="45" t="str">
        <f t="shared" si="29"/>
        <v/>
      </c>
      <c r="BK151" s="27">
        <v>0.0</v>
      </c>
      <c r="BL151" s="23"/>
      <c r="BM151" s="45" t="str">
        <f t="shared" si="30"/>
        <v/>
      </c>
      <c r="BN151" s="25"/>
      <c r="BO151" s="45" t="str">
        <f t="shared" si="31"/>
        <v/>
      </c>
      <c r="BP151" s="27">
        <v>0.0</v>
      </c>
      <c r="BQ151" s="33"/>
      <c r="BR151" s="23"/>
      <c r="BS151" s="45" t="str">
        <f t="shared" si="32"/>
        <v/>
      </c>
      <c r="BT151" s="25"/>
      <c r="BU151" s="45" t="str">
        <f t="shared" si="33"/>
        <v/>
      </c>
      <c r="BV151" s="29" t="str">
        <f t="shared" si="34"/>
        <v/>
      </c>
      <c r="BW151" s="29">
        <f t="shared" si="35"/>
        <v>0</v>
      </c>
      <c r="BX151" s="29">
        <f t="shared" si="36"/>
        <v>0</v>
      </c>
      <c r="BY151" s="26" t="str">
        <f t="shared" si="37"/>
        <v/>
      </c>
      <c r="BZ151" s="23"/>
      <c r="CA151" s="45" t="str">
        <f t="shared" si="38"/>
        <v/>
      </c>
      <c r="CB151" s="25"/>
      <c r="CC151" s="45" t="str">
        <f t="shared" si="39"/>
        <v/>
      </c>
      <c r="CD151" s="47"/>
      <c r="CE151" s="26" t="str">
        <f t="shared" si="40"/>
        <v/>
      </c>
      <c r="CF151" s="23"/>
      <c r="CG151" s="45" t="str">
        <f t="shared" si="41"/>
        <v/>
      </c>
      <c r="CH151" s="25"/>
      <c r="CI151" s="45" t="str">
        <f t="shared" si="42"/>
        <v/>
      </c>
      <c r="CJ151" s="47"/>
      <c r="CK151" s="26"/>
      <c r="CL151" s="23"/>
      <c r="CM151" s="45" t="str">
        <f t="shared" si="43"/>
        <v/>
      </c>
      <c r="CN151" s="25"/>
      <c r="CO151" s="45" t="str">
        <f t="shared" si="44"/>
        <v/>
      </c>
      <c r="CP151" s="27">
        <v>0.0</v>
      </c>
    </row>
    <row r="152">
      <c r="A152" s="26" t="str">
        <f t="shared" si="1"/>
        <v/>
      </c>
      <c r="B152" s="26"/>
      <c r="C152" s="81"/>
      <c r="D152" s="27"/>
      <c r="E152" s="82"/>
      <c r="F152" s="20"/>
      <c r="G152" s="20"/>
      <c r="H152" s="20"/>
      <c r="I152" s="23"/>
      <c r="J152" s="33"/>
      <c r="K152" s="26" t="str">
        <f t="shared" si="2"/>
        <v/>
      </c>
      <c r="L152" s="23"/>
      <c r="M152" s="45" t="str">
        <f t="shared" si="3"/>
        <v/>
      </c>
      <c r="N152" s="25"/>
      <c r="O152" s="45" t="str">
        <f t="shared" si="4"/>
        <v/>
      </c>
      <c r="P152" s="29" t="str">
        <f t="shared" si="5"/>
        <v/>
      </c>
      <c r="Q152" s="29">
        <f t="shared" si="6"/>
        <v>0</v>
      </c>
      <c r="R152" s="29">
        <f t="shared" si="7"/>
        <v>0</v>
      </c>
      <c r="S152" s="26" t="str">
        <f t="shared" si="8"/>
        <v/>
      </c>
      <c r="T152" s="23"/>
      <c r="U152" s="45" t="str">
        <f t="shared" si="9"/>
        <v/>
      </c>
      <c r="V152" s="25"/>
      <c r="W152" s="45" t="str">
        <f t="shared" si="10"/>
        <v/>
      </c>
      <c r="X152" s="47"/>
      <c r="Y152" s="26" t="str">
        <f t="shared" si="11"/>
        <v/>
      </c>
      <c r="Z152" s="23"/>
      <c r="AA152" s="45" t="str">
        <f t="shared" si="12"/>
        <v/>
      </c>
      <c r="AB152" s="25"/>
      <c r="AC152" s="45" t="str">
        <f t="shared" si="13"/>
        <v/>
      </c>
      <c r="AD152" s="47"/>
      <c r="AE152" s="26"/>
      <c r="AF152" s="23"/>
      <c r="AG152" s="45" t="str">
        <f t="shared" si="14"/>
        <v/>
      </c>
      <c r="AH152" s="25"/>
      <c r="AI152" s="45" t="str">
        <f t="shared" si="15"/>
        <v/>
      </c>
      <c r="AJ152" s="27">
        <v>0.0</v>
      </c>
      <c r="AK152" s="33"/>
      <c r="AL152" s="26" t="str">
        <f t="shared" si="16"/>
        <v/>
      </c>
      <c r="AM152" s="23"/>
      <c r="AN152" s="45" t="str">
        <f t="shared" si="17"/>
        <v/>
      </c>
      <c r="AO152" s="25"/>
      <c r="AP152" s="45" t="str">
        <f t="shared" si="18"/>
        <v/>
      </c>
      <c r="AQ152" s="29" t="str">
        <f t="shared" si="19"/>
        <v/>
      </c>
      <c r="AR152" s="29">
        <f t="shared" si="20"/>
        <v>0</v>
      </c>
      <c r="AS152" s="29">
        <f t="shared" si="21"/>
        <v>0</v>
      </c>
      <c r="AT152" s="26" t="str">
        <f t="shared" si="22"/>
        <v/>
      </c>
      <c r="AU152" s="23"/>
      <c r="AV152" s="45" t="str">
        <f t="shared" si="23"/>
        <v/>
      </c>
      <c r="AW152" s="25"/>
      <c r="AX152" s="45" t="str">
        <f t="shared" si="24"/>
        <v/>
      </c>
      <c r="AY152" s="47"/>
      <c r="AZ152" s="26" t="str">
        <f t="shared" si="25"/>
        <v/>
      </c>
      <c r="BA152" s="23"/>
      <c r="BB152" s="45" t="str">
        <f t="shared" si="26"/>
        <v/>
      </c>
      <c r="BC152" s="25"/>
      <c r="BD152" s="45" t="str">
        <f t="shared" si="27"/>
        <v/>
      </c>
      <c r="BE152" s="47"/>
      <c r="BF152" s="26"/>
      <c r="BG152" s="23"/>
      <c r="BH152" s="45" t="str">
        <f t="shared" si="28"/>
        <v/>
      </c>
      <c r="BI152" s="25"/>
      <c r="BJ152" s="45" t="str">
        <f t="shared" si="29"/>
        <v/>
      </c>
      <c r="BK152" s="27">
        <v>0.0</v>
      </c>
      <c r="BL152" s="23"/>
      <c r="BM152" s="45" t="str">
        <f t="shared" si="30"/>
        <v/>
      </c>
      <c r="BN152" s="25"/>
      <c r="BO152" s="45" t="str">
        <f t="shared" si="31"/>
        <v/>
      </c>
      <c r="BP152" s="27">
        <v>0.0</v>
      </c>
      <c r="BQ152" s="33"/>
      <c r="BR152" s="23"/>
      <c r="BS152" s="45" t="str">
        <f t="shared" si="32"/>
        <v/>
      </c>
      <c r="BT152" s="25"/>
      <c r="BU152" s="45" t="str">
        <f t="shared" si="33"/>
        <v/>
      </c>
      <c r="BV152" s="29" t="str">
        <f t="shared" si="34"/>
        <v/>
      </c>
      <c r="BW152" s="29">
        <f t="shared" si="35"/>
        <v>0</v>
      </c>
      <c r="BX152" s="29">
        <f t="shared" si="36"/>
        <v>0</v>
      </c>
      <c r="BY152" s="26" t="str">
        <f t="shared" si="37"/>
        <v/>
      </c>
      <c r="BZ152" s="23"/>
      <c r="CA152" s="45" t="str">
        <f t="shared" si="38"/>
        <v/>
      </c>
      <c r="CB152" s="25"/>
      <c r="CC152" s="45" t="str">
        <f t="shared" si="39"/>
        <v/>
      </c>
      <c r="CD152" s="47"/>
      <c r="CE152" s="26" t="str">
        <f t="shared" si="40"/>
        <v/>
      </c>
      <c r="CF152" s="23"/>
      <c r="CG152" s="45" t="str">
        <f t="shared" si="41"/>
        <v/>
      </c>
      <c r="CH152" s="25"/>
      <c r="CI152" s="45" t="str">
        <f t="shared" si="42"/>
        <v/>
      </c>
      <c r="CJ152" s="47"/>
      <c r="CK152" s="26"/>
      <c r="CL152" s="23"/>
      <c r="CM152" s="45" t="str">
        <f t="shared" si="43"/>
        <v/>
      </c>
      <c r="CN152" s="25"/>
      <c r="CO152" s="45" t="str">
        <f t="shared" si="44"/>
        <v/>
      </c>
      <c r="CP152" s="27">
        <v>0.0</v>
      </c>
    </row>
    <row r="153">
      <c r="A153" s="26" t="str">
        <f t="shared" si="1"/>
        <v/>
      </c>
      <c r="B153" s="26"/>
      <c r="C153" s="81"/>
      <c r="D153" s="27"/>
      <c r="E153" s="82"/>
      <c r="F153" s="20"/>
      <c r="G153" s="20"/>
      <c r="H153" s="20"/>
      <c r="I153" s="23"/>
      <c r="J153" s="33"/>
      <c r="K153" s="26" t="str">
        <f t="shared" si="2"/>
        <v/>
      </c>
      <c r="L153" s="23"/>
      <c r="M153" s="45" t="str">
        <f t="shared" si="3"/>
        <v/>
      </c>
      <c r="N153" s="25"/>
      <c r="O153" s="45" t="str">
        <f t="shared" si="4"/>
        <v/>
      </c>
      <c r="P153" s="29" t="str">
        <f t="shared" si="5"/>
        <v/>
      </c>
      <c r="Q153" s="29">
        <f t="shared" si="6"/>
        <v>0</v>
      </c>
      <c r="R153" s="29">
        <f t="shared" si="7"/>
        <v>0</v>
      </c>
      <c r="S153" s="26" t="str">
        <f t="shared" si="8"/>
        <v/>
      </c>
      <c r="T153" s="23"/>
      <c r="U153" s="45" t="str">
        <f t="shared" si="9"/>
        <v/>
      </c>
      <c r="V153" s="25"/>
      <c r="W153" s="45" t="str">
        <f t="shared" si="10"/>
        <v/>
      </c>
      <c r="X153" s="47"/>
      <c r="Y153" s="26" t="str">
        <f t="shared" si="11"/>
        <v/>
      </c>
      <c r="Z153" s="23"/>
      <c r="AA153" s="45" t="str">
        <f t="shared" si="12"/>
        <v/>
      </c>
      <c r="AB153" s="25"/>
      <c r="AC153" s="45" t="str">
        <f t="shared" si="13"/>
        <v/>
      </c>
      <c r="AD153" s="47"/>
      <c r="AE153" s="26"/>
      <c r="AF153" s="23"/>
      <c r="AG153" s="45" t="str">
        <f t="shared" si="14"/>
        <v/>
      </c>
      <c r="AH153" s="25"/>
      <c r="AI153" s="45" t="str">
        <f t="shared" si="15"/>
        <v/>
      </c>
      <c r="AJ153" s="27">
        <v>0.0</v>
      </c>
      <c r="AK153" s="33"/>
      <c r="AL153" s="26" t="str">
        <f t="shared" si="16"/>
        <v/>
      </c>
      <c r="AM153" s="23"/>
      <c r="AN153" s="45" t="str">
        <f t="shared" si="17"/>
        <v/>
      </c>
      <c r="AO153" s="25"/>
      <c r="AP153" s="45" t="str">
        <f t="shared" si="18"/>
        <v/>
      </c>
      <c r="AQ153" s="29" t="str">
        <f t="shared" si="19"/>
        <v/>
      </c>
      <c r="AR153" s="29">
        <f t="shared" si="20"/>
        <v>0</v>
      </c>
      <c r="AS153" s="29">
        <f t="shared" si="21"/>
        <v>0</v>
      </c>
      <c r="AT153" s="26" t="str">
        <f t="shared" si="22"/>
        <v/>
      </c>
      <c r="AU153" s="23"/>
      <c r="AV153" s="45" t="str">
        <f t="shared" si="23"/>
        <v/>
      </c>
      <c r="AW153" s="25"/>
      <c r="AX153" s="45" t="str">
        <f t="shared" si="24"/>
        <v/>
      </c>
      <c r="AY153" s="47"/>
      <c r="AZ153" s="26" t="str">
        <f t="shared" si="25"/>
        <v/>
      </c>
      <c r="BA153" s="23"/>
      <c r="BB153" s="45" t="str">
        <f t="shared" si="26"/>
        <v/>
      </c>
      <c r="BC153" s="25"/>
      <c r="BD153" s="45" t="str">
        <f t="shared" si="27"/>
        <v/>
      </c>
      <c r="BE153" s="47"/>
      <c r="BF153" s="26"/>
      <c r="BG153" s="23"/>
      <c r="BH153" s="45" t="str">
        <f t="shared" si="28"/>
        <v/>
      </c>
      <c r="BI153" s="25"/>
      <c r="BJ153" s="45" t="str">
        <f t="shared" si="29"/>
        <v/>
      </c>
      <c r="BK153" s="27">
        <v>0.0</v>
      </c>
      <c r="BL153" s="23"/>
      <c r="BM153" s="45" t="str">
        <f t="shared" si="30"/>
        <v/>
      </c>
      <c r="BN153" s="25"/>
      <c r="BO153" s="45" t="str">
        <f t="shared" si="31"/>
        <v/>
      </c>
      <c r="BP153" s="27">
        <v>0.0</v>
      </c>
      <c r="BQ153" s="33"/>
      <c r="BR153" s="23"/>
      <c r="BS153" s="45" t="str">
        <f t="shared" si="32"/>
        <v/>
      </c>
      <c r="BT153" s="25"/>
      <c r="BU153" s="45" t="str">
        <f t="shared" si="33"/>
        <v/>
      </c>
      <c r="BV153" s="29" t="str">
        <f t="shared" si="34"/>
        <v/>
      </c>
      <c r="BW153" s="29">
        <f t="shared" si="35"/>
        <v>0</v>
      </c>
      <c r="BX153" s="29">
        <f t="shared" si="36"/>
        <v>0</v>
      </c>
      <c r="BY153" s="26" t="str">
        <f t="shared" si="37"/>
        <v/>
      </c>
      <c r="BZ153" s="23"/>
      <c r="CA153" s="45" t="str">
        <f t="shared" si="38"/>
        <v/>
      </c>
      <c r="CB153" s="25"/>
      <c r="CC153" s="45" t="str">
        <f t="shared" si="39"/>
        <v/>
      </c>
      <c r="CD153" s="47"/>
      <c r="CE153" s="26" t="str">
        <f t="shared" si="40"/>
        <v/>
      </c>
      <c r="CF153" s="23"/>
      <c r="CG153" s="45" t="str">
        <f t="shared" si="41"/>
        <v/>
      </c>
      <c r="CH153" s="25"/>
      <c r="CI153" s="45" t="str">
        <f t="shared" si="42"/>
        <v/>
      </c>
      <c r="CJ153" s="47"/>
      <c r="CK153" s="26"/>
      <c r="CL153" s="23"/>
      <c r="CM153" s="45" t="str">
        <f t="shared" si="43"/>
        <v/>
      </c>
      <c r="CN153" s="25"/>
      <c r="CO153" s="45" t="str">
        <f t="shared" si="44"/>
        <v/>
      </c>
      <c r="CP153" s="27">
        <v>0.0</v>
      </c>
    </row>
    <row r="154">
      <c r="A154" s="26" t="str">
        <f t="shared" si="1"/>
        <v/>
      </c>
      <c r="B154" s="26"/>
      <c r="C154" s="81"/>
      <c r="D154" s="27"/>
      <c r="E154" s="82"/>
      <c r="F154" s="20"/>
      <c r="G154" s="20"/>
      <c r="H154" s="20"/>
      <c r="I154" s="23"/>
      <c r="J154" s="33"/>
      <c r="K154" s="26" t="str">
        <f t="shared" si="2"/>
        <v/>
      </c>
      <c r="L154" s="23"/>
      <c r="M154" s="45" t="str">
        <f t="shared" si="3"/>
        <v/>
      </c>
      <c r="N154" s="25"/>
      <c r="O154" s="45" t="str">
        <f t="shared" si="4"/>
        <v/>
      </c>
      <c r="P154" s="29" t="str">
        <f t="shared" si="5"/>
        <v/>
      </c>
      <c r="Q154" s="29">
        <f t="shared" si="6"/>
        <v>0</v>
      </c>
      <c r="R154" s="29">
        <f t="shared" si="7"/>
        <v>0</v>
      </c>
      <c r="S154" s="26" t="str">
        <f t="shared" si="8"/>
        <v/>
      </c>
      <c r="T154" s="23"/>
      <c r="U154" s="45" t="str">
        <f t="shared" si="9"/>
        <v/>
      </c>
      <c r="V154" s="25"/>
      <c r="W154" s="45" t="str">
        <f t="shared" si="10"/>
        <v/>
      </c>
      <c r="X154" s="47"/>
      <c r="Y154" s="26" t="str">
        <f t="shared" si="11"/>
        <v/>
      </c>
      <c r="Z154" s="23"/>
      <c r="AA154" s="45" t="str">
        <f t="shared" si="12"/>
        <v/>
      </c>
      <c r="AB154" s="25"/>
      <c r="AC154" s="45" t="str">
        <f t="shared" si="13"/>
        <v/>
      </c>
      <c r="AD154" s="47"/>
      <c r="AE154" s="26"/>
      <c r="AF154" s="23"/>
      <c r="AG154" s="45" t="str">
        <f t="shared" si="14"/>
        <v/>
      </c>
      <c r="AH154" s="25"/>
      <c r="AI154" s="45" t="str">
        <f t="shared" si="15"/>
        <v/>
      </c>
      <c r="AJ154" s="27">
        <v>0.0</v>
      </c>
      <c r="AK154" s="33"/>
      <c r="AL154" s="26" t="str">
        <f t="shared" si="16"/>
        <v/>
      </c>
      <c r="AM154" s="23"/>
      <c r="AN154" s="45" t="str">
        <f t="shared" si="17"/>
        <v/>
      </c>
      <c r="AO154" s="25"/>
      <c r="AP154" s="45" t="str">
        <f t="shared" si="18"/>
        <v/>
      </c>
      <c r="AQ154" s="29" t="str">
        <f t="shared" si="19"/>
        <v/>
      </c>
      <c r="AR154" s="29">
        <f t="shared" si="20"/>
        <v>0</v>
      </c>
      <c r="AS154" s="29">
        <f t="shared" si="21"/>
        <v>0</v>
      </c>
      <c r="AT154" s="26" t="str">
        <f t="shared" si="22"/>
        <v/>
      </c>
      <c r="AU154" s="23"/>
      <c r="AV154" s="45" t="str">
        <f t="shared" si="23"/>
        <v/>
      </c>
      <c r="AW154" s="25"/>
      <c r="AX154" s="45" t="str">
        <f t="shared" si="24"/>
        <v/>
      </c>
      <c r="AY154" s="47"/>
      <c r="AZ154" s="26" t="str">
        <f t="shared" si="25"/>
        <v/>
      </c>
      <c r="BA154" s="23"/>
      <c r="BB154" s="45" t="str">
        <f t="shared" si="26"/>
        <v/>
      </c>
      <c r="BC154" s="25"/>
      <c r="BD154" s="45" t="str">
        <f t="shared" si="27"/>
        <v/>
      </c>
      <c r="BE154" s="47"/>
      <c r="BF154" s="26"/>
      <c r="BG154" s="23"/>
      <c r="BH154" s="45" t="str">
        <f t="shared" si="28"/>
        <v/>
      </c>
      <c r="BI154" s="25"/>
      <c r="BJ154" s="45" t="str">
        <f t="shared" si="29"/>
        <v/>
      </c>
      <c r="BK154" s="27">
        <v>0.0</v>
      </c>
      <c r="BL154" s="23"/>
      <c r="BM154" s="45" t="str">
        <f t="shared" si="30"/>
        <v/>
      </c>
      <c r="BN154" s="25"/>
      <c r="BO154" s="45" t="str">
        <f t="shared" si="31"/>
        <v/>
      </c>
      <c r="BP154" s="27">
        <v>0.0</v>
      </c>
      <c r="BQ154" s="33"/>
      <c r="BR154" s="23"/>
      <c r="BS154" s="45" t="str">
        <f t="shared" si="32"/>
        <v/>
      </c>
      <c r="BT154" s="25"/>
      <c r="BU154" s="45" t="str">
        <f t="shared" si="33"/>
        <v/>
      </c>
      <c r="BV154" s="29" t="str">
        <f t="shared" si="34"/>
        <v/>
      </c>
      <c r="BW154" s="29">
        <f t="shared" si="35"/>
        <v>0</v>
      </c>
      <c r="BX154" s="29">
        <f t="shared" si="36"/>
        <v>0</v>
      </c>
      <c r="BY154" s="26" t="str">
        <f t="shared" si="37"/>
        <v/>
      </c>
      <c r="BZ154" s="23"/>
      <c r="CA154" s="45" t="str">
        <f t="shared" si="38"/>
        <v/>
      </c>
      <c r="CB154" s="25"/>
      <c r="CC154" s="45" t="str">
        <f t="shared" si="39"/>
        <v/>
      </c>
      <c r="CD154" s="47"/>
      <c r="CE154" s="26" t="str">
        <f t="shared" si="40"/>
        <v/>
      </c>
      <c r="CF154" s="23"/>
      <c r="CG154" s="45" t="str">
        <f t="shared" si="41"/>
        <v/>
      </c>
      <c r="CH154" s="25"/>
      <c r="CI154" s="45" t="str">
        <f t="shared" si="42"/>
        <v/>
      </c>
      <c r="CJ154" s="47"/>
      <c r="CK154" s="26"/>
      <c r="CL154" s="23"/>
      <c r="CM154" s="45" t="str">
        <f t="shared" si="43"/>
        <v/>
      </c>
      <c r="CN154" s="25"/>
      <c r="CO154" s="45" t="str">
        <f t="shared" si="44"/>
        <v/>
      </c>
      <c r="CP154" s="27">
        <v>0.0</v>
      </c>
    </row>
    <row r="155">
      <c r="A155" s="26" t="str">
        <f t="shared" si="1"/>
        <v/>
      </c>
      <c r="B155" s="26"/>
      <c r="C155" s="81"/>
      <c r="D155" s="27"/>
      <c r="E155" s="82"/>
      <c r="F155" s="20"/>
      <c r="G155" s="20"/>
      <c r="H155" s="20"/>
      <c r="I155" s="23"/>
      <c r="J155" s="33"/>
      <c r="K155" s="26" t="str">
        <f t="shared" si="2"/>
        <v/>
      </c>
      <c r="L155" s="23"/>
      <c r="M155" s="45" t="str">
        <f t="shared" si="3"/>
        <v/>
      </c>
      <c r="N155" s="25"/>
      <c r="O155" s="45" t="str">
        <f t="shared" si="4"/>
        <v/>
      </c>
      <c r="P155" s="29" t="str">
        <f t="shared" si="5"/>
        <v/>
      </c>
      <c r="Q155" s="29">
        <f t="shared" si="6"/>
        <v>0</v>
      </c>
      <c r="R155" s="29">
        <f t="shared" si="7"/>
        <v>0</v>
      </c>
      <c r="S155" s="26" t="str">
        <f t="shared" si="8"/>
        <v/>
      </c>
      <c r="T155" s="23"/>
      <c r="U155" s="45" t="str">
        <f t="shared" si="9"/>
        <v/>
      </c>
      <c r="V155" s="25"/>
      <c r="W155" s="45" t="str">
        <f t="shared" si="10"/>
        <v/>
      </c>
      <c r="X155" s="47"/>
      <c r="Y155" s="26" t="str">
        <f t="shared" si="11"/>
        <v/>
      </c>
      <c r="Z155" s="23"/>
      <c r="AA155" s="45" t="str">
        <f t="shared" si="12"/>
        <v/>
      </c>
      <c r="AB155" s="25"/>
      <c r="AC155" s="45" t="str">
        <f t="shared" si="13"/>
        <v/>
      </c>
      <c r="AD155" s="47"/>
      <c r="AE155" s="26"/>
      <c r="AF155" s="23"/>
      <c r="AG155" s="45" t="str">
        <f t="shared" si="14"/>
        <v/>
      </c>
      <c r="AH155" s="25"/>
      <c r="AI155" s="45" t="str">
        <f t="shared" si="15"/>
        <v/>
      </c>
      <c r="AJ155" s="27">
        <v>0.0</v>
      </c>
      <c r="AK155" s="33"/>
      <c r="AL155" s="26" t="str">
        <f t="shared" si="16"/>
        <v/>
      </c>
      <c r="AM155" s="23"/>
      <c r="AN155" s="45" t="str">
        <f t="shared" si="17"/>
        <v/>
      </c>
      <c r="AO155" s="25"/>
      <c r="AP155" s="45" t="str">
        <f t="shared" si="18"/>
        <v/>
      </c>
      <c r="AQ155" s="29" t="str">
        <f t="shared" si="19"/>
        <v/>
      </c>
      <c r="AR155" s="29">
        <f t="shared" si="20"/>
        <v>0</v>
      </c>
      <c r="AS155" s="29">
        <f t="shared" si="21"/>
        <v>0</v>
      </c>
      <c r="AT155" s="26" t="str">
        <f t="shared" si="22"/>
        <v/>
      </c>
      <c r="AU155" s="23"/>
      <c r="AV155" s="45" t="str">
        <f t="shared" si="23"/>
        <v/>
      </c>
      <c r="AW155" s="25"/>
      <c r="AX155" s="45" t="str">
        <f t="shared" si="24"/>
        <v/>
      </c>
      <c r="AY155" s="47"/>
      <c r="AZ155" s="26" t="str">
        <f t="shared" si="25"/>
        <v/>
      </c>
      <c r="BA155" s="23"/>
      <c r="BB155" s="45" t="str">
        <f t="shared" si="26"/>
        <v/>
      </c>
      <c r="BC155" s="25"/>
      <c r="BD155" s="45" t="str">
        <f t="shared" si="27"/>
        <v/>
      </c>
      <c r="BE155" s="47"/>
      <c r="BF155" s="26"/>
      <c r="BG155" s="23"/>
      <c r="BH155" s="45" t="str">
        <f t="shared" si="28"/>
        <v/>
      </c>
      <c r="BI155" s="25"/>
      <c r="BJ155" s="45" t="str">
        <f t="shared" si="29"/>
        <v/>
      </c>
      <c r="BK155" s="27">
        <v>0.0</v>
      </c>
      <c r="BL155" s="23"/>
      <c r="BM155" s="45" t="str">
        <f t="shared" si="30"/>
        <v/>
      </c>
      <c r="BN155" s="25"/>
      <c r="BO155" s="45" t="str">
        <f t="shared" si="31"/>
        <v/>
      </c>
      <c r="BP155" s="27">
        <v>0.0</v>
      </c>
      <c r="BQ155" s="33"/>
      <c r="BR155" s="23"/>
      <c r="BS155" s="45" t="str">
        <f t="shared" si="32"/>
        <v/>
      </c>
      <c r="BT155" s="25"/>
      <c r="BU155" s="45" t="str">
        <f t="shared" si="33"/>
        <v/>
      </c>
      <c r="BV155" s="29" t="str">
        <f t="shared" si="34"/>
        <v/>
      </c>
      <c r="BW155" s="29">
        <f t="shared" si="35"/>
        <v>0</v>
      </c>
      <c r="BX155" s="29">
        <f t="shared" si="36"/>
        <v>0</v>
      </c>
      <c r="BY155" s="26" t="str">
        <f t="shared" si="37"/>
        <v/>
      </c>
      <c r="BZ155" s="23"/>
      <c r="CA155" s="45" t="str">
        <f t="shared" si="38"/>
        <v/>
      </c>
      <c r="CB155" s="25"/>
      <c r="CC155" s="45" t="str">
        <f t="shared" si="39"/>
        <v/>
      </c>
      <c r="CD155" s="47"/>
      <c r="CE155" s="26" t="str">
        <f t="shared" si="40"/>
        <v/>
      </c>
      <c r="CF155" s="23"/>
      <c r="CG155" s="45" t="str">
        <f t="shared" si="41"/>
        <v/>
      </c>
      <c r="CH155" s="25"/>
      <c r="CI155" s="45" t="str">
        <f t="shared" si="42"/>
        <v/>
      </c>
      <c r="CJ155" s="47"/>
      <c r="CK155" s="26"/>
      <c r="CL155" s="23"/>
      <c r="CM155" s="45" t="str">
        <f t="shared" si="43"/>
        <v/>
      </c>
      <c r="CN155" s="25"/>
      <c r="CO155" s="45" t="str">
        <f t="shared" si="44"/>
        <v/>
      </c>
      <c r="CP155" s="27">
        <v>0.0</v>
      </c>
    </row>
    <row r="156">
      <c r="A156" s="26" t="str">
        <f t="shared" si="1"/>
        <v/>
      </c>
      <c r="B156" s="26"/>
      <c r="C156" s="81"/>
      <c r="D156" s="27"/>
      <c r="E156" s="82"/>
      <c r="F156" s="20"/>
      <c r="G156" s="20"/>
      <c r="H156" s="20"/>
      <c r="I156" s="23"/>
      <c r="J156" s="33"/>
      <c r="K156" s="26" t="str">
        <f t="shared" si="2"/>
        <v/>
      </c>
      <c r="L156" s="23"/>
      <c r="M156" s="45" t="str">
        <f t="shared" si="3"/>
        <v/>
      </c>
      <c r="N156" s="25"/>
      <c r="O156" s="45" t="str">
        <f t="shared" si="4"/>
        <v/>
      </c>
      <c r="P156" s="29" t="str">
        <f t="shared" si="5"/>
        <v/>
      </c>
      <c r="Q156" s="29">
        <f t="shared" si="6"/>
        <v>0</v>
      </c>
      <c r="R156" s="29">
        <f t="shared" si="7"/>
        <v>0</v>
      </c>
      <c r="S156" s="26" t="str">
        <f t="shared" si="8"/>
        <v/>
      </c>
      <c r="T156" s="23"/>
      <c r="U156" s="45" t="str">
        <f t="shared" si="9"/>
        <v/>
      </c>
      <c r="V156" s="25"/>
      <c r="W156" s="45" t="str">
        <f t="shared" si="10"/>
        <v/>
      </c>
      <c r="X156" s="47"/>
      <c r="Y156" s="26" t="str">
        <f t="shared" si="11"/>
        <v/>
      </c>
      <c r="Z156" s="23"/>
      <c r="AA156" s="45" t="str">
        <f t="shared" si="12"/>
        <v/>
      </c>
      <c r="AB156" s="25"/>
      <c r="AC156" s="45" t="str">
        <f t="shared" si="13"/>
        <v/>
      </c>
      <c r="AD156" s="47"/>
      <c r="AE156" s="26"/>
      <c r="AF156" s="23"/>
      <c r="AG156" s="45" t="str">
        <f t="shared" si="14"/>
        <v/>
      </c>
      <c r="AH156" s="25"/>
      <c r="AI156" s="45" t="str">
        <f t="shared" si="15"/>
        <v/>
      </c>
      <c r="AJ156" s="27">
        <v>0.0</v>
      </c>
      <c r="AK156" s="33"/>
      <c r="AL156" s="26" t="str">
        <f t="shared" si="16"/>
        <v/>
      </c>
      <c r="AM156" s="23"/>
      <c r="AN156" s="45" t="str">
        <f t="shared" si="17"/>
        <v/>
      </c>
      <c r="AO156" s="25"/>
      <c r="AP156" s="45" t="str">
        <f t="shared" si="18"/>
        <v/>
      </c>
      <c r="AQ156" s="29" t="str">
        <f t="shared" si="19"/>
        <v/>
      </c>
      <c r="AR156" s="29">
        <f t="shared" si="20"/>
        <v>0</v>
      </c>
      <c r="AS156" s="29">
        <f t="shared" si="21"/>
        <v>0</v>
      </c>
      <c r="AT156" s="26" t="str">
        <f t="shared" si="22"/>
        <v/>
      </c>
      <c r="AU156" s="23"/>
      <c r="AV156" s="45" t="str">
        <f t="shared" si="23"/>
        <v/>
      </c>
      <c r="AW156" s="25"/>
      <c r="AX156" s="45" t="str">
        <f t="shared" si="24"/>
        <v/>
      </c>
      <c r="AY156" s="47"/>
      <c r="AZ156" s="26" t="str">
        <f t="shared" si="25"/>
        <v/>
      </c>
      <c r="BA156" s="23"/>
      <c r="BB156" s="45" t="str">
        <f t="shared" si="26"/>
        <v/>
      </c>
      <c r="BC156" s="25"/>
      <c r="BD156" s="45" t="str">
        <f t="shared" si="27"/>
        <v/>
      </c>
      <c r="BE156" s="47"/>
      <c r="BF156" s="26"/>
      <c r="BG156" s="23"/>
      <c r="BH156" s="45" t="str">
        <f t="shared" si="28"/>
        <v/>
      </c>
      <c r="BI156" s="25"/>
      <c r="BJ156" s="45" t="str">
        <f t="shared" si="29"/>
        <v/>
      </c>
      <c r="BK156" s="27">
        <v>0.0</v>
      </c>
      <c r="BL156" s="23"/>
      <c r="BM156" s="45" t="str">
        <f t="shared" si="30"/>
        <v/>
      </c>
      <c r="BN156" s="25"/>
      <c r="BO156" s="45" t="str">
        <f t="shared" si="31"/>
        <v/>
      </c>
      <c r="BP156" s="27">
        <v>0.0</v>
      </c>
      <c r="BQ156" s="33"/>
      <c r="BR156" s="23"/>
      <c r="BS156" s="45" t="str">
        <f t="shared" si="32"/>
        <v/>
      </c>
      <c r="BT156" s="25"/>
      <c r="BU156" s="45" t="str">
        <f t="shared" si="33"/>
        <v/>
      </c>
      <c r="BV156" s="29" t="str">
        <f t="shared" si="34"/>
        <v/>
      </c>
      <c r="BW156" s="29">
        <f t="shared" si="35"/>
        <v>0</v>
      </c>
      <c r="BX156" s="29">
        <f t="shared" si="36"/>
        <v>0</v>
      </c>
      <c r="BY156" s="26" t="str">
        <f t="shared" si="37"/>
        <v/>
      </c>
      <c r="BZ156" s="23"/>
      <c r="CA156" s="45" t="str">
        <f t="shared" si="38"/>
        <v/>
      </c>
      <c r="CB156" s="25"/>
      <c r="CC156" s="45" t="str">
        <f t="shared" si="39"/>
        <v/>
      </c>
      <c r="CD156" s="47"/>
      <c r="CE156" s="26" t="str">
        <f t="shared" si="40"/>
        <v/>
      </c>
      <c r="CF156" s="23"/>
      <c r="CG156" s="45" t="str">
        <f t="shared" si="41"/>
        <v/>
      </c>
      <c r="CH156" s="25"/>
      <c r="CI156" s="45" t="str">
        <f t="shared" si="42"/>
        <v/>
      </c>
      <c r="CJ156" s="47"/>
      <c r="CK156" s="26"/>
      <c r="CL156" s="23"/>
      <c r="CM156" s="45" t="str">
        <f t="shared" si="43"/>
        <v/>
      </c>
      <c r="CN156" s="25"/>
      <c r="CO156" s="45" t="str">
        <f t="shared" si="44"/>
        <v/>
      </c>
      <c r="CP156" s="27">
        <v>0.0</v>
      </c>
    </row>
    <row r="157">
      <c r="A157" s="26" t="str">
        <f t="shared" si="1"/>
        <v/>
      </c>
      <c r="B157" s="26"/>
      <c r="C157" s="81"/>
      <c r="D157" s="27"/>
      <c r="E157" s="82"/>
      <c r="F157" s="20"/>
      <c r="G157" s="20"/>
      <c r="H157" s="20"/>
      <c r="I157" s="23"/>
      <c r="J157" s="33"/>
      <c r="K157" s="26" t="str">
        <f t="shared" si="2"/>
        <v/>
      </c>
      <c r="L157" s="23"/>
      <c r="M157" s="45" t="str">
        <f t="shared" si="3"/>
        <v/>
      </c>
      <c r="N157" s="25"/>
      <c r="O157" s="45" t="str">
        <f t="shared" si="4"/>
        <v/>
      </c>
      <c r="P157" s="29" t="str">
        <f t="shared" si="5"/>
        <v/>
      </c>
      <c r="Q157" s="29">
        <f t="shared" si="6"/>
        <v>0</v>
      </c>
      <c r="R157" s="29">
        <f t="shared" si="7"/>
        <v>0</v>
      </c>
      <c r="S157" s="26" t="str">
        <f t="shared" si="8"/>
        <v/>
      </c>
      <c r="T157" s="23"/>
      <c r="U157" s="45" t="str">
        <f t="shared" si="9"/>
        <v/>
      </c>
      <c r="V157" s="25"/>
      <c r="W157" s="45" t="str">
        <f t="shared" si="10"/>
        <v/>
      </c>
      <c r="X157" s="47"/>
      <c r="Y157" s="26" t="str">
        <f t="shared" si="11"/>
        <v/>
      </c>
      <c r="Z157" s="23"/>
      <c r="AA157" s="45" t="str">
        <f t="shared" si="12"/>
        <v/>
      </c>
      <c r="AB157" s="25"/>
      <c r="AC157" s="45" t="str">
        <f t="shared" si="13"/>
        <v/>
      </c>
      <c r="AD157" s="47"/>
      <c r="AE157" s="26"/>
      <c r="AF157" s="23"/>
      <c r="AG157" s="45" t="str">
        <f t="shared" si="14"/>
        <v/>
      </c>
      <c r="AH157" s="25"/>
      <c r="AI157" s="45" t="str">
        <f t="shared" si="15"/>
        <v/>
      </c>
      <c r="AJ157" s="27">
        <v>0.0</v>
      </c>
      <c r="AK157" s="33"/>
      <c r="AL157" s="26" t="str">
        <f t="shared" si="16"/>
        <v/>
      </c>
      <c r="AM157" s="23"/>
      <c r="AN157" s="45" t="str">
        <f t="shared" si="17"/>
        <v/>
      </c>
      <c r="AO157" s="25"/>
      <c r="AP157" s="45" t="str">
        <f t="shared" si="18"/>
        <v/>
      </c>
      <c r="AQ157" s="29" t="str">
        <f t="shared" si="19"/>
        <v/>
      </c>
      <c r="AR157" s="29">
        <f t="shared" si="20"/>
        <v>0</v>
      </c>
      <c r="AS157" s="29">
        <f t="shared" si="21"/>
        <v>0</v>
      </c>
      <c r="AT157" s="26" t="str">
        <f t="shared" si="22"/>
        <v/>
      </c>
      <c r="AU157" s="23"/>
      <c r="AV157" s="45" t="str">
        <f t="shared" si="23"/>
        <v/>
      </c>
      <c r="AW157" s="25"/>
      <c r="AX157" s="45" t="str">
        <f t="shared" si="24"/>
        <v/>
      </c>
      <c r="AY157" s="47"/>
      <c r="AZ157" s="26" t="str">
        <f t="shared" si="25"/>
        <v/>
      </c>
      <c r="BA157" s="23"/>
      <c r="BB157" s="45" t="str">
        <f t="shared" si="26"/>
        <v/>
      </c>
      <c r="BC157" s="25"/>
      <c r="BD157" s="45" t="str">
        <f t="shared" si="27"/>
        <v/>
      </c>
      <c r="BE157" s="47"/>
      <c r="BF157" s="26"/>
      <c r="BG157" s="23"/>
      <c r="BH157" s="45" t="str">
        <f t="shared" si="28"/>
        <v/>
      </c>
      <c r="BI157" s="25"/>
      <c r="BJ157" s="45" t="str">
        <f t="shared" si="29"/>
        <v/>
      </c>
      <c r="BK157" s="27">
        <v>0.0</v>
      </c>
      <c r="BL157" s="23"/>
      <c r="BM157" s="45" t="str">
        <f t="shared" si="30"/>
        <v/>
      </c>
      <c r="BN157" s="25"/>
      <c r="BO157" s="45" t="str">
        <f t="shared" si="31"/>
        <v/>
      </c>
      <c r="BP157" s="27">
        <v>0.0</v>
      </c>
      <c r="BQ157" s="33"/>
      <c r="BR157" s="23"/>
      <c r="BS157" s="45" t="str">
        <f t="shared" si="32"/>
        <v/>
      </c>
      <c r="BT157" s="25"/>
      <c r="BU157" s="45" t="str">
        <f t="shared" si="33"/>
        <v/>
      </c>
      <c r="BV157" s="29" t="str">
        <f t="shared" si="34"/>
        <v/>
      </c>
      <c r="BW157" s="29">
        <f t="shared" si="35"/>
        <v>0</v>
      </c>
      <c r="BX157" s="29">
        <f t="shared" si="36"/>
        <v>0</v>
      </c>
      <c r="BY157" s="26" t="str">
        <f t="shared" si="37"/>
        <v/>
      </c>
      <c r="BZ157" s="23"/>
      <c r="CA157" s="45" t="str">
        <f t="shared" si="38"/>
        <v/>
      </c>
      <c r="CB157" s="25"/>
      <c r="CC157" s="45" t="str">
        <f t="shared" si="39"/>
        <v/>
      </c>
      <c r="CD157" s="47"/>
      <c r="CE157" s="26" t="str">
        <f t="shared" si="40"/>
        <v/>
      </c>
      <c r="CF157" s="23"/>
      <c r="CG157" s="45" t="str">
        <f t="shared" si="41"/>
        <v/>
      </c>
      <c r="CH157" s="25"/>
      <c r="CI157" s="45" t="str">
        <f t="shared" si="42"/>
        <v/>
      </c>
      <c r="CJ157" s="47"/>
      <c r="CK157" s="26"/>
      <c r="CL157" s="23"/>
      <c r="CM157" s="45" t="str">
        <f t="shared" si="43"/>
        <v/>
      </c>
      <c r="CN157" s="25"/>
      <c r="CO157" s="45" t="str">
        <f t="shared" si="44"/>
        <v/>
      </c>
      <c r="CP157" s="27">
        <v>0.0</v>
      </c>
    </row>
    <row r="158">
      <c r="A158" s="26" t="str">
        <f t="shared" si="1"/>
        <v/>
      </c>
      <c r="B158" s="26"/>
      <c r="C158" s="81"/>
      <c r="D158" s="27"/>
      <c r="E158" s="82"/>
      <c r="F158" s="20"/>
      <c r="G158" s="20"/>
      <c r="H158" s="20"/>
      <c r="I158" s="23"/>
      <c r="J158" s="33"/>
      <c r="K158" s="26" t="str">
        <f t="shared" si="2"/>
        <v/>
      </c>
      <c r="L158" s="23"/>
      <c r="M158" s="45" t="str">
        <f t="shared" si="3"/>
        <v/>
      </c>
      <c r="N158" s="25"/>
      <c r="O158" s="45" t="str">
        <f t="shared" si="4"/>
        <v/>
      </c>
      <c r="P158" s="29" t="str">
        <f t="shared" si="5"/>
        <v/>
      </c>
      <c r="Q158" s="29">
        <f t="shared" si="6"/>
        <v>0</v>
      </c>
      <c r="R158" s="29">
        <f t="shared" si="7"/>
        <v>0</v>
      </c>
      <c r="S158" s="26" t="str">
        <f t="shared" si="8"/>
        <v/>
      </c>
      <c r="T158" s="23"/>
      <c r="U158" s="45" t="str">
        <f t="shared" si="9"/>
        <v/>
      </c>
      <c r="V158" s="25"/>
      <c r="W158" s="45" t="str">
        <f t="shared" si="10"/>
        <v/>
      </c>
      <c r="X158" s="47"/>
      <c r="Y158" s="26" t="str">
        <f t="shared" si="11"/>
        <v/>
      </c>
      <c r="Z158" s="23"/>
      <c r="AA158" s="45" t="str">
        <f t="shared" si="12"/>
        <v/>
      </c>
      <c r="AB158" s="25"/>
      <c r="AC158" s="45" t="str">
        <f t="shared" si="13"/>
        <v/>
      </c>
      <c r="AD158" s="47"/>
      <c r="AE158" s="26"/>
      <c r="AF158" s="23"/>
      <c r="AG158" s="45" t="str">
        <f t="shared" si="14"/>
        <v/>
      </c>
      <c r="AH158" s="25"/>
      <c r="AI158" s="45" t="str">
        <f t="shared" si="15"/>
        <v/>
      </c>
      <c r="AJ158" s="27">
        <v>0.0</v>
      </c>
      <c r="AK158" s="33"/>
      <c r="AL158" s="26" t="str">
        <f t="shared" si="16"/>
        <v/>
      </c>
      <c r="AM158" s="23"/>
      <c r="AN158" s="45" t="str">
        <f t="shared" si="17"/>
        <v/>
      </c>
      <c r="AO158" s="25"/>
      <c r="AP158" s="45" t="str">
        <f t="shared" si="18"/>
        <v/>
      </c>
      <c r="AQ158" s="29" t="str">
        <f t="shared" si="19"/>
        <v/>
      </c>
      <c r="AR158" s="29">
        <f t="shared" si="20"/>
        <v>0</v>
      </c>
      <c r="AS158" s="29">
        <f t="shared" si="21"/>
        <v>0</v>
      </c>
      <c r="AT158" s="26" t="str">
        <f t="shared" si="22"/>
        <v/>
      </c>
      <c r="AU158" s="23"/>
      <c r="AV158" s="45" t="str">
        <f t="shared" si="23"/>
        <v/>
      </c>
      <c r="AW158" s="25"/>
      <c r="AX158" s="45" t="str">
        <f t="shared" si="24"/>
        <v/>
      </c>
      <c r="AY158" s="47"/>
      <c r="AZ158" s="26" t="str">
        <f t="shared" si="25"/>
        <v/>
      </c>
      <c r="BA158" s="23"/>
      <c r="BB158" s="45" t="str">
        <f t="shared" si="26"/>
        <v/>
      </c>
      <c r="BC158" s="25"/>
      <c r="BD158" s="45" t="str">
        <f t="shared" si="27"/>
        <v/>
      </c>
      <c r="BE158" s="47"/>
      <c r="BF158" s="26"/>
      <c r="BG158" s="23"/>
      <c r="BH158" s="45" t="str">
        <f t="shared" si="28"/>
        <v/>
      </c>
      <c r="BI158" s="25"/>
      <c r="BJ158" s="45" t="str">
        <f t="shared" si="29"/>
        <v/>
      </c>
      <c r="BK158" s="27">
        <v>0.0</v>
      </c>
      <c r="BL158" s="23"/>
      <c r="BM158" s="45" t="str">
        <f t="shared" si="30"/>
        <v/>
      </c>
      <c r="BN158" s="25"/>
      <c r="BO158" s="45" t="str">
        <f t="shared" si="31"/>
        <v/>
      </c>
      <c r="BP158" s="27">
        <v>0.0</v>
      </c>
      <c r="BQ158" s="33"/>
      <c r="BR158" s="23"/>
      <c r="BS158" s="45" t="str">
        <f t="shared" si="32"/>
        <v/>
      </c>
      <c r="BT158" s="25"/>
      <c r="BU158" s="45" t="str">
        <f t="shared" si="33"/>
        <v/>
      </c>
      <c r="BV158" s="29" t="str">
        <f t="shared" si="34"/>
        <v/>
      </c>
      <c r="BW158" s="29">
        <f t="shared" si="35"/>
        <v>0</v>
      </c>
      <c r="BX158" s="29">
        <f t="shared" si="36"/>
        <v>0</v>
      </c>
      <c r="BY158" s="26" t="str">
        <f t="shared" si="37"/>
        <v/>
      </c>
      <c r="BZ158" s="23"/>
      <c r="CA158" s="45" t="str">
        <f t="shared" si="38"/>
        <v/>
      </c>
      <c r="CB158" s="25"/>
      <c r="CC158" s="45" t="str">
        <f t="shared" si="39"/>
        <v/>
      </c>
      <c r="CD158" s="47"/>
      <c r="CE158" s="26" t="str">
        <f t="shared" si="40"/>
        <v/>
      </c>
      <c r="CF158" s="23"/>
      <c r="CG158" s="45" t="str">
        <f t="shared" si="41"/>
        <v/>
      </c>
      <c r="CH158" s="25"/>
      <c r="CI158" s="45" t="str">
        <f t="shared" si="42"/>
        <v/>
      </c>
      <c r="CJ158" s="47"/>
      <c r="CK158" s="26"/>
      <c r="CL158" s="23"/>
      <c r="CM158" s="45" t="str">
        <f t="shared" si="43"/>
        <v/>
      </c>
      <c r="CN158" s="25"/>
      <c r="CO158" s="45" t="str">
        <f t="shared" si="44"/>
        <v/>
      </c>
      <c r="CP158" s="27">
        <v>0.0</v>
      </c>
    </row>
    <row r="159">
      <c r="A159" s="26" t="str">
        <f t="shared" si="1"/>
        <v/>
      </c>
      <c r="B159" s="26"/>
      <c r="C159" s="81"/>
      <c r="D159" s="27"/>
      <c r="E159" s="82"/>
      <c r="F159" s="20"/>
      <c r="G159" s="20"/>
      <c r="H159" s="20"/>
      <c r="I159" s="23"/>
      <c r="J159" s="33"/>
      <c r="K159" s="26" t="str">
        <f t="shared" si="2"/>
        <v/>
      </c>
      <c r="L159" s="23"/>
      <c r="M159" s="45" t="str">
        <f t="shared" si="3"/>
        <v/>
      </c>
      <c r="N159" s="25"/>
      <c r="O159" s="45" t="str">
        <f t="shared" si="4"/>
        <v/>
      </c>
      <c r="P159" s="29" t="str">
        <f t="shared" si="5"/>
        <v/>
      </c>
      <c r="Q159" s="29">
        <f t="shared" si="6"/>
        <v>0</v>
      </c>
      <c r="R159" s="29">
        <f t="shared" si="7"/>
        <v>0</v>
      </c>
      <c r="S159" s="26" t="str">
        <f t="shared" si="8"/>
        <v/>
      </c>
      <c r="T159" s="23"/>
      <c r="U159" s="45" t="str">
        <f t="shared" si="9"/>
        <v/>
      </c>
      <c r="V159" s="25"/>
      <c r="W159" s="45" t="str">
        <f t="shared" si="10"/>
        <v/>
      </c>
      <c r="X159" s="47"/>
      <c r="Y159" s="26" t="str">
        <f t="shared" si="11"/>
        <v/>
      </c>
      <c r="Z159" s="23"/>
      <c r="AA159" s="45" t="str">
        <f t="shared" si="12"/>
        <v/>
      </c>
      <c r="AB159" s="25"/>
      <c r="AC159" s="45" t="str">
        <f t="shared" si="13"/>
        <v/>
      </c>
      <c r="AD159" s="47"/>
      <c r="AE159" s="26"/>
      <c r="AF159" s="23"/>
      <c r="AG159" s="45" t="str">
        <f t="shared" si="14"/>
        <v/>
      </c>
      <c r="AH159" s="25"/>
      <c r="AI159" s="45" t="str">
        <f t="shared" si="15"/>
        <v/>
      </c>
      <c r="AJ159" s="27">
        <v>0.0</v>
      </c>
      <c r="AK159" s="33"/>
      <c r="AL159" s="26" t="str">
        <f t="shared" si="16"/>
        <v/>
      </c>
      <c r="AM159" s="23"/>
      <c r="AN159" s="45" t="str">
        <f t="shared" si="17"/>
        <v/>
      </c>
      <c r="AO159" s="25"/>
      <c r="AP159" s="45" t="str">
        <f t="shared" si="18"/>
        <v/>
      </c>
      <c r="AQ159" s="29" t="str">
        <f t="shared" si="19"/>
        <v/>
      </c>
      <c r="AR159" s="29">
        <f t="shared" si="20"/>
        <v>0</v>
      </c>
      <c r="AS159" s="29">
        <f t="shared" si="21"/>
        <v>0</v>
      </c>
      <c r="AT159" s="26" t="str">
        <f t="shared" si="22"/>
        <v/>
      </c>
      <c r="AU159" s="23"/>
      <c r="AV159" s="45" t="str">
        <f t="shared" si="23"/>
        <v/>
      </c>
      <c r="AW159" s="25"/>
      <c r="AX159" s="45" t="str">
        <f t="shared" si="24"/>
        <v/>
      </c>
      <c r="AY159" s="47"/>
      <c r="AZ159" s="26" t="str">
        <f t="shared" si="25"/>
        <v/>
      </c>
      <c r="BA159" s="23"/>
      <c r="BB159" s="45" t="str">
        <f t="shared" si="26"/>
        <v/>
      </c>
      <c r="BC159" s="25"/>
      <c r="BD159" s="45" t="str">
        <f t="shared" si="27"/>
        <v/>
      </c>
      <c r="BE159" s="47"/>
      <c r="BF159" s="26"/>
      <c r="BG159" s="23"/>
      <c r="BH159" s="45" t="str">
        <f t="shared" si="28"/>
        <v/>
      </c>
      <c r="BI159" s="25"/>
      <c r="BJ159" s="45" t="str">
        <f t="shared" si="29"/>
        <v/>
      </c>
      <c r="BK159" s="27">
        <v>0.0</v>
      </c>
      <c r="BL159" s="23"/>
      <c r="BM159" s="45" t="str">
        <f t="shared" si="30"/>
        <v/>
      </c>
      <c r="BN159" s="25"/>
      <c r="BO159" s="45" t="str">
        <f t="shared" si="31"/>
        <v/>
      </c>
      <c r="BP159" s="27">
        <v>0.0</v>
      </c>
      <c r="BQ159" s="33"/>
      <c r="BR159" s="23"/>
      <c r="BS159" s="45" t="str">
        <f t="shared" si="32"/>
        <v/>
      </c>
      <c r="BT159" s="25"/>
      <c r="BU159" s="45" t="str">
        <f t="shared" si="33"/>
        <v/>
      </c>
      <c r="BV159" s="29" t="str">
        <f t="shared" si="34"/>
        <v/>
      </c>
      <c r="BW159" s="29">
        <f t="shared" si="35"/>
        <v>0</v>
      </c>
      <c r="BX159" s="29">
        <f t="shared" si="36"/>
        <v>0</v>
      </c>
      <c r="BY159" s="26" t="str">
        <f t="shared" si="37"/>
        <v/>
      </c>
      <c r="BZ159" s="23"/>
      <c r="CA159" s="45" t="str">
        <f t="shared" si="38"/>
        <v/>
      </c>
      <c r="CB159" s="25"/>
      <c r="CC159" s="45" t="str">
        <f t="shared" si="39"/>
        <v/>
      </c>
      <c r="CD159" s="47"/>
      <c r="CE159" s="26" t="str">
        <f t="shared" si="40"/>
        <v/>
      </c>
      <c r="CF159" s="23"/>
      <c r="CG159" s="45" t="str">
        <f t="shared" si="41"/>
        <v/>
      </c>
      <c r="CH159" s="25"/>
      <c r="CI159" s="45" t="str">
        <f t="shared" si="42"/>
        <v/>
      </c>
      <c r="CJ159" s="47"/>
      <c r="CK159" s="26"/>
      <c r="CL159" s="23"/>
      <c r="CM159" s="45" t="str">
        <f t="shared" si="43"/>
        <v/>
      </c>
      <c r="CN159" s="25"/>
      <c r="CO159" s="45" t="str">
        <f t="shared" si="44"/>
        <v/>
      </c>
      <c r="CP159" s="27">
        <v>0.0</v>
      </c>
    </row>
    <row r="160">
      <c r="A160" s="26" t="str">
        <f t="shared" si="1"/>
        <v/>
      </c>
      <c r="B160" s="26"/>
      <c r="C160" s="81"/>
      <c r="D160" s="27"/>
      <c r="E160" s="82"/>
      <c r="F160" s="20"/>
      <c r="G160" s="20"/>
      <c r="H160" s="20"/>
      <c r="I160" s="23"/>
      <c r="J160" s="33"/>
      <c r="K160" s="26" t="str">
        <f t="shared" si="2"/>
        <v/>
      </c>
      <c r="L160" s="23"/>
      <c r="M160" s="45" t="str">
        <f t="shared" si="3"/>
        <v/>
      </c>
      <c r="N160" s="25"/>
      <c r="O160" s="45" t="str">
        <f t="shared" si="4"/>
        <v/>
      </c>
      <c r="P160" s="29" t="str">
        <f t="shared" si="5"/>
        <v/>
      </c>
      <c r="Q160" s="29">
        <f t="shared" si="6"/>
        <v>0</v>
      </c>
      <c r="R160" s="29">
        <f t="shared" si="7"/>
        <v>0</v>
      </c>
      <c r="S160" s="26" t="str">
        <f t="shared" si="8"/>
        <v/>
      </c>
      <c r="T160" s="23"/>
      <c r="U160" s="45" t="str">
        <f t="shared" si="9"/>
        <v/>
      </c>
      <c r="V160" s="25"/>
      <c r="W160" s="45" t="str">
        <f t="shared" si="10"/>
        <v/>
      </c>
      <c r="X160" s="47"/>
      <c r="Y160" s="26" t="str">
        <f t="shared" si="11"/>
        <v/>
      </c>
      <c r="Z160" s="23"/>
      <c r="AA160" s="45" t="str">
        <f t="shared" si="12"/>
        <v/>
      </c>
      <c r="AB160" s="25"/>
      <c r="AC160" s="45" t="str">
        <f t="shared" si="13"/>
        <v/>
      </c>
      <c r="AD160" s="47"/>
      <c r="AE160" s="26"/>
      <c r="AF160" s="23"/>
      <c r="AG160" s="45" t="str">
        <f t="shared" si="14"/>
        <v/>
      </c>
      <c r="AH160" s="25"/>
      <c r="AI160" s="45" t="str">
        <f t="shared" si="15"/>
        <v/>
      </c>
      <c r="AJ160" s="27">
        <v>0.0</v>
      </c>
      <c r="AK160" s="33"/>
      <c r="AL160" s="26" t="str">
        <f t="shared" si="16"/>
        <v/>
      </c>
      <c r="AM160" s="23"/>
      <c r="AN160" s="45" t="str">
        <f t="shared" si="17"/>
        <v/>
      </c>
      <c r="AO160" s="25"/>
      <c r="AP160" s="45" t="str">
        <f t="shared" si="18"/>
        <v/>
      </c>
      <c r="AQ160" s="29" t="str">
        <f t="shared" si="19"/>
        <v/>
      </c>
      <c r="AR160" s="29">
        <f t="shared" si="20"/>
        <v>0</v>
      </c>
      <c r="AS160" s="29">
        <f t="shared" si="21"/>
        <v>0</v>
      </c>
      <c r="AT160" s="26" t="str">
        <f t="shared" si="22"/>
        <v/>
      </c>
      <c r="AU160" s="23"/>
      <c r="AV160" s="45" t="str">
        <f t="shared" si="23"/>
        <v/>
      </c>
      <c r="AW160" s="25"/>
      <c r="AX160" s="45" t="str">
        <f t="shared" si="24"/>
        <v/>
      </c>
      <c r="AY160" s="47"/>
      <c r="AZ160" s="26" t="str">
        <f t="shared" si="25"/>
        <v/>
      </c>
      <c r="BA160" s="23"/>
      <c r="BB160" s="45" t="str">
        <f t="shared" si="26"/>
        <v/>
      </c>
      <c r="BC160" s="25"/>
      <c r="BD160" s="45" t="str">
        <f t="shared" si="27"/>
        <v/>
      </c>
      <c r="BE160" s="47"/>
      <c r="BF160" s="26"/>
      <c r="BG160" s="23"/>
      <c r="BH160" s="45" t="str">
        <f t="shared" si="28"/>
        <v/>
      </c>
      <c r="BI160" s="25"/>
      <c r="BJ160" s="45" t="str">
        <f t="shared" si="29"/>
        <v/>
      </c>
      <c r="BK160" s="27">
        <v>0.0</v>
      </c>
      <c r="BL160" s="23"/>
      <c r="BM160" s="45" t="str">
        <f t="shared" si="30"/>
        <v/>
      </c>
      <c r="BN160" s="25"/>
      <c r="BO160" s="45" t="str">
        <f t="shared" si="31"/>
        <v/>
      </c>
      <c r="BP160" s="27">
        <v>0.0</v>
      </c>
      <c r="BQ160" s="33"/>
      <c r="BR160" s="23"/>
      <c r="BS160" s="45" t="str">
        <f t="shared" si="32"/>
        <v/>
      </c>
      <c r="BT160" s="25"/>
      <c r="BU160" s="45" t="str">
        <f t="shared" si="33"/>
        <v/>
      </c>
      <c r="BV160" s="29" t="str">
        <f t="shared" si="34"/>
        <v/>
      </c>
      <c r="BW160" s="29">
        <f t="shared" si="35"/>
        <v>0</v>
      </c>
      <c r="BX160" s="29">
        <f t="shared" si="36"/>
        <v>0</v>
      </c>
      <c r="BY160" s="26" t="str">
        <f t="shared" si="37"/>
        <v/>
      </c>
      <c r="BZ160" s="23"/>
      <c r="CA160" s="45" t="str">
        <f t="shared" si="38"/>
        <v/>
      </c>
      <c r="CB160" s="25"/>
      <c r="CC160" s="45" t="str">
        <f t="shared" si="39"/>
        <v/>
      </c>
      <c r="CD160" s="47"/>
      <c r="CE160" s="26" t="str">
        <f t="shared" si="40"/>
        <v/>
      </c>
      <c r="CF160" s="23"/>
      <c r="CG160" s="45" t="str">
        <f t="shared" si="41"/>
        <v/>
      </c>
      <c r="CH160" s="25"/>
      <c r="CI160" s="45" t="str">
        <f t="shared" si="42"/>
        <v/>
      </c>
      <c r="CJ160" s="47"/>
      <c r="CK160" s="26"/>
      <c r="CL160" s="23"/>
      <c r="CM160" s="45" t="str">
        <f t="shared" si="43"/>
        <v/>
      </c>
      <c r="CN160" s="25"/>
      <c r="CO160" s="45" t="str">
        <f t="shared" si="44"/>
        <v/>
      </c>
      <c r="CP160" s="27">
        <v>0.0</v>
      </c>
    </row>
    <row r="161">
      <c r="A161" s="26" t="str">
        <f t="shared" si="1"/>
        <v/>
      </c>
      <c r="B161" s="26"/>
      <c r="C161" s="81"/>
      <c r="D161" s="27"/>
      <c r="E161" s="82"/>
      <c r="F161" s="20"/>
      <c r="G161" s="20"/>
      <c r="H161" s="20"/>
      <c r="I161" s="23"/>
      <c r="J161" s="33"/>
      <c r="K161" s="26" t="str">
        <f t="shared" si="2"/>
        <v/>
      </c>
      <c r="L161" s="23"/>
      <c r="M161" s="45" t="str">
        <f t="shared" si="3"/>
        <v/>
      </c>
      <c r="N161" s="25"/>
      <c r="O161" s="45" t="str">
        <f t="shared" si="4"/>
        <v/>
      </c>
      <c r="P161" s="29" t="str">
        <f t="shared" si="5"/>
        <v/>
      </c>
      <c r="Q161" s="29">
        <f t="shared" si="6"/>
        <v>0</v>
      </c>
      <c r="R161" s="29">
        <f t="shared" si="7"/>
        <v>0</v>
      </c>
      <c r="S161" s="26" t="str">
        <f t="shared" si="8"/>
        <v/>
      </c>
      <c r="T161" s="23"/>
      <c r="U161" s="45" t="str">
        <f t="shared" si="9"/>
        <v/>
      </c>
      <c r="V161" s="25"/>
      <c r="W161" s="45" t="str">
        <f t="shared" si="10"/>
        <v/>
      </c>
      <c r="X161" s="47"/>
      <c r="Y161" s="26" t="str">
        <f t="shared" si="11"/>
        <v/>
      </c>
      <c r="Z161" s="23"/>
      <c r="AA161" s="45" t="str">
        <f t="shared" si="12"/>
        <v/>
      </c>
      <c r="AB161" s="25"/>
      <c r="AC161" s="45" t="str">
        <f t="shared" si="13"/>
        <v/>
      </c>
      <c r="AD161" s="47"/>
      <c r="AE161" s="26"/>
      <c r="AF161" s="23"/>
      <c r="AG161" s="45" t="str">
        <f t="shared" si="14"/>
        <v/>
      </c>
      <c r="AH161" s="25"/>
      <c r="AI161" s="45" t="str">
        <f t="shared" si="15"/>
        <v/>
      </c>
      <c r="AJ161" s="27">
        <v>0.0</v>
      </c>
      <c r="AK161" s="33"/>
      <c r="AL161" s="26" t="str">
        <f t="shared" si="16"/>
        <v/>
      </c>
      <c r="AM161" s="23"/>
      <c r="AN161" s="45" t="str">
        <f t="shared" si="17"/>
        <v/>
      </c>
      <c r="AO161" s="25"/>
      <c r="AP161" s="45" t="str">
        <f t="shared" si="18"/>
        <v/>
      </c>
      <c r="AQ161" s="29" t="str">
        <f t="shared" si="19"/>
        <v/>
      </c>
      <c r="AR161" s="29">
        <f t="shared" si="20"/>
        <v>0</v>
      </c>
      <c r="AS161" s="29">
        <f t="shared" si="21"/>
        <v>0</v>
      </c>
      <c r="AT161" s="26" t="str">
        <f t="shared" si="22"/>
        <v/>
      </c>
      <c r="AU161" s="23"/>
      <c r="AV161" s="45" t="str">
        <f t="shared" si="23"/>
        <v/>
      </c>
      <c r="AW161" s="25"/>
      <c r="AX161" s="45" t="str">
        <f t="shared" si="24"/>
        <v/>
      </c>
      <c r="AY161" s="47"/>
      <c r="AZ161" s="26" t="str">
        <f t="shared" si="25"/>
        <v/>
      </c>
      <c r="BA161" s="23"/>
      <c r="BB161" s="45" t="str">
        <f t="shared" si="26"/>
        <v/>
      </c>
      <c r="BC161" s="25"/>
      <c r="BD161" s="45" t="str">
        <f t="shared" si="27"/>
        <v/>
      </c>
      <c r="BE161" s="47"/>
      <c r="BF161" s="26"/>
      <c r="BG161" s="23"/>
      <c r="BH161" s="45" t="str">
        <f t="shared" si="28"/>
        <v/>
      </c>
      <c r="BI161" s="25"/>
      <c r="BJ161" s="45" t="str">
        <f t="shared" si="29"/>
        <v/>
      </c>
      <c r="BK161" s="27">
        <v>0.0</v>
      </c>
      <c r="BL161" s="23"/>
      <c r="BM161" s="45" t="str">
        <f t="shared" si="30"/>
        <v/>
      </c>
      <c r="BN161" s="25"/>
      <c r="BO161" s="45" t="str">
        <f t="shared" si="31"/>
        <v/>
      </c>
      <c r="BP161" s="27">
        <v>0.0</v>
      </c>
      <c r="BQ161" s="33"/>
      <c r="BR161" s="23"/>
      <c r="BS161" s="45" t="str">
        <f t="shared" si="32"/>
        <v/>
      </c>
      <c r="BT161" s="25"/>
      <c r="BU161" s="45" t="str">
        <f t="shared" si="33"/>
        <v/>
      </c>
      <c r="BV161" s="29" t="str">
        <f t="shared" si="34"/>
        <v/>
      </c>
      <c r="BW161" s="29">
        <f t="shared" si="35"/>
        <v>0</v>
      </c>
      <c r="BX161" s="29">
        <f t="shared" si="36"/>
        <v>0</v>
      </c>
      <c r="BY161" s="26" t="str">
        <f t="shared" si="37"/>
        <v/>
      </c>
      <c r="BZ161" s="23"/>
      <c r="CA161" s="45" t="str">
        <f t="shared" si="38"/>
        <v/>
      </c>
      <c r="CB161" s="25"/>
      <c r="CC161" s="45" t="str">
        <f t="shared" si="39"/>
        <v/>
      </c>
      <c r="CD161" s="47"/>
      <c r="CE161" s="26" t="str">
        <f t="shared" si="40"/>
        <v/>
      </c>
      <c r="CF161" s="23"/>
      <c r="CG161" s="45" t="str">
        <f t="shared" si="41"/>
        <v/>
      </c>
      <c r="CH161" s="25"/>
      <c r="CI161" s="45" t="str">
        <f t="shared" si="42"/>
        <v/>
      </c>
      <c r="CJ161" s="47"/>
      <c r="CK161" s="26"/>
      <c r="CL161" s="23"/>
      <c r="CM161" s="45" t="str">
        <f t="shared" si="43"/>
        <v/>
      </c>
      <c r="CN161" s="25"/>
      <c r="CO161" s="45" t="str">
        <f t="shared" si="44"/>
        <v/>
      </c>
      <c r="CP161" s="27">
        <v>0.0</v>
      </c>
    </row>
    <row r="162">
      <c r="A162" s="26" t="str">
        <f t="shared" si="1"/>
        <v/>
      </c>
      <c r="B162" s="26"/>
      <c r="C162" s="81"/>
      <c r="D162" s="27"/>
      <c r="E162" s="82"/>
      <c r="F162" s="20"/>
      <c r="G162" s="20"/>
      <c r="H162" s="20"/>
      <c r="I162" s="23"/>
      <c r="J162" s="33"/>
      <c r="K162" s="26" t="str">
        <f t="shared" si="2"/>
        <v/>
      </c>
      <c r="L162" s="23"/>
      <c r="M162" s="45" t="str">
        <f t="shared" si="3"/>
        <v/>
      </c>
      <c r="N162" s="25"/>
      <c r="O162" s="45" t="str">
        <f t="shared" si="4"/>
        <v/>
      </c>
      <c r="P162" s="29" t="str">
        <f t="shared" si="5"/>
        <v/>
      </c>
      <c r="Q162" s="29">
        <f t="shared" si="6"/>
        <v>0</v>
      </c>
      <c r="R162" s="29">
        <f t="shared" si="7"/>
        <v>0</v>
      </c>
      <c r="S162" s="26" t="str">
        <f t="shared" si="8"/>
        <v/>
      </c>
      <c r="T162" s="23"/>
      <c r="U162" s="45" t="str">
        <f t="shared" si="9"/>
        <v/>
      </c>
      <c r="V162" s="25"/>
      <c r="W162" s="45" t="str">
        <f t="shared" si="10"/>
        <v/>
      </c>
      <c r="X162" s="47"/>
      <c r="Y162" s="26" t="str">
        <f t="shared" si="11"/>
        <v/>
      </c>
      <c r="Z162" s="23"/>
      <c r="AA162" s="45" t="str">
        <f t="shared" si="12"/>
        <v/>
      </c>
      <c r="AB162" s="25"/>
      <c r="AC162" s="45" t="str">
        <f t="shared" si="13"/>
        <v/>
      </c>
      <c r="AD162" s="47"/>
      <c r="AE162" s="26"/>
      <c r="AF162" s="23"/>
      <c r="AG162" s="45" t="str">
        <f t="shared" si="14"/>
        <v/>
      </c>
      <c r="AH162" s="25"/>
      <c r="AI162" s="45" t="str">
        <f t="shared" si="15"/>
        <v/>
      </c>
      <c r="AJ162" s="27">
        <v>0.0</v>
      </c>
      <c r="AK162" s="33"/>
      <c r="AL162" s="26" t="str">
        <f t="shared" si="16"/>
        <v/>
      </c>
      <c r="AM162" s="23"/>
      <c r="AN162" s="45" t="str">
        <f t="shared" si="17"/>
        <v/>
      </c>
      <c r="AO162" s="25"/>
      <c r="AP162" s="45" t="str">
        <f t="shared" si="18"/>
        <v/>
      </c>
      <c r="AQ162" s="29" t="str">
        <f t="shared" si="19"/>
        <v/>
      </c>
      <c r="AR162" s="29">
        <f t="shared" si="20"/>
        <v>0</v>
      </c>
      <c r="AS162" s="29">
        <f t="shared" si="21"/>
        <v>0</v>
      </c>
      <c r="AT162" s="26" t="str">
        <f t="shared" si="22"/>
        <v/>
      </c>
      <c r="AU162" s="23"/>
      <c r="AV162" s="45" t="str">
        <f t="shared" si="23"/>
        <v/>
      </c>
      <c r="AW162" s="25"/>
      <c r="AX162" s="45" t="str">
        <f t="shared" si="24"/>
        <v/>
      </c>
      <c r="AY162" s="47"/>
      <c r="AZ162" s="26" t="str">
        <f t="shared" si="25"/>
        <v/>
      </c>
      <c r="BA162" s="23"/>
      <c r="BB162" s="45" t="str">
        <f t="shared" si="26"/>
        <v/>
      </c>
      <c r="BC162" s="25"/>
      <c r="BD162" s="45" t="str">
        <f t="shared" si="27"/>
        <v/>
      </c>
      <c r="BE162" s="47"/>
      <c r="BF162" s="26"/>
      <c r="BG162" s="23"/>
      <c r="BH162" s="45" t="str">
        <f t="shared" si="28"/>
        <v/>
      </c>
      <c r="BI162" s="25"/>
      <c r="BJ162" s="45" t="str">
        <f t="shared" si="29"/>
        <v/>
      </c>
      <c r="BK162" s="27">
        <v>0.0</v>
      </c>
      <c r="BL162" s="23"/>
      <c r="BM162" s="45" t="str">
        <f t="shared" si="30"/>
        <v/>
      </c>
      <c r="BN162" s="25"/>
      <c r="BO162" s="45" t="str">
        <f t="shared" si="31"/>
        <v/>
      </c>
      <c r="BP162" s="27">
        <v>0.0</v>
      </c>
      <c r="BQ162" s="33"/>
      <c r="BR162" s="23"/>
      <c r="BS162" s="45" t="str">
        <f t="shared" si="32"/>
        <v/>
      </c>
      <c r="BT162" s="25"/>
      <c r="BU162" s="45" t="str">
        <f t="shared" si="33"/>
        <v/>
      </c>
      <c r="BV162" s="29" t="str">
        <f t="shared" si="34"/>
        <v/>
      </c>
      <c r="BW162" s="29">
        <f t="shared" si="35"/>
        <v>0</v>
      </c>
      <c r="BX162" s="29">
        <f t="shared" si="36"/>
        <v>0</v>
      </c>
      <c r="BY162" s="26" t="str">
        <f t="shared" si="37"/>
        <v/>
      </c>
      <c r="BZ162" s="23"/>
      <c r="CA162" s="45" t="str">
        <f t="shared" si="38"/>
        <v/>
      </c>
      <c r="CB162" s="25"/>
      <c r="CC162" s="45" t="str">
        <f t="shared" si="39"/>
        <v/>
      </c>
      <c r="CD162" s="47"/>
      <c r="CE162" s="26" t="str">
        <f t="shared" si="40"/>
        <v/>
      </c>
      <c r="CF162" s="23"/>
      <c r="CG162" s="45" t="str">
        <f t="shared" si="41"/>
        <v/>
      </c>
      <c r="CH162" s="25"/>
      <c r="CI162" s="45" t="str">
        <f t="shared" si="42"/>
        <v/>
      </c>
      <c r="CJ162" s="47"/>
      <c r="CK162" s="26"/>
      <c r="CL162" s="23"/>
      <c r="CM162" s="45" t="str">
        <f t="shared" si="43"/>
        <v/>
      </c>
      <c r="CN162" s="25"/>
      <c r="CO162" s="45" t="str">
        <f t="shared" si="44"/>
        <v/>
      </c>
      <c r="CP162" s="27">
        <v>0.0</v>
      </c>
    </row>
    <row r="163">
      <c r="A163" s="26" t="str">
        <f t="shared" si="1"/>
        <v/>
      </c>
      <c r="B163" s="26"/>
      <c r="C163" s="81"/>
      <c r="D163" s="27"/>
      <c r="E163" s="82"/>
      <c r="F163" s="20"/>
      <c r="G163" s="20"/>
      <c r="H163" s="20"/>
      <c r="I163" s="23"/>
      <c r="J163" s="33"/>
      <c r="K163" s="26" t="str">
        <f t="shared" si="2"/>
        <v/>
      </c>
      <c r="L163" s="23"/>
      <c r="M163" s="45" t="str">
        <f t="shared" si="3"/>
        <v/>
      </c>
      <c r="N163" s="25"/>
      <c r="O163" s="45" t="str">
        <f t="shared" si="4"/>
        <v/>
      </c>
      <c r="P163" s="29" t="str">
        <f t="shared" si="5"/>
        <v/>
      </c>
      <c r="Q163" s="29">
        <f t="shared" si="6"/>
        <v>0</v>
      </c>
      <c r="R163" s="29">
        <f t="shared" si="7"/>
        <v>0</v>
      </c>
      <c r="S163" s="26" t="str">
        <f t="shared" si="8"/>
        <v/>
      </c>
      <c r="T163" s="23"/>
      <c r="U163" s="45" t="str">
        <f t="shared" si="9"/>
        <v/>
      </c>
      <c r="V163" s="25"/>
      <c r="W163" s="45" t="str">
        <f t="shared" si="10"/>
        <v/>
      </c>
      <c r="X163" s="47"/>
      <c r="Y163" s="26" t="str">
        <f t="shared" si="11"/>
        <v/>
      </c>
      <c r="Z163" s="23"/>
      <c r="AA163" s="45" t="str">
        <f t="shared" si="12"/>
        <v/>
      </c>
      <c r="AB163" s="25"/>
      <c r="AC163" s="45" t="str">
        <f t="shared" si="13"/>
        <v/>
      </c>
      <c r="AD163" s="47"/>
      <c r="AE163" s="26"/>
      <c r="AF163" s="23"/>
      <c r="AG163" s="45" t="str">
        <f t="shared" si="14"/>
        <v/>
      </c>
      <c r="AH163" s="25"/>
      <c r="AI163" s="45" t="str">
        <f t="shared" si="15"/>
        <v/>
      </c>
      <c r="AJ163" s="27">
        <v>0.0</v>
      </c>
      <c r="AK163" s="33"/>
      <c r="AL163" s="26" t="str">
        <f t="shared" si="16"/>
        <v/>
      </c>
      <c r="AM163" s="23"/>
      <c r="AN163" s="45" t="str">
        <f t="shared" si="17"/>
        <v/>
      </c>
      <c r="AO163" s="25"/>
      <c r="AP163" s="45" t="str">
        <f t="shared" si="18"/>
        <v/>
      </c>
      <c r="AQ163" s="29" t="str">
        <f t="shared" si="19"/>
        <v/>
      </c>
      <c r="AR163" s="29">
        <f t="shared" si="20"/>
        <v>0</v>
      </c>
      <c r="AS163" s="29">
        <f t="shared" si="21"/>
        <v>0</v>
      </c>
      <c r="AT163" s="26" t="str">
        <f t="shared" si="22"/>
        <v/>
      </c>
      <c r="AU163" s="23"/>
      <c r="AV163" s="45" t="str">
        <f t="shared" si="23"/>
        <v/>
      </c>
      <c r="AW163" s="25"/>
      <c r="AX163" s="45" t="str">
        <f t="shared" si="24"/>
        <v/>
      </c>
      <c r="AY163" s="47"/>
      <c r="AZ163" s="26" t="str">
        <f t="shared" si="25"/>
        <v/>
      </c>
      <c r="BA163" s="23"/>
      <c r="BB163" s="45" t="str">
        <f t="shared" si="26"/>
        <v/>
      </c>
      <c r="BC163" s="25"/>
      <c r="BD163" s="45" t="str">
        <f t="shared" si="27"/>
        <v/>
      </c>
      <c r="BE163" s="47"/>
      <c r="BF163" s="26"/>
      <c r="BG163" s="23"/>
      <c r="BH163" s="45" t="str">
        <f t="shared" si="28"/>
        <v/>
      </c>
      <c r="BI163" s="25"/>
      <c r="BJ163" s="45" t="str">
        <f t="shared" si="29"/>
        <v/>
      </c>
      <c r="BK163" s="27">
        <v>0.0</v>
      </c>
      <c r="BL163" s="23"/>
      <c r="BM163" s="45" t="str">
        <f t="shared" si="30"/>
        <v/>
      </c>
      <c r="BN163" s="25"/>
      <c r="BO163" s="45" t="str">
        <f t="shared" si="31"/>
        <v/>
      </c>
      <c r="BP163" s="27">
        <v>0.0</v>
      </c>
      <c r="BQ163" s="33"/>
      <c r="BR163" s="23"/>
      <c r="BS163" s="45" t="str">
        <f t="shared" si="32"/>
        <v/>
      </c>
      <c r="BT163" s="25"/>
      <c r="BU163" s="45" t="str">
        <f t="shared" si="33"/>
        <v/>
      </c>
      <c r="BV163" s="29" t="str">
        <f t="shared" si="34"/>
        <v/>
      </c>
      <c r="BW163" s="29">
        <f t="shared" si="35"/>
        <v>0</v>
      </c>
      <c r="BX163" s="29">
        <f t="shared" si="36"/>
        <v>0</v>
      </c>
      <c r="BY163" s="26" t="str">
        <f t="shared" si="37"/>
        <v/>
      </c>
      <c r="BZ163" s="23"/>
      <c r="CA163" s="45" t="str">
        <f t="shared" si="38"/>
        <v/>
      </c>
      <c r="CB163" s="25"/>
      <c r="CC163" s="45" t="str">
        <f t="shared" si="39"/>
        <v/>
      </c>
      <c r="CD163" s="47"/>
      <c r="CE163" s="26" t="str">
        <f t="shared" si="40"/>
        <v/>
      </c>
      <c r="CF163" s="23"/>
      <c r="CG163" s="45" t="str">
        <f t="shared" si="41"/>
        <v/>
      </c>
      <c r="CH163" s="25"/>
      <c r="CI163" s="45" t="str">
        <f t="shared" si="42"/>
        <v/>
      </c>
      <c r="CJ163" s="47"/>
      <c r="CK163" s="26"/>
      <c r="CL163" s="23"/>
      <c r="CM163" s="45" t="str">
        <f t="shared" si="43"/>
        <v/>
      </c>
      <c r="CN163" s="25"/>
      <c r="CO163" s="45" t="str">
        <f t="shared" si="44"/>
        <v/>
      </c>
      <c r="CP163" s="27">
        <v>0.0</v>
      </c>
    </row>
    <row r="164">
      <c r="A164" s="26" t="str">
        <f t="shared" si="1"/>
        <v/>
      </c>
      <c r="B164" s="26"/>
      <c r="C164" s="81"/>
      <c r="D164" s="27"/>
      <c r="E164" s="82"/>
      <c r="F164" s="20"/>
      <c r="G164" s="20"/>
      <c r="H164" s="20"/>
      <c r="I164" s="23"/>
      <c r="J164" s="33"/>
      <c r="K164" s="26" t="str">
        <f t="shared" si="2"/>
        <v/>
      </c>
      <c r="L164" s="23"/>
      <c r="M164" s="45" t="str">
        <f t="shared" si="3"/>
        <v/>
      </c>
      <c r="N164" s="25"/>
      <c r="O164" s="45" t="str">
        <f t="shared" si="4"/>
        <v/>
      </c>
      <c r="P164" s="29" t="str">
        <f t="shared" si="5"/>
        <v/>
      </c>
      <c r="Q164" s="29">
        <f t="shared" si="6"/>
        <v>0</v>
      </c>
      <c r="R164" s="29">
        <f t="shared" si="7"/>
        <v>0</v>
      </c>
      <c r="S164" s="26" t="str">
        <f t="shared" si="8"/>
        <v/>
      </c>
      <c r="T164" s="23"/>
      <c r="U164" s="45" t="str">
        <f t="shared" si="9"/>
        <v/>
      </c>
      <c r="V164" s="25"/>
      <c r="W164" s="45" t="str">
        <f t="shared" si="10"/>
        <v/>
      </c>
      <c r="X164" s="47"/>
      <c r="Y164" s="26" t="str">
        <f t="shared" si="11"/>
        <v/>
      </c>
      <c r="Z164" s="23"/>
      <c r="AA164" s="45" t="str">
        <f t="shared" si="12"/>
        <v/>
      </c>
      <c r="AB164" s="25"/>
      <c r="AC164" s="45" t="str">
        <f t="shared" si="13"/>
        <v/>
      </c>
      <c r="AD164" s="47"/>
      <c r="AE164" s="26"/>
      <c r="AF164" s="23"/>
      <c r="AG164" s="45" t="str">
        <f t="shared" si="14"/>
        <v/>
      </c>
      <c r="AH164" s="25"/>
      <c r="AI164" s="45" t="str">
        <f t="shared" si="15"/>
        <v/>
      </c>
      <c r="AJ164" s="27">
        <v>0.0</v>
      </c>
      <c r="AK164" s="33"/>
      <c r="AL164" s="26" t="str">
        <f t="shared" si="16"/>
        <v/>
      </c>
      <c r="AM164" s="23"/>
      <c r="AN164" s="45" t="str">
        <f t="shared" si="17"/>
        <v/>
      </c>
      <c r="AO164" s="25"/>
      <c r="AP164" s="45" t="str">
        <f t="shared" si="18"/>
        <v/>
      </c>
      <c r="AQ164" s="29" t="str">
        <f t="shared" si="19"/>
        <v/>
      </c>
      <c r="AR164" s="29">
        <f t="shared" si="20"/>
        <v>0</v>
      </c>
      <c r="AS164" s="29">
        <f t="shared" si="21"/>
        <v>0</v>
      </c>
      <c r="AT164" s="26" t="str">
        <f t="shared" si="22"/>
        <v/>
      </c>
      <c r="AU164" s="23"/>
      <c r="AV164" s="45" t="str">
        <f t="shared" si="23"/>
        <v/>
      </c>
      <c r="AW164" s="25"/>
      <c r="AX164" s="45" t="str">
        <f t="shared" si="24"/>
        <v/>
      </c>
      <c r="AY164" s="47"/>
      <c r="AZ164" s="26" t="str">
        <f t="shared" si="25"/>
        <v/>
      </c>
      <c r="BA164" s="23"/>
      <c r="BB164" s="45" t="str">
        <f t="shared" si="26"/>
        <v/>
      </c>
      <c r="BC164" s="25"/>
      <c r="BD164" s="45" t="str">
        <f t="shared" si="27"/>
        <v/>
      </c>
      <c r="BE164" s="47"/>
      <c r="BF164" s="26"/>
      <c r="BG164" s="23"/>
      <c r="BH164" s="45" t="str">
        <f t="shared" si="28"/>
        <v/>
      </c>
      <c r="BI164" s="25"/>
      <c r="BJ164" s="45" t="str">
        <f t="shared" si="29"/>
        <v/>
      </c>
      <c r="BK164" s="27">
        <v>0.0</v>
      </c>
      <c r="BL164" s="23"/>
      <c r="BM164" s="45" t="str">
        <f t="shared" si="30"/>
        <v/>
      </c>
      <c r="BN164" s="25"/>
      <c r="BO164" s="45" t="str">
        <f t="shared" si="31"/>
        <v/>
      </c>
      <c r="BP164" s="27">
        <v>0.0</v>
      </c>
      <c r="BQ164" s="33"/>
      <c r="BR164" s="23"/>
      <c r="BS164" s="45" t="str">
        <f t="shared" si="32"/>
        <v/>
      </c>
      <c r="BT164" s="25"/>
      <c r="BU164" s="45" t="str">
        <f t="shared" si="33"/>
        <v/>
      </c>
      <c r="BV164" s="29" t="str">
        <f t="shared" si="34"/>
        <v/>
      </c>
      <c r="BW164" s="29">
        <f t="shared" si="35"/>
        <v>0</v>
      </c>
      <c r="BX164" s="29">
        <f t="shared" si="36"/>
        <v>0</v>
      </c>
      <c r="BY164" s="26" t="str">
        <f t="shared" si="37"/>
        <v/>
      </c>
      <c r="BZ164" s="23"/>
      <c r="CA164" s="45" t="str">
        <f t="shared" si="38"/>
        <v/>
      </c>
      <c r="CB164" s="25"/>
      <c r="CC164" s="45" t="str">
        <f t="shared" si="39"/>
        <v/>
      </c>
      <c r="CD164" s="47"/>
      <c r="CE164" s="26" t="str">
        <f t="shared" si="40"/>
        <v/>
      </c>
      <c r="CF164" s="23"/>
      <c r="CG164" s="45" t="str">
        <f t="shared" si="41"/>
        <v/>
      </c>
      <c r="CH164" s="25"/>
      <c r="CI164" s="45" t="str">
        <f t="shared" si="42"/>
        <v/>
      </c>
      <c r="CJ164" s="47"/>
      <c r="CK164" s="26"/>
      <c r="CL164" s="23"/>
      <c r="CM164" s="45" t="str">
        <f t="shared" si="43"/>
        <v/>
      </c>
      <c r="CN164" s="25"/>
      <c r="CO164" s="45" t="str">
        <f t="shared" si="44"/>
        <v/>
      </c>
      <c r="CP164" s="27">
        <v>0.0</v>
      </c>
    </row>
    <row r="165">
      <c r="A165" s="26" t="str">
        <f t="shared" si="1"/>
        <v/>
      </c>
      <c r="B165" s="26"/>
      <c r="C165" s="81"/>
      <c r="D165" s="27"/>
      <c r="E165" s="82"/>
      <c r="F165" s="20"/>
      <c r="G165" s="20"/>
      <c r="H165" s="20"/>
      <c r="I165" s="23"/>
      <c r="J165" s="33"/>
      <c r="K165" s="26" t="str">
        <f t="shared" si="2"/>
        <v/>
      </c>
      <c r="L165" s="23"/>
      <c r="M165" s="45" t="str">
        <f t="shared" si="3"/>
        <v/>
      </c>
      <c r="N165" s="25"/>
      <c r="O165" s="45" t="str">
        <f t="shared" si="4"/>
        <v/>
      </c>
      <c r="P165" s="29" t="str">
        <f t="shared" si="5"/>
        <v/>
      </c>
      <c r="Q165" s="29">
        <f t="shared" si="6"/>
        <v>0</v>
      </c>
      <c r="R165" s="29">
        <f t="shared" si="7"/>
        <v>0</v>
      </c>
      <c r="S165" s="26" t="str">
        <f t="shared" si="8"/>
        <v/>
      </c>
      <c r="T165" s="23"/>
      <c r="U165" s="45" t="str">
        <f t="shared" si="9"/>
        <v/>
      </c>
      <c r="V165" s="25"/>
      <c r="W165" s="45" t="str">
        <f t="shared" si="10"/>
        <v/>
      </c>
      <c r="X165" s="47"/>
      <c r="Y165" s="26" t="str">
        <f t="shared" si="11"/>
        <v/>
      </c>
      <c r="Z165" s="23"/>
      <c r="AA165" s="45" t="str">
        <f t="shared" si="12"/>
        <v/>
      </c>
      <c r="AB165" s="25"/>
      <c r="AC165" s="45" t="str">
        <f t="shared" si="13"/>
        <v/>
      </c>
      <c r="AD165" s="47"/>
      <c r="AE165" s="26"/>
      <c r="AF165" s="23"/>
      <c r="AG165" s="45" t="str">
        <f t="shared" si="14"/>
        <v/>
      </c>
      <c r="AH165" s="25"/>
      <c r="AI165" s="45" t="str">
        <f t="shared" si="15"/>
        <v/>
      </c>
      <c r="AJ165" s="27">
        <v>0.0</v>
      </c>
      <c r="AK165" s="33"/>
      <c r="AL165" s="26" t="str">
        <f t="shared" si="16"/>
        <v/>
      </c>
      <c r="AM165" s="23"/>
      <c r="AN165" s="45" t="str">
        <f t="shared" si="17"/>
        <v/>
      </c>
      <c r="AO165" s="25"/>
      <c r="AP165" s="45" t="str">
        <f t="shared" si="18"/>
        <v/>
      </c>
      <c r="AQ165" s="29" t="str">
        <f t="shared" si="19"/>
        <v/>
      </c>
      <c r="AR165" s="29">
        <f t="shared" si="20"/>
        <v>0</v>
      </c>
      <c r="AS165" s="29">
        <f t="shared" si="21"/>
        <v>0</v>
      </c>
      <c r="AT165" s="26" t="str">
        <f t="shared" si="22"/>
        <v/>
      </c>
      <c r="AU165" s="23"/>
      <c r="AV165" s="45" t="str">
        <f t="shared" si="23"/>
        <v/>
      </c>
      <c r="AW165" s="25"/>
      <c r="AX165" s="45" t="str">
        <f t="shared" si="24"/>
        <v/>
      </c>
      <c r="AY165" s="47"/>
      <c r="AZ165" s="26" t="str">
        <f t="shared" si="25"/>
        <v/>
      </c>
      <c r="BA165" s="23"/>
      <c r="BB165" s="45" t="str">
        <f t="shared" si="26"/>
        <v/>
      </c>
      <c r="BC165" s="25"/>
      <c r="BD165" s="45" t="str">
        <f t="shared" si="27"/>
        <v/>
      </c>
      <c r="BE165" s="47"/>
      <c r="BF165" s="26"/>
      <c r="BG165" s="23"/>
      <c r="BH165" s="45" t="str">
        <f t="shared" si="28"/>
        <v/>
      </c>
      <c r="BI165" s="25"/>
      <c r="BJ165" s="45" t="str">
        <f t="shared" si="29"/>
        <v/>
      </c>
      <c r="BK165" s="27">
        <v>0.0</v>
      </c>
      <c r="BL165" s="23"/>
      <c r="BM165" s="45" t="str">
        <f t="shared" si="30"/>
        <v/>
      </c>
      <c r="BN165" s="25"/>
      <c r="BO165" s="45" t="str">
        <f t="shared" si="31"/>
        <v/>
      </c>
      <c r="BP165" s="27">
        <v>0.0</v>
      </c>
      <c r="BQ165" s="33"/>
      <c r="BR165" s="23"/>
      <c r="BS165" s="45" t="str">
        <f t="shared" si="32"/>
        <v/>
      </c>
      <c r="BT165" s="25"/>
      <c r="BU165" s="45" t="str">
        <f t="shared" si="33"/>
        <v/>
      </c>
      <c r="BV165" s="29" t="str">
        <f t="shared" si="34"/>
        <v/>
      </c>
      <c r="BW165" s="29">
        <f t="shared" si="35"/>
        <v>0</v>
      </c>
      <c r="BX165" s="29">
        <f t="shared" si="36"/>
        <v>0</v>
      </c>
      <c r="BY165" s="26" t="str">
        <f t="shared" si="37"/>
        <v/>
      </c>
      <c r="BZ165" s="23"/>
      <c r="CA165" s="45" t="str">
        <f t="shared" si="38"/>
        <v/>
      </c>
      <c r="CB165" s="25"/>
      <c r="CC165" s="45" t="str">
        <f t="shared" si="39"/>
        <v/>
      </c>
      <c r="CD165" s="47"/>
      <c r="CE165" s="26" t="str">
        <f t="shared" si="40"/>
        <v/>
      </c>
      <c r="CF165" s="23"/>
      <c r="CG165" s="45" t="str">
        <f t="shared" si="41"/>
        <v/>
      </c>
      <c r="CH165" s="25"/>
      <c r="CI165" s="45" t="str">
        <f t="shared" si="42"/>
        <v/>
      </c>
      <c r="CJ165" s="47"/>
      <c r="CK165" s="26"/>
      <c r="CL165" s="23"/>
      <c r="CM165" s="45" t="str">
        <f t="shared" si="43"/>
        <v/>
      </c>
      <c r="CN165" s="25"/>
      <c r="CO165" s="45" t="str">
        <f t="shared" si="44"/>
        <v/>
      </c>
      <c r="CP165" s="27">
        <v>0.0</v>
      </c>
    </row>
    <row r="166">
      <c r="A166" s="26" t="str">
        <f t="shared" si="1"/>
        <v/>
      </c>
      <c r="B166" s="26"/>
      <c r="C166" s="81"/>
      <c r="D166" s="27"/>
      <c r="E166" s="82"/>
      <c r="F166" s="20"/>
      <c r="G166" s="20"/>
      <c r="H166" s="20"/>
      <c r="I166" s="23"/>
      <c r="J166" s="33"/>
      <c r="K166" s="26" t="str">
        <f t="shared" si="2"/>
        <v/>
      </c>
      <c r="L166" s="23"/>
      <c r="M166" s="45" t="str">
        <f t="shared" si="3"/>
        <v/>
      </c>
      <c r="N166" s="25"/>
      <c r="O166" s="45" t="str">
        <f t="shared" si="4"/>
        <v/>
      </c>
      <c r="P166" s="29" t="str">
        <f t="shared" si="5"/>
        <v/>
      </c>
      <c r="Q166" s="29">
        <f t="shared" si="6"/>
        <v>0</v>
      </c>
      <c r="R166" s="29">
        <f t="shared" si="7"/>
        <v>0</v>
      </c>
      <c r="S166" s="26" t="str">
        <f t="shared" si="8"/>
        <v/>
      </c>
      <c r="T166" s="23"/>
      <c r="U166" s="45" t="str">
        <f t="shared" si="9"/>
        <v/>
      </c>
      <c r="V166" s="25"/>
      <c r="W166" s="45" t="str">
        <f t="shared" si="10"/>
        <v/>
      </c>
      <c r="X166" s="47"/>
      <c r="Y166" s="26" t="str">
        <f t="shared" si="11"/>
        <v/>
      </c>
      <c r="Z166" s="23"/>
      <c r="AA166" s="45" t="str">
        <f t="shared" si="12"/>
        <v/>
      </c>
      <c r="AB166" s="25"/>
      <c r="AC166" s="45" t="str">
        <f t="shared" si="13"/>
        <v/>
      </c>
      <c r="AD166" s="47"/>
      <c r="AE166" s="26"/>
      <c r="AF166" s="23"/>
      <c r="AG166" s="45" t="str">
        <f t="shared" si="14"/>
        <v/>
      </c>
      <c r="AH166" s="25"/>
      <c r="AI166" s="45" t="str">
        <f t="shared" si="15"/>
        <v/>
      </c>
      <c r="AJ166" s="27">
        <v>0.0</v>
      </c>
      <c r="AK166" s="33"/>
      <c r="AL166" s="26" t="str">
        <f t="shared" si="16"/>
        <v/>
      </c>
      <c r="AM166" s="23"/>
      <c r="AN166" s="45" t="str">
        <f t="shared" si="17"/>
        <v/>
      </c>
      <c r="AO166" s="25"/>
      <c r="AP166" s="45" t="str">
        <f t="shared" si="18"/>
        <v/>
      </c>
      <c r="AQ166" s="29" t="str">
        <f t="shared" si="19"/>
        <v/>
      </c>
      <c r="AR166" s="29">
        <f t="shared" si="20"/>
        <v>0</v>
      </c>
      <c r="AS166" s="29">
        <f t="shared" si="21"/>
        <v>0</v>
      </c>
      <c r="AT166" s="26" t="str">
        <f t="shared" si="22"/>
        <v/>
      </c>
      <c r="AU166" s="23"/>
      <c r="AV166" s="45" t="str">
        <f t="shared" si="23"/>
        <v/>
      </c>
      <c r="AW166" s="25"/>
      <c r="AX166" s="45" t="str">
        <f t="shared" si="24"/>
        <v/>
      </c>
      <c r="AY166" s="47"/>
      <c r="AZ166" s="26" t="str">
        <f t="shared" si="25"/>
        <v/>
      </c>
      <c r="BA166" s="23"/>
      <c r="BB166" s="45" t="str">
        <f t="shared" si="26"/>
        <v/>
      </c>
      <c r="BC166" s="25"/>
      <c r="BD166" s="45" t="str">
        <f t="shared" si="27"/>
        <v/>
      </c>
      <c r="BE166" s="47"/>
      <c r="BF166" s="26"/>
      <c r="BG166" s="23"/>
      <c r="BH166" s="45" t="str">
        <f t="shared" si="28"/>
        <v/>
      </c>
      <c r="BI166" s="25"/>
      <c r="BJ166" s="45" t="str">
        <f t="shared" si="29"/>
        <v/>
      </c>
      <c r="BK166" s="27">
        <v>0.0</v>
      </c>
      <c r="BL166" s="23"/>
      <c r="BM166" s="45" t="str">
        <f t="shared" si="30"/>
        <v/>
      </c>
      <c r="BN166" s="25"/>
      <c r="BO166" s="45" t="str">
        <f t="shared" si="31"/>
        <v/>
      </c>
      <c r="BP166" s="27">
        <v>0.0</v>
      </c>
      <c r="BQ166" s="33"/>
      <c r="BR166" s="23"/>
      <c r="BS166" s="45" t="str">
        <f t="shared" si="32"/>
        <v/>
      </c>
      <c r="BT166" s="25"/>
      <c r="BU166" s="45" t="str">
        <f t="shared" si="33"/>
        <v/>
      </c>
      <c r="BV166" s="29" t="str">
        <f t="shared" si="34"/>
        <v/>
      </c>
      <c r="BW166" s="29">
        <f t="shared" si="35"/>
        <v>0</v>
      </c>
      <c r="BX166" s="29">
        <f t="shared" si="36"/>
        <v>0</v>
      </c>
      <c r="BY166" s="26" t="str">
        <f t="shared" si="37"/>
        <v/>
      </c>
      <c r="BZ166" s="23"/>
      <c r="CA166" s="45" t="str">
        <f t="shared" si="38"/>
        <v/>
      </c>
      <c r="CB166" s="25"/>
      <c r="CC166" s="45" t="str">
        <f t="shared" si="39"/>
        <v/>
      </c>
      <c r="CD166" s="47"/>
      <c r="CE166" s="26" t="str">
        <f t="shared" si="40"/>
        <v/>
      </c>
      <c r="CF166" s="23"/>
      <c r="CG166" s="45" t="str">
        <f t="shared" si="41"/>
        <v/>
      </c>
      <c r="CH166" s="25"/>
      <c r="CI166" s="45" t="str">
        <f t="shared" si="42"/>
        <v/>
      </c>
      <c r="CJ166" s="47"/>
      <c r="CK166" s="26"/>
      <c r="CL166" s="23"/>
      <c r="CM166" s="45" t="str">
        <f t="shared" si="43"/>
        <v/>
      </c>
      <c r="CN166" s="25"/>
      <c r="CO166" s="45" t="str">
        <f t="shared" si="44"/>
        <v/>
      </c>
      <c r="CP166" s="27">
        <v>0.0</v>
      </c>
    </row>
    <row r="167">
      <c r="A167" s="26" t="str">
        <f t="shared" si="1"/>
        <v/>
      </c>
      <c r="B167" s="26"/>
      <c r="C167" s="81"/>
      <c r="D167" s="27"/>
      <c r="E167" s="82"/>
      <c r="F167" s="20"/>
      <c r="G167" s="20"/>
      <c r="H167" s="20"/>
      <c r="I167" s="23"/>
      <c r="J167" s="33"/>
      <c r="K167" s="26" t="str">
        <f t="shared" si="2"/>
        <v/>
      </c>
      <c r="L167" s="23"/>
      <c r="M167" s="45" t="str">
        <f t="shared" si="3"/>
        <v/>
      </c>
      <c r="N167" s="25"/>
      <c r="O167" s="45" t="str">
        <f t="shared" si="4"/>
        <v/>
      </c>
      <c r="P167" s="29" t="str">
        <f t="shared" si="5"/>
        <v/>
      </c>
      <c r="Q167" s="29">
        <f t="shared" si="6"/>
        <v>0</v>
      </c>
      <c r="R167" s="29">
        <f t="shared" si="7"/>
        <v>0</v>
      </c>
      <c r="S167" s="26" t="str">
        <f t="shared" si="8"/>
        <v/>
      </c>
      <c r="T167" s="23"/>
      <c r="U167" s="45" t="str">
        <f t="shared" si="9"/>
        <v/>
      </c>
      <c r="V167" s="25"/>
      <c r="W167" s="45" t="str">
        <f t="shared" si="10"/>
        <v/>
      </c>
      <c r="X167" s="47"/>
      <c r="Y167" s="26" t="str">
        <f t="shared" si="11"/>
        <v/>
      </c>
      <c r="Z167" s="23"/>
      <c r="AA167" s="45" t="str">
        <f t="shared" si="12"/>
        <v/>
      </c>
      <c r="AB167" s="25"/>
      <c r="AC167" s="45" t="str">
        <f t="shared" si="13"/>
        <v/>
      </c>
      <c r="AD167" s="47"/>
      <c r="AE167" s="26"/>
      <c r="AF167" s="23"/>
      <c r="AG167" s="45" t="str">
        <f t="shared" si="14"/>
        <v/>
      </c>
      <c r="AH167" s="25"/>
      <c r="AI167" s="45" t="str">
        <f t="shared" si="15"/>
        <v/>
      </c>
      <c r="AJ167" s="27">
        <v>0.0</v>
      </c>
      <c r="AK167" s="33"/>
      <c r="AL167" s="26" t="str">
        <f t="shared" si="16"/>
        <v/>
      </c>
      <c r="AM167" s="23"/>
      <c r="AN167" s="45" t="str">
        <f t="shared" si="17"/>
        <v/>
      </c>
      <c r="AO167" s="25"/>
      <c r="AP167" s="45" t="str">
        <f t="shared" si="18"/>
        <v/>
      </c>
      <c r="AQ167" s="29" t="str">
        <f t="shared" si="19"/>
        <v/>
      </c>
      <c r="AR167" s="29">
        <f t="shared" si="20"/>
        <v>0</v>
      </c>
      <c r="AS167" s="29">
        <f t="shared" si="21"/>
        <v>0</v>
      </c>
      <c r="AT167" s="26" t="str">
        <f t="shared" si="22"/>
        <v/>
      </c>
      <c r="AU167" s="23"/>
      <c r="AV167" s="45" t="str">
        <f t="shared" si="23"/>
        <v/>
      </c>
      <c r="AW167" s="25"/>
      <c r="AX167" s="45" t="str">
        <f t="shared" si="24"/>
        <v/>
      </c>
      <c r="AY167" s="47"/>
      <c r="AZ167" s="26" t="str">
        <f t="shared" si="25"/>
        <v/>
      </c>
      <c r="BA167" s="23"/>
      <c r="BB167" s="45" t="str">
        <f t="shared" si="26"/>
        <v/>
      </c>
      <c r="BC167" s="25"/>
      <c r="BD167" s="45" t="str">
        <f t="shared" si="27"/>
        <v/>
      </c>
      <c r="BE167" s="47"/>
      <c r="BF167" s="26"/>
      <c r="BG167" s="23"/>
      <c r="BH167" s="45" t="str">
        <f t="shared" si="28"/>
        <v/>
      </c>
      <c r="BI167" s="25"/>
      <c r="BJ167" s="45" t="str">
        <f t="shared" si="29"/>
        <v/>
      </c>
      <c r="BK167" s="27">
        <v>0.0</v>
      </c>
      <c r="BL167" s="23"/>
      <c r="BM167" s="45" t="str">
        <f t="shared" si="30"/>
        <v/>
      </c>
      <c r="BN167" s="25"/>
      <c r="BO167" s="45" t="str">
        <f t="shared" si="31"/>
        <v/>
      </c>
      <c r="BP167" s="27">
        <v>0.0</v>
      </c>
      <c r="BQ167" s="33"/>
      <c r="BR167" s="23"/>
      <c r="BS167" s="45" t="str">
        <f t="shared" si="32"/>
        <v/>
      </c>
      <c r="BT167" s="25"/>
      <c r="BU167" s="45" t="str">
        <f t="shared" si="33"/>
        <v/>
      </c>
      <c r="BV167" s="29" t="str">
        <f t="shared" si="34"/>
        <v/>
      </c>
      <c r="BW167" s="29">
        <f t="shared" si="35"/>
        <v>0</v>
      </c>
      <c r="BX167" s="29">
        <f t="shared" si="36"/>
        <v>0</v>
      </c>
      <c r="BY167" s="26" t="str">
        <f t="shared" si="37"/>
        <v/>
      </c>
      <c r="BZ167" s="23"/>
      <c r="CA167" s="45" t="str">
        <f t="shared" si="38"/>
        <v/>
      </c>
      <c r="CB167" s="25"/>
      <c r="CC167" s="45" t="str">
        <f t="shared" si="39"/>
        <v/>
      </c>
      <c r="CD167" s="47"/>
      <c r="CE167" s="26" t="str">
        <f t="shared" si="40"/>
        <v/>
      </c>
      <c r="CF167" s="23"/>
      <c r="CG167" s="45" t="str">
        <f t="shared" si="41"/>
        <v/>
      </c>
      <c r="CH167" s="25"/>
      <c r="CI167" s="45" t="str">
        <f t="shared" si="42"/>
        <v/>
      </c>
      <c r="CJ167" s="47"/>
      <c r="CK167" s="26"/>
      <c r="CL167" s="23"/>
      <c r="CM167" s="45" t="str">
        <f t="shared" si="43"/>
        <v/>
      </c>
      <c r="CN167" s="25"/>
      <c r="CO167" s="45" t="str">
        <f t="shared" si="44"/>
        <v/>
      </c>
      <c r="CP167" s="27">
        <v>0.0</v>
      </c>
    </row>
    <row r="168">
      <c r="A168" s="26" t="str">
        <f t="shared" si="1"/>
        <v/>
      </c>
      <c r="B168" s="26"/>
      <c r="C168" s="81"/>
      <c r="D168" s="27"/>
      <c r="E168" s="82"/>
      <c r="F168" s="20"/>
      <c r="G168" s="20"/>
      <c r="H168" s="20"/>
      <c r="I168" s="23"/>
      <c r="J168" s="33"/>
      <c r="K168" s="26" t="str">
        <f t="shared" si="2"/>
        <v/>
      </c>
      <c r="L168" s="23"/>
      <c r="M168" s="45" t="str">
        <f t="shared" si="3"/>
        <v/>
      </c>
      <c r="N168" s="25"/>
      <c r="O168" s="45" t="str">
        <f t="shared" si="4"/>
        <v/>
      </c>
      <c r="P168" s="29" t="str">
        <f t="shared" si="5"/>
        <v/>
      </c>
      <c r="Q168" s="29">
        <f t="shared" si="6"/>
        <v>0</v>
      </c>
      <c r="R168" s="29">
        <f t="shared" si="7"/>
        <v>0</v>
      </c>
      <c r="S168" s="26" t="str">
        <f t="shared" si="8"/>
        <v/>
      </c>
      <c r="T168" s="23"/>
      <c r="U168" s="45" t="str">
        <f t="shared" si="9"/>
        <v/>
      </c>
      <c r="V168" s="25"/>
      <c r="W168" s="45" t="str">
        <f t="shared" si="10"/>
        <v/>
      </c>
      <c r="X168" s="47"/>
      <c r="Y168" s="26" t="str">
        <f t="shared" si="11"/>
        <v/>
      </c>
      <c r="Z168" s="23"/>
      <c r="AA168" s="45" t="str">
        <f t="shared" si="12"/>
        <v/>
      </c>
      <c r="AB168" s="25"/>
      <c r="AC168" s="45" t="str">
        <f t="shared" si="13"/>
        <v/>
      </c>
      <c r="AD168" s="47"/>
      <c r="AE168" s="26"/>
      <c r="AF168" s="23"/>
      <c r="AG168" s="45" t="str">
        <f t="shared" si="14"/>
        <v/>
      </c>
      <c r="AH168" s="25"/>
      <c r="AI168" s="45" t="str">
        <f t="shared" si="15"/>
        <v/>
      </c>
      <c r="AJ168" s="27">
        <v>0.0</v>
      </c>
      <c r="AK168" s="33"/>
      <c r="AL168" s="26" t="str">
        <f t="shared" si="16"/>
        <v/>
      </c>
      <c r="AM168" s="23"/>
      <c r="AN168" s="45" t="str">
        <f t="shared" si="17"/>
        <v/>
      </c>
      <c r="AO168" s="25"/>
      <c r="AP168" s="45" t="str">
        <f t="shared" si="18"/>
        <v/>
      </c>
      <c r="AQ168" s="29" t="str">
        <f t="shared" si="19"/>
        <v/>
      </c>
      <c r="AR168" s="29">
        <f t="shared" si="20"/>
        <v>0</v>
      </c>
      <c r="AS168" s="29">
        <f t="shared" si="21"/>
        <v>0</v>
      </c>
      <c r="AT168" s="26" t="str">
        <f t="shared" si="22"/>
        <v/>
      </c>
      <c r="AU168" s="23"/>
      <c r="AV168" s="45" t="str">
        <f t="shared" si="23"/>
        <v/>
      </c>
      <c r="AW168" s="25"/>
      <c r="AX168" s="45" t="str">
        <f t="shared" si="24"/>
        <v/>
      </c>
      <c r="AY168" s="47"/>
      <c r="AZ168" s="26" t="str">
        <f t="shared" si="25"/>
        <v/>
      </c>
      <c r="BA168" s="23"/>
      <c r="BB168" s="45" t="str">
        <f t="shared" si="26"/>
        <v/>
      </c>
      <c r="BC168" s="25"/>
      <c r="BD168" s="45" t="str">
        <f t="shared" si="27"/>
        <v/>
      </c>
      <c r="BE168" s="47"/>
      <c r="BF168" s="26"/>
      <c r="BG168" s="23"/>
      <c r="BH168" s="45" t="str">
        <f t="shared" si="28"/>
        <v/>
      </c>
      <c r="BI168" s="25"/>
      <c r="BJ168" s="45" t="str">
        <f t="shared" si="29"/>
        <v/>
      </c>
      <c r="BK168" s="27">
        <v>0.0</v>
      </c>
      <c r="BL168" s="23"/>
      <c r="BM168" s="45" t="str">
        <f t="shared" si="30"/>
        <v/>
      </c>
      <c r="BN168" s="25"/>
      <c r="BO168" s="45" t="str">
        <f t="shared" si="31"/>
        <v/>
      </c>
      <c r="BP168" s="27">
        <v>0.0</v>
      </c>
      <c r="BQ168" s="33"/>
      <c r="BR168" s="23"/>
      <c r="BS168" s="45" t="str">
        <f t="shared" si="32"/>
        <v/>
      </c>
      <c r="BT168" s="25"/>
      <c r="BU168" s="45" t="str">
        <f t="shared" si="33"/>
        <v/>
      </c>
      <c r="BV168" s="29" t="str">
        <f t="shared" si="34"/>
        <v/>
      </c>
      <c r="BW168" s="29">
        <f t="shared" si="35"/>
        <v>0</v>
      </c>
      <c r="BX168" s="29">
        <f t="shared" si="36"/>
        <v>0</v>
      </c>
      <c r="BY168" s="26" t="str">
        <f t="shared" si="37"/>
        <v/>
      </c>
      <c r="BZ168" s="23"/>
      <c r="CA168" s="45" t="str">
        <f t="shared" si="38"/>
        <v/>
      </c>
      <c r="CB168" s="25"/>
      <c r="CC168" s="45" t="str">
        <f t="shared" si="39"/>
        <v/>
      </c>
      <c r="CD168" s="47"/>
      <c r="CE168" s="26" t="str">
        <f t="shared" si="40"/>
        <v/>
      </c>
      <c r="CF168" s="23"/>
      <c r="CG168" s="45" t="str">
        <f t="shared" si="41"/>
        <v/>
      </c>
      <c r="CH168" s="25"/>
      <c r="CI168" s="45" t="str">
        <f t="shared" si="42"/>
        <v/>
      </c>
      <c r="CJ168" s="47"/>
      <c r="CK168" s="26"/>
      <c r="CL168" s="23"/>
      <c r="CM168" s="45" t="str">
        <f t="shared" si="43"/>
        <v/>
      </c>
      <c r="CN168" s="25"/>
      <c r="CO168" s="45" t="str">
        <f t="shared" si="44"/>
        <v/>
      </c>
      <c r="CP168" s="27">
        <v>0.0</v>
      </c>
    </row>
    <row r="169">
      <c r="A169" s="26" t="str">
        <f t="shared" si="1"/>
        <v/>
      </c>
      <c r="B169" s="26"/>
      <c r="C169" s="81"/>
      <c r="D169" s="27"/>
      <c r="E169" s="82"/>
      <c r="F169" s="20"/>
      <c r="G169" s="20"/>
      <c r="H169" s="20"/>
      <c r="I169" s="23"/>
      <c r="J169" s="33"/>
      <c r="K169" s="26" t="str">
        <f t="shared" si="2"/>
        <v/>
      </c>
      <c r="L169" s="23"/>
      <c r="M169" s="45" t="str">
        <f t="shared" si="3"/>
        <v/>
      </c>
      <c r="N169" s="25"/>
      <c r="O169" s="45" t="str">
        <f t="shared" si="4"/>
        <v/>
      </c>
      <c r="P169" s="29" t="str">
        <f t="shared" si="5"/>
        <v/>
      </c>
      <c r="Q169" s="29">
        <f t="shared" si="6"/>
        <v>0</v>
      </c>
      <c r="R169" s="29">
        <f t="shared" si="7"/>
        <v>0</v>
      </c>
      <c r="S169" s="26" t="str">
        <f t="shared" si="8"/>
        <v/>
      </c>
      <c r="T169" s="23"/>
      <c r="U169" s="45" t="str">
        <f t="shared" si="9"/>
        <v/>
      </c>
      <c r="V169" s="25"/>
      <c r="W169" s="45" t="str">
        <f t="shared" si="10"/>
        <v/>
      </c>
      <c r="X169" s="47"/>
      <c r="Y169" s="26" t="str">
        <f t="shared" si="11"/>
        <v/>
      </c>
      <c r="Z169" s="23"/>
      <c r="AA169" s="45" t="str">
        <f t="shared" si="12"/>
        <v/>
      </c>
      <c r="AB169" s="25"/>
      <c r="AC169" s="45" t="str">
        <f t="shared" si="13"/>
        <v/>
      </c>
      <c r="AD169" s="47"/>
      <c r="AE169" s="26"/>
      <c r="AF169" s="23"/>
      <c r="AG169" s="45" t="str">
        <f t="shared" si="14"/>
        <v/>
      </c>
      <c r="AH169" s="25"/>
      <c r="AI169" s="45" t="str">
        <f t="shared" si="15"/>
        <v/>
      </c>
      <c r="AJ169" s="27">
        <v>0.0</v>
      </c>
      <c r="AK169" s="33"/>
      <c r="AL169" s="26" t="str">
        <f t="shared" si="16"/>
        <v/>
      </c>
      <c r="AM169" s="23"/>
      <c r="AN169" s="45" t="str">
        <f t="shared" si="17"/>
        <v/>
      </c>
      <c r="AO169" s="25"/>
      <c r="AP169" s="45" t="str">
        <f t="shared" si="18"/>
        <v/>
      </c>
      <c r="AQ169" s="29" t="str">
        <f t="shared" si="19"/>
        <v/>
      </c>
      <c r="AR169" s="29">
        <f t="shared" si="20"/>
        <v>0</v>
      </c>
      <c r="AS169" s="29">
        <f t="shared" si="21"/>
        <v>0</v>
      </c>
      <c r="AT169" s="26" t="str">
        <f t="shared" si="22"/>
        <v/>
      </c>
      <c r="AU169" s="23"/>
      <c r="AV169" s="45" t="str">
        <f t="shared" si="23"/>
        <v/>
      </c>
      <c r="AW169" s="25"/>
      <c r="AX169" s="45" t="str">
        <f t="shared" si="24"/>
        <v/>
      </c>
      <c r="AY169" s="47"/>
      <c r="AZ169" s="26" t="str">
        <f t="shared" si="25"/>
        <v/>
      </c>
      <c r="BA169" s="23"/>
      <c r="BB169" s="45" t="str">
        <f t="shared" si="26"/>
        <v/>
      </c>
      <c r="BC169" s="25"/>
      <c r="BD169" s="45" t="str">
        <f t="shared" si="27"/>
        <v/>
      </c>
      <c r="BE169" s="47"/>
      <c r="BF169" s="26"/>
      <c r="BG169" s="23"/>
      <c r="BH169" s="45" t="str">
        <f t="shared" si="28"/>
        <v/>
      </c>
      <c r="BI169" s="25"/>
      <c r="BJ169" s="45" t="str">
        <f t="shared" si="29"/>
        <v/>
      </c>
      <c r="BK169" s="27">
        <v>0.0</v>
      </c>
      <c r="BL169" s="23"/>
      <c r="BM169" s="45" t="str">
        <f t="shared" si="30"/>
        <v/>
      </c>
      <c r="BN169" s="25"/>
      <c r="BO169" s="45" t="str">
        <f t="shared" si="31"/>
        <v/>
      </c>
      <c r="BP169" s="27">
        <v>0.0</v>
      </c>
      <c r="BQ169" s="33"/>
      <c r="BR169" s="23"/>
      <c r="BS169" s="45" t="str">
        <f t="shared" si="32"/>
        <v/>
      </c>
      <c r="BT169" s="25"/>
      <c r="BU169" s="45" t="str">
        <f t="shared" si="33"/>
        <v/>
      </c>
      <c r="BV169" s="29" t="str">
        <f t="shared" si="34"/>
        <v/>
      </c>
      <c r="BW169" s="29">
        <f t="shared" si="35"/>
        <v>0</v>
      </c>
      <c r="BX169" s="29">
        <f t="shared" si="36"/>
        <v>0</v>
      </c>
      <c r="BY169" s="26" t="str">
        <f t="shared" si="37"/>
        <v/>
      </c>
      <c r="BZ169" s="23"/>
      <c r="CA169" s="45" t="str">
        <f t="shared" si="38"/>
        <v/>
      </c>
      <c r="CB169" s="25"/>
      <c r="CC169" s="45" t="str">
        <f t="shared" si="39"/>
        <v/>
      </c>
      <c r="CD169" s="47"/>
      <c r="CE169" s="26" t="str">
        <f t="shared" si="40"/>
        <v/>
      </c>
      <c r="CF169" s="23"/>
      <c r="CG169" s="45" t="str">
        <f t="shared" si="41"/>
        <v/>
      </c>
      <c r="CH169" s="25"/>
      <c r="CI169" s="45" t="str">
        <f t="shared" si="42"/>
        <v/>
      </c>
      <c r="CJ169" s="47"/>
      <c r="CK169" s="26"/>
      <c r="CL169" s="23"/>
      <c r="CM169" s="45" t="str">
        <f t="shared" si="43"/>
        <v/>
      </c>
      <c r="CN169" s="25"/>
      <c r="CO169" s="45" t="str">
        <f t="shared" si="44"/>
        <v/>
      </c>
      <c r="CP169" s="27">
        <v>0.0</v>
      </c>
    </row>
    <row r="170">
      <c r="A170" s="26" t="str">
        <f t="shared" si="1"/>
        <v/>
      </c>
      <c r="B170" s="26"/>
      <c r="C170" s="81"/>
      <c r="D170" s="27"/>
      <c r="E170" s="82"/>
      <c r="F170" s="20"/>
      <c r="G170" s="20"/>
      <c r="H170" s="20"/>
      <c r="I170" s="23"/>
      <c r="J170" s="33"/>
      <c r="K170" s="26" t="str">
        <f t="shared" si="2"/>
        <v/>
      </c>
      <c r="L170" s="23"/>
      <c r="M170" s="45" t="str">
        <f t="shared" si="3"/>
        <v/>
      </c>
      <c r="N170" s="25"/>
      <c r="O170" s="45" t="str">
        <f t="shared" si="4"/>
        <v/>
      </c>
      <c r="P170" s="29" t="str">
        <f t="shared" si="5"/>
        <v/>
      </c>
      <c r="Q170" s="29">
        <f t="shared" si="6"/>
        <v>0</v>
      </c>
      <c r="R170" s="29">
        <f t="shared" si="7"/>
        <v>0</v>
      </c>
      <c r="S170" s="26" t="str">
        <f t="shared" si="8"/>
        <v/>
      </c>
      <c r="T170" s="23"/>
      <c r="U170" s="45" t="str">
        <f t="shared" si="9"/>
        <v/>
      </c>
      <c r="V170" s="25"/>
      <c r="W170" s="45" t="str">
        <f t="shared" si="10"/>
        <v/>
      </c>
      <c r="X170" s="47"/>
      <c r="Y170" s="26" t="str">
        <f t="shared" si="11"/>
        <v/>
      </c>
      <c r="Z170" s="23"/>
      <c r="AA170" s="45" t="str">
        <f t="shared" si="12"/>
        <v/>
      </c>
      <c r="AB170" s="25"/>
      <c r="AC170" s="45" t="str">
        <f t="shared" si="13"/>
        <v/>
      </c>
      <c r="AD170" s="47"/>
      <c r="AE170" s="26"/>
      <c r="AF170" s="23"/>
      <c r="AG170" s="45" t="str">
        <f t="shared" si="14"/>
        <v/>
      </c>
      <c r="AH170" s="25"/>
      <c r="AI170" s="45" t="str">
        <f t="shared" si="15"/>
        <v/>
      </c>
      <c r="AJ170" s="27">
        <v>0.0</v>
      </c>
      <c r="AK170" s="33"/>
      <c r="AL170" s="26" t="str">
        <f t="shared" si="16"/>
        <v/>
      </c>
      <c r="AM170" s="23"/>
      <c r="AN170" s="45" t="str">
        <f t="shared" si="17"/>
        <v/>
      </c>
      <c r="AO170" s="25"/>
      <c r="AP170" s="45" t="str">
        <f t="shared" si="18"/>
        <v/>
      </c>
      <c r="AQ170" s="29" t="str">
        <f t="shared" si="19"/>
        <v/>
      </c>
      <c r="AR170" s="29">
        <f t="shared" si="20"/>
        <v>0</v>
      </c>
      <c r="AS170" s="29">
        <f t="shared" si="21"/>
        <v>0</v>
      </c>
      <c r="AT170" s="26" t="str">
        <f t="shared" si="22"/>
        <v/>
      </c>
      <c r="AU170" s="23"/>
      <c r="AV170" s="45" t="str">
        <f t="shared" si="23"/>
        <v/>
      </c>
      <c r="AW170" s="25"/>
      <c r="AX170" s="45" t="str">
        <f t="shared" si="24"/>
        <v/>
      </c>
      <c r="AY170" s="47"/>
      <c r="AZ170" s="26" t="str">
        <f t="shared" si="25"/>
        <v/>
      </c>
      <c r="BA170" s="23"/>
      <c r="BB170" s="45" t="str">
        <f t="shared" si="26"/>
        <v/>
      </c>
      <c r="BC170" s="25"/>
      <c r="BD170" s="45" t="str">
        <f t="shared" si="27"/>
        <v/>
      </c>
      <c r="BE170" s="47"/>
      <c r="BF170" s="26"/>
      <c r="BG170" s="23"/>
      <c r="BH170" s="45" t="str">
        <f t="shared" si="28"/>
        <v/>
      </c>
      <c r="BI170" s="25"/>
      <c r="BJ170" s="45" t="str">
        <f t="shared" si="29"/>
        <v/>
      </c>
      <c r="BK170" s="27">
        <v>0.0</v>
      </c>
      <c r="BL170" s="23"/>
      <c r="BM170" s="45" t="str">
        <f t="shared" si="30"/>
        <v/>
      </c>
      <c r="BN170" s="25"/>
      <c r="BO170" s="45" t="str">
        <f t="shared" si="31"/>
        <v/>
      </c>
      <c r="BP170" s="27">
        <v>0.0</v>
      </c>
      <c r="BQ170" s="33"/>
      <c r="BR170" s="23"/>
      <c r="BS170" s="45" t="str">
        <f t="shared" si="32"/>
        <v/>
      </c>
      <c r="BT170" s="25"/>
      <c r="BU170" s="45" t="str">
        <f t="shared" si="33"/>
        <v/>
      </c>
      <c r="BV170" s="29" t="str">
        <f t="shared" si="34"/>
        <v/>
      </c>
      <c r="BW170" s="29">
        <f t="shared" si="35"/>
        <v>0</v>
      </c>
      <c r="BX170" s="29">
        <f t="shared" si="36"/>
        <v>0</v>
      </c>
      <c r="BY170" s="26" t="str">
        <f t="shared" si="37"/>
        <v/>
      </c>
      <c r="BZ170" s="23"/>
      <c r="CA170" s="45" t="str">
        <f t="shared" si="38"/>
        <v/>
      </c>
      <c r="CB170" s="25"/>
      <c r="CC170" s="45" t="str">
        <f t="shared" si="39"/>
        <v/>
      </c>
      <c r="CD170" s="47"/>
      <c r="CE170" s="26" t="str">
        <f t="shared" si="40"/>
        <v/>
      </c>
      <c r="CF170" s="23"/>
      <c r="CG170" s="45" t="str">
        <f t="shared" si="41"/>
        <v/>
      </c>
      <c r="CH170" s="25"/>
      <c r="CI170" s="45" t="str">
        <f t="shared" si="42"/>
        <v/>
      </c>
      <c r="CJ170" s="47"/>
      <c r="CK170" s="26"/>
      <c r="CL170" s="23"/>
      <c r="CM170" s="45" t="str">
        <f t="shared" si="43"/>
        <v/>
      </c>
      <c r="CN170" s="25"/>
      <c r="CO170" s="45" t="str">
        <f t="shared" si="44"/>
        <v/>
      </c>
      <c r="CP170" s="27">
        <v>0.0</v>
      </c>
    </row>
    <row r="171">
      <c r="A171" s="26" t="str">
        <f t="shared" si="1"/>
        <v/>
      </c>
      <c r="B171" s="26"/>
      <c r="C171" s="81"/>
      <c r="D171" s="27"/>
      <c r="E171" s="82"/>
      <c r="F171" s="20"/>
      <c r="G171" s="20"/>
      <c r="H171" s="20"/>
      <c r="I171" s="23"/>
      <c r="J171" s="33"/>
      <c r="K171" s="26" t="str">
        <f t="shared" si="2"/>
        <v/>
      </c>
      <c r="L171" s="23"/>
      <c r="M171" s="45" t="str">
        <f t="shared" si="3"/>
        <v/>
      </c>
      <c r="N171" s="25"/>
      <c r="O171" s="45" t="str">
        <f t="shared" si="4"/>
        <v/>
      </c>
      <c r="P171" s="29" t="str">
        <f t="shared" si="5"/>
        <v/>
      </c>
      <c r="Q171" s="29">
        <f t="shared" si="6"/>
        <v>0</v>
      </c>
      <c r="R171" s="29">
        <f t="shared" si="7"/>
        <v>0</v>
      </c>
      <c r="S171" s="26" t="str">
        <f t="shared" si="8"/>
        <v/>
      </c>
      <c r="T171" s="23"/>
      <c r="U171" s="45" t="str">
        <f t="shared" si="9"/>
        <v/>
      </c>
      <c r="V171" s="25"/>
      <c r="W171" s="45" t="str">
        <f t="shared" si="10"/>
        <v/>
      </c>
      <c r="X171" s="47"/>
      <c r="Y171" s="26" t="str">
        <f t="shared" si="11"/>
        <v/>
      </c>
      <c r="Z171" s="23"/>
      <c r="AA171" s="45" t="str">
        <f t="shared" si="12"/>
        <v/>
      </c>
      <c r="AB171" s="25"/>
      <c r="AC171" s="45" t="str">
        <f t="shared" si="13"/>
        <v/>
      </c>
      <c r="AD171" s="47"/>
      <c r="AE171" s="26"/>
      <c r="AF171" s="23"/>
      <c r="AG171" s="45" t="str">
        <f t="shared" si="14"/>
        <v/>
      </c>
      <c r="AH171" s="25"/>
      <c r="AI171" s="45" t="str">
        <f t="shared" si="15"/>
        <v/>
      </c>
      <c r="AJ171" s="27">
        <v>0.0</v>
      </c>
      <c r="AK171" s="33"/>
      <c r="AL171" s="26" t="str">
        <f t="shared" si="16"/>
        <v/>
      </c>
      <c r="AM171" s="23"/>
      <c r="AN171" s="45" t="str">
        <f t="shared" si="17"/>
        <v/>
      </c>
      <c r="AO171" s="25"/>
      <c r="AP171" s="45" t="str">
        <f t="shared" si="18"/>
        <v/>
      </c>
      <c r="AQ171" s="29" t="str">
        <f t="shared" si="19"/>
        <v/>
      </c>
      <c r="AR171" s="29">
        <f t="shared" si="20"/>
        <v>0</v>
      </c>
      <c r="AS171" s="29">
        <f t="shared" si="21"/>
        <v>0</v>
      </c>
      <c r="AT171" s="26" t="str">
        <f t="shared" si="22"/>
        <v/>
      </c>
      <c r="AU171" s="23"/>
      <c r="AV171" s="45" t="str">
        <f t="shared" si="23"/>
        <v/>
      </c>
      <c r="AW171" s="25"/>
      <c r="AX171" s="45" t="str">
        <f t="shared" si="24"/>
        <v/>
      </c>
      <c r="AY171" s="47"/>
      <c r="AZ171" s="26" t="str">
        <f t="shared" si="25"/>
        <v/>
      </c>
      <c r="BA171" s="23"/>
      <c r="BB171" s="45" t="str">
        <f t="shared" si="26"/>
        <v/>
      </c>
      <c r="BC171" s="25"/>
      <c r="BD171" s="45" t="str">
        <f t="shared" si="27"/>
        <v/>
      </c>
      <c r="BE171" s="47"/>
      <c r="BF171" s="26"/>
      <c r="BG171" s="23"/>
      <c r="BH171" s="45" t="str">
        <f t="shared" si="28"/>
        <v/>
      </c>
      <c r="BI171" s="25"/>
      <c r="BJ171" s="45" t="str">
        <f t="shared" si="29"/>
        <v/>
      </c>
      <c r="BK171" s="27">
        <v>0.0</v>
      </c>
      <c r="BL171" s="23"/>
      <c r="BM171" s="45" t="str">
        <f t="shared" si="30"/>
        <v/>
      </c>
      <c r="BN171" s="25"/>
      <c r="BO171" s="45" t="str">
        <f t="shared" si="31"/>
        <v/>
      </c>
      <c r="BP171" s="27">
        <v>0.0</v>
      </c>
      <c r="BQ171" s="33"/>
      <c r="BR171" s="23"/>
      <c r="BS171" s="45" t="str">
        <f t="shared" si="32"/>
        <v/>
      </c>
      <c r="BT171" s="25"/>
      <c r="BU171" s="45" t="str">
        <f t="shared" si="33"/>
        <v/>
      </c>
      <c r="BV171" s="29" t="str">
        <f t="shared" si="34"/>
        <v/>
      </c>
      <c r="BW171" s="29">
        <f t="shared" si="35"/>
        <v>0</v>
      </c>
      <c r="BX171" s="29">
        <f t="shared" si="36"/>
        <v>0</v>
      </c>
      <c r="BY171" s="26" t="str">
        <f t="shared" si="37"/>
        <v/>
      </c>
      <c r="BZ171" s="23"/>
      <c r="CA171" s="45" t="str">
        <f t="shared" si="38"/>
        <v/>
      </c>
      <c r="CB171" s="25"/>
      <c r="CC171" s="45" t="str">
        <f t="shared" si="39"/>
        <v/>
      </c>
      <c r="CD171" s="47"/>
      <c r="CE171" s="26" t="str">
        <f t="shared" si="40"/>
        <v/>
      </c>
      <c r="CF171" s="23"/>
      <c r="CG171" s="45" t="str">
        <f t="shared" si="41"/>
        <v/>
      </c>
      <c r="CH171" s="25"/>
      <c r="CI171" s="45" t="str">
        <f t="shared" si="42"/>
        <v/>
      </c>
      <c r="CJ171" s="47"/>
      <c r="CK171" s="26"/>
      <c r="CL171" s="23"/>
      <c r="CM171" s="45" t="str">
        <f t="shared" si="43"/>
        <v/>
      </c>
      <c r="CN171" s="25"/>
      <c r="CO171" s="45" t="str">
        <f t="shared" si="44"/>
        <v/>
      </c>
      <c r="CP171" s="27">
        <v>0.0</v>
      </c>
    </row>
    <row r="172">
      <c r="A172" s="26" t="str">
        <f t="shared" si="1"/>
        <v/>
      </c>
      <c r="B172" s="26"/>
      <c r="C172" s="81"/>
      <c r="D172" s="27"/>
      <c r="E172" s="82"/>
      <c r="F172" s="20"/>
      <c r="G172" s="20"/>
      <c r="H172" s="20"/>
      <c r="I172" s="23"/>
      <c r="J172" s="33"/>
      <c r="K172" s="26" t="str">
        <f t="shared" si="2"/>
        <v/>
      </c>
      <c r="L172" s="23"/>
      <c r="M172" s="45" t="str">
        <f t="shared" si="3"/>
        <v/>
      </c>
      <c r="N172" s="25"/>
      <c r="O172" s="45" t="str">
        <f t="shared" si="4"/>
        <v/>
      </c>
      <c r="P172" s="29" t="str">
        <f t="shared" si="5"/>
        <v/>
      </c>
      <c r="Q172" s="29">
        <f t="shared" si="6"/>
        <v>0</v>
      </c>
      <c r="R172" s="29">
        <f t="shared" si="7"/>
        <v>0</v>
      </c>
      <c r="S172" s="26" t="str">
        <f t="shared" si="8"/>
        <v/>
      </c>
      <c r="T172" s="23"/>
      <c r="U172" s="45" t="str">
        <f t="shared" si="9"/>
        <v/>
      </c>
      <c r="V172" s="25"/>
      <c r="W172" s="45" t="str">
        <f t="shared" si="10"/>
        <v/>
      </c>
      <c r="X172" s="47"/>
      <c r="Y172" s="26" t="str">
        <f t="shared" si="11"/>
        <v/>
      </c>
      <c r="Z172" s="23"/>
      <c r="AA172" s="45" t="str">
        <f t="shared" si="12"/>
        <v/>
      </c>
      <c r="AB172" s="25"/>
      <c r="AC172" s="45" t="str">
        <f t="shared" si="13"/>
        <v/>
      </c>
      <c r="AD172" s="47"/>
      <c r="AE172" s="26"/>
      <c r="AF172" s="23"/>
      <c r="AG172" s="45" t="str">
        <f t="shared" si="14"/>
        <v/>
      </c>
      <c r="AH172" s="25"/>
      <c r="AI172" s="45" t="str">
        <f t="shared" si="15"/>
        <v/>
      </c>
      <c r="AJ172" s="27">
        <v>0.0</v>
      </c>
      <c r="AK172" s="33"/>
      <c r="AL172" s="26" t="str">
        <f t="shared" si="16"/>
        <v/>
      </c>
      <c r="AM172" s="23"/>
      <c r="AN172" s="45" t="str">
        <f t="shared" si="17"/>
        <v/>
      </c>
      <c r="AO172" s="25"/>
      <c r="AP172" s="45" t="str">
        <f t="shared" si="18"/>
        <v/>
      </c>
      <c r="AQ172" s="29" t="str">
        <f t="shared" si="19"/>
        <v/>
      </c>
      <c r="AR172" s="29">
        <f t="shared" si="20"/>
        <v>0</v>
      </c>
      <c r="AS172" s="29">
        <f t="shared" si="21"/>
        <v>0</v>
      </c>
      <c r="AT172" s="26" t="str">
        <f t="shared" si="22"/>
        <v/>
      </c>
      <c r="AU172" s="23"/>
      <c r="AV172" s="45" t="str">
        <f t="shared" si="23"/>
        <v/>
      </c>
      <c r="AW172" s="25"/>
      <c r="AX172" s="45" t="str">
        <f t="shared" si="24"/>
        <v/>
      </c>
      <c r="AY172" s="47"/>
      <c r="AZ172" s="26" t="str">
        <f t="shared" si="25"/>
        <v/>
      </c>
      <c r="BA172" s="23"/>
      <c r="BB172" s="45" t="str">
        <f t="shared" si="26"/>
        <v/>
      </c>
      <c r="BC172" s="25"/>
      <c r="BD172" s="45" t="str">
        <f t="shared" si="27"/>
        <v/>
      </c>
      <c r="BE172" s="47"/>
      <c r="BF172" s="26"/>
      <c r="BG172" s="23"/>
      <c r="BH172" s="45" t="str">
        <f t="shared" si="28"/>
        <v/>
      </c>
      <c r="BI172" s="25"/>
      <c r="BJ172" s="45" t="str">
        <f t="shared" si="29"/>
        <v/>
      </c>
      <c r="BK172" s="27">
        <v>0.0</v>
      </c>
      <c r="BL172" s="23"/>
      <c r="BM172" s="45" t="str">
        <f t="shared" si="30"/>
        <v/>
      </c>
      <c r="BN172" s="25"/>
      <c r="BO172" s="45" t="str">
        <f t="shared" si="31"/>
        <v/>
      </c>
      <c r="BP172" s="27">
        <v>0.0</v>
      </c>
      <c r="BQ172" s="33"/>
      <c r="BR172" s="23"/>
      <c r="BS172" s="45" t="str">
        <f t="shared" si="32"/>
        <v/>
      </c>
      <c r="BT172" s="25"/>
      <c r="BU172" s="45" t="str">
        <f t="shared" si="33"/>
        <v/>
      </c>
      <c r="BV172" s="29" t="str">
        <f t="shared" si="34"/>
        <v/>
      </c>
      <c r="BW172" s="29">
        <f t="shared" si="35"/>
        <v>0</v>
      </c>
      <c r="BX172" s="29">
        <f t="shared" si="36"/>
        <v>0</v>
      </c>
      <c r="BY172" s="26" t="str">
        <f t="shared" si="37"/>
        <v/>
      </c>
      <c r="BZ172" s="23"/>
      <c r="CA172" s="45" t="str">
        <f t="shared" si="38"/>
        <v/>
      </c>
      <c r="CB172" s="25"/>
      <c r="CC172" s="45" t="str">
        <f t="shared" si="39"/>
        <v/>
      </c>
      <c r="CD172" s="47"/>
      <c r="CE172" s="26" t="str">
        <f t="shared" si="40"/>
        <v/>
      </c>
      <c r="CF172" s="23"/>
      <c r="CG172" s="45" t="str">
        <f t="shared" si="41"/>
        <v/>
      </c>
      <c r="CH172" s="25"/>
      <c r="CI172" s="45" t="str">
        <f t="shared" si="42"/>
        <v/>
      </c>
      <c r="CJ172" s="47"/>
      <c r="CK172" s="26"/>
      <c r="CL172" s="23"/>
      <c r="CM172" s="45" t="str">
        <f t="shared" si="43"/>
        <v/>
      </c>
      <c r="CN172" s="25"/>
      <c r="CO172" s="45" t="str">
        <f t="shared" si="44"/>
        <v/>
      </c>
      <c r="CP172" s="27">
        <v>0.0</v>
      </c>
    </row>
    <row r="173">
      <c r="A173" s="26" t="str">
        <f t="shared" si="1"/>
        <v/>
      </c>
      <c r="B173" s="26"/>
      <c r="C173" s="81"/>
      <c r="D173" s="27"/>
      <c r="E173" s="82"/>
      <c r="F173" s="20"/>
      <c r="G173" s="20"/>
      <c r="H173" s="20"/>
      <c r="I173" s="23"/>
      <c r="J173" s="33"/>
      <c r="K173" s="26" t="str">
        <f t="shared" si="2"/>
        <v/>
      </c>
      <c r="L173" s="23"/>
      <c r="M173" s="45" t="str">
        <f t="shared" si="3"/>
        <v/>
      </c>
      <c r="N173" s="25"/>
      <c r="O173" s="45" t="str">
        <f t="shared" si="4"/>
        <v/>
      </c>
      <c r="P173" s="29" t="str">
        <f t="shared" si="5"/>
        <v/>
      </c>
      <c r="Q173" s="29">
        <f t="shared" si="6"/>
        <v>0</v>
      </c>
      <c r="R173" s="29">
        <f t="shared" si="7"/>
        <v>0</v>
      </c>
      <c r="S173" s="26" t="str">
        <f t="shared" si="8"/>
        <v/>
      </c>
      <c r="T173" s="23"/>
      <c r="U173" s="45" t="str">
        <f t="shared" si="9"/>
        <v/>
      </c>
      <c r="V173" s="25"/>
      <c r="W173" s="45" t="str">
        <f t="shared" si="10"/>
        <v/>
      </c>
      <c r="X173" s="47"/>
      <c r="Y173" s="26" t="str">
        <f t="shared" si="11"/>
        <v/>
      </c>
      <c r="Z173" s="23"/>
      <c r="AA173" s="45" t="str">
        <f t="shared" si="12"/>
        <v/>
      </c>
      <c r="AB173" s="25"/>
      <c r="AC173" s="45" t="str">
        <f t="shared" si="13"/>
        <v/>
      </c>
      <c r="AD173" s="47"/>
      <c r="AE173" s="26"/>
      <c r="AF173" s="23"/>
      <c r="AG173" s="45" t="str">
        <f t="shared" si="14"/>
        <v/>
      </c>
      <c r="AH173" s="25"/>
      <c r="AI173" s="45" t="str">
        <f t="shared" si="15"/>
        <v/>
      </c>
      <c r="AJ173" s="27">
        <v>0.0</v>
      </c>
      <c r="AK173" s="33"/>
      <c r="AL173" s="26" t="str">
        <f t="shared" si="16"/>
        <v/>
      </c>
      <c r="AM173" s="23"/>
      <c r="AN173" s="45" t="str">
        <f t="shared" si="17"/>
        <v/>
      </c>
      <c r="AO173" s="25"/>
      <c r="AP173" s="45" t="str">
        <f t="shared" si="18"/>
        <v/>
      </c>
      <c r="AQ173" s="29" t="str">
        <f t="shared" si="19"/>
        <v/>
      </c>
      <c r="AR173" s="29">
        <f t="shared" si="20"/>
        <v>0</v>
      </c>
      <c r="AS173" s="29">
        <f t="shared" si="21"/>
        <v>0</v>
      </c>
      <c r="AT173" s="26" t="str">
        <f t="shared" si="22"/>
        <v/>
      </c>
      <c r="AU173" s="23"/>
      <c r="AV173" s="45" t="str">
        <f t="shared" si="23"/>
        <v/>
      </c>
      <c r="AW173" s="25"/>
      <c r="AX173" s="45" t="str">
        <f t="shared" si="24"/>
        <v/>
      </c>
      <c r="AY173" s="47"/>
      <c r="AZ173" s="26" t="str">
        <f t="shared" si="25"/>
        <v/>
      </c>
      <c r="BA173" s="23"/>
      <c r="BB173" s="45" t="str">
        <f t="shared" si="26"/>
        <v/>
      </c>
      <c r="BC173" s="25"/>
      <c r="BD173" s="45" t="str">
        <f t="shared" si="27"/>
        <v/>
      </c>
      <c r="BE173" s="47"/>
      <c r="BF173" s="26"/>
      <c r="BG173" s="23"/>
      <c r="BH173" s="45" t="str">
        <f t="shared" si="28"/>
        <v/>
      </c>
      <c r="BI173" s="25"/>
      <c r="BJ173" s="45" t="str">
        <f t="shared" si="29"/>
        <v/>
      </c>
      <c r="BK173" s="27">
        <v>0.0</v>
      </c>
      <c r="BL173" s="23"/>
      <c r="BM173" s="45" t="str">
        <f t="shared" si="30"/>
        <v/>
      </c>
      <c r="BN173" s="25"/>
      <c r="BO173" s="45" t="str">
        <f t="shared" si="31"/>
        <v/>
      </c>
      <c r="BP173" s="27">
        <v>0.0</v>
      </c>
      <c r="BQ173" s="33"/>
      <c r="BR173" s="23"/>
      <c r="BS173" s="45" t="str">
        <f t="shared" si="32"/>
        <v/>
      </c>
      <c r="BT173" s="25"/>
      <c r="BU173" s="45" t="str">
        <f t="shared" si="33"/>
        <v/>
      </c>
      <c r="BV173" s="29" t="str">
        <f t="shared" si="34"/>
        <v/>
      </c>
      <c r="BW173" s="29">
        <f t="shared" si="35"/>
        <v>0</v>
      </c>
      <c r="BX173" s="29">
        <f t="shared" si="36"/>
        <v>0</v>
      </c>
      <c r="BY173" s="26" t="str">
        <f t="shared" si="37"/>
        <v/>
      </c>
      <c r="BZ173" s="23"/>
      <c r="CA173" s="45" t="str">
        <f t="shared" si="38"/>
        <v/>
      </c>
      <c r="CB173" s="25"/>
      <c r="CC173" s="45" t="str">
        <f t="shared" si="39"/>
        <v/>
      </c>
      <c r="CD173" s="47"/>
      <c r="CE173" s="26" t="str">
        <f t="shared" si="40"/>
        <v/>
      </c>
      <c r="CF173" s="23"/>
      <c r="CG173" s="45" t="str">
        <f t="shared" si="41"/>
        <v/>
      </c>
      <c r="CH173" s="25"/>
      <c r="CI173" s="45" t="str">
        <f t="shared" si="42"/>
        <v/>
      </c>
      <c r="CJ173" s="47"/>
      <c r="CK173" s="26"/>
      <c r="CL173" s="23"/>
      <c r="CM173" s="45" t="str">
        <f t="shared" si="43"/>
        <v/>
      </c>
      <c r="CN173" s="25"/>
      <c r="CO173" s="45" t="str">
        <f t="shared" si="44"/>
        <v/>
      </c>
      <c r="CP173" s="27">
        <v>0.0</v>
      </c>
    </row>
    <row r="174">
      <c r="A174" s="26" t="str">
        <f t="shared" si="1"/>
        <v/>
      </c>
      <c r="B174" s="26"/>
      <c r="C174" s="81"/>
      <c r="D174" s="27"/>
      <c r="E174" s="82"/>
      <c r="F174" s="20"/>
      <c r="G174" s="20"/>
      <c r="H174" s="20"/>
      <c r="I174" s="23"/>
      <c r="J174" s="33"/>
      <c r="K174" s="26" t="str">
        <f t="shared" si="2"/>
        <v/>
      </c>
      <c r="L174" s="23"/>
      <c r="M174" s="45" t="str">
        <f t="shared" si="3"/>
        <v/>
      </c>
      <c r="N174" s="25"/>
      <c r="O174" s="45" t="str">
        <f t="shared" si="4"/>
        <v/>
      </c>
      <c r="P174" s="29" t="str">
        <f t="shared" si="5"/>
        <v/>
      </c>
      <c r="Q174" s="29">
        <f t="shared" si="6"/>
        <v>0</v>
      </c>
      <c r="R174" s="29">
        <f t="shared" si="7"/>
        <v>0</v>
      </c>
      <c r="S174" s="26" t="str">
        <f t="shared" si="8"/>
        <v/>
      </c>
      <c r="T174" s="23"/>
      <c r="U174" s="45" t="str">
        <f t="shared" si="9"/>
        <v/>
      </c>
      <c r="V174" s="25"/>
      <c r="W174" s="45" t="str">
        <f t="shared" si="10"/>
        <v/>
      </c>
      <c r="X174" s="47"/>
      <c r="Y174" s="26" t="str">
        <f t="shared" si="11"/>
        <v/>
      </c>
      <c r="Z174" s="23"/>
      <c r="AA174" s="45" t="str">
        <f t="shared" si="12"/>
        <v/>
      </c>
      <c r="AB174" s="25"/>
      <c r="AC174" s="45" t="str">
        <f t="shared" si="13"/>
        <v/>
      </c>
      <c r="AD174" s="47"/>
      <c r="AE174" s="26"/>
      <c r="AF174" s="23"/>
      <c r="AG174" s="45" t="str">
        <f t="shared" si="14"/>
        <v/>
      </c>
      <c r="AH174" s="25"/>
      <c r="AI174" s="45" t="str">
        <f t="shared" si="15"/>
        <v/>
      </c>
      <c r="AJ174" s="27">
        <v>0.0</v>
      </c>
      <c r="AK174" s="33"/>
      <c r="AL174" s="26" t="str">
        <f t="shared" si="16"/>
        <v/>
      </c>
      <c r="AM174" s="23"/>
      <c r="AN174" s="45" t="str">
        <f t="shared" si="17"/>
        <v/>
      </c>
      <c r="AO174" s="25"/>
      <c r="AP174" s="45" t="str">
        <f t="shared" si="18"/>
        <v/>
      </c>
      <c r="AQ174" s="29" t="str">
        <f t="shared" si="19"/>
        <v/>
      </c>
      <c r="AR174" s="29">
        <f t="shared" si="20"/>
        <v>0</v>
      </c>
      <c r="AS174" s="29">
        <f t="shared" si="21"/>
        <v>0</v>
      </c>
      <c r="AT174" s="26" t="str">
        <f t="shared" si="22"/>
        <v/>
      </c>
      <c r="AU174" s="23"/>
      <c r="AV174" s="45" t="str">
        <f t="shared" si="23"/>
        <v/>
      </c>
      <c r="AW174" s="25"/>
      <c r="AX174" s="45" t="str">
        <f t="shared" si="24"/>
        <v/>
      </c>
      <c r="AY174" s="47"/>
      <c r="AZ174" s="26" t="str">
        <f t="shared" si="25"/>
        <v/>
      </c>
      <c r="BA174" s="23"/>
      <c r="BB174" s="45" t="str">
        <f t="shared" si="26"/>
        <v/>
      </c>
      <c r="BC174" s="25"/>
      <c r="BD174" s="45" t="str">
        <f t="shared" si="27"/>
        <v/>
      </c>
      <c r="BE174" s="47"/>
      <c r="BF174" s="26"/>
      <c r="BG174" s="23"/>
      <c r="BH174" s="45" t="str">
        <f t="shared" si="28"/>
        <v/>
      </c>
      <c r="BI174" s="25"/>
      <c r="BJ174" s="45" t="str">
        <f t="shared" si="29"/>
        <v/>
      </c>
      <c r="BK174" s="27">
        <v>0.0</v>
      </c>
      <c r="BL174" s="23"/>
      <c r="BM174" s="45" t="str">
        <f t="shared" si="30"/>
        <v/>
      </c>
      <c r="BN174" s="25"/>
      <c r="BO174" s="45" t="str">
        <f t="shared" si="31"/>
        <v/>
      </c>
      <c r="BP174" s="27">
        <v>0.0</v>
      </c>
      <c r="BQ174" s="33"/>
      <c r="BR174" s="23"/>
      <c r="BS174" s="45" t="str">
        <f t="shared" si="32"/>
        <v/>
      </c>
      <c r="BT174" s="25"/>
      <c r="BU174" s="45" t="str">
        <f t="shared" si="33"/>
        <v/>
      </c>
      <c r="BV174" s="29" t="str">
        <f t="shared" si="34"/>
        <v/>
      </c>
      <c r="BW174" s="29">
        <f t="shared" si="35"/>
        <v>0</v>
      </c>
      <c r="BX174" s="29">
        <f t="shared" si="36"/>
        <v>0</v>
      </c>
      <c r="BY174" s="26" t="str">
        <f t="shared" si="37"/>
        <v/>
      </c>
      <c r="BZ174" s="23"/>
      <c r="CA174" s="45" t="str">
        <f t="shared" si="38"/>
        <v/>
      </c>
      <c r="CB174" s="25"/>
      <c r="CC174" s="45" t="str">
        <f t="shared" si="39"/>
        <v/>
      </c>
      <c r="CD174" s="47"/>
      <c r="CE174" s="26" t="str">
        <f t="shared" si="40"/>
        <v/>
      </c>
      <c r="CF174" s="23"/>
      <c r="CG174" s="45" t="str">
        <f t="shared" si="41"/>
        <v/>
      </c>
      <c r="CH174" s="25"/>
      <c r="CI174" s="45" t="str">
        <f t="shared" si="42"/>
        <v/>
      </c>
      <c r="CJ174" s="47"/>
      <c r="CK174" s="26"/>
      <c r="CL174" s="23"/>
      <c r="CM174" s="45" t="str">
        <f t="shared" si="43"/>
        <v/>
      </c>
      <c r="CN174" s="25"/>
      <c r="CO174" s="45" t="str">
        <f t="shared" si="44"/>
        <v/>
      </c>
      <c r="CP174" s="27">
        <v>0.0</v>
      </c>
    </row>
    <row r="175">
      <c r="A175" s="26" t="str">
        <f t="shared" si="1"/>
        <v/>
      </c>
      <c r="B175" s="26"/>
      <c r="C175" s="81"/>
      <c r="D175" s="27"/>
      <c r="E175" s="82"/>
      <c r="F175" s="20"/>
      <c r="G175" s="20"/>
      <c r="H175" s="20"/>
      <c r="I175" s="23"/>
      <c r="J175" s="33"/>
      <c r="K175" s="26" t="str">
        <f t="shared" si="2"/>
        <v/>
      </c>
      <c r="L175" s="23"/>
      <c r="M175" s="45" t="str">
        <f t="shared" si="3"/>
        <v/>
      </c>
      <c r="N175" s="25"/>
      <c r="O175" s="45" t="str">
        <f t="shared" si="4"/>
        <v/>
      </c>
      <c r="P175" s="29" t="str">
        <f t="shared" si="5"/>
        <v/>
      </c>
      <c r="Q175" s="29">
        <f t="shared" si="6"/>
        <v>0</v>
      </c>
      <c r="R175" s="29">
        <f t="shared" si="7"/>
        <v>0</v>
      </c>
      <c r="S175" s="26" t="str">
        <f t="shared" si="8"/>
        <v/>
      </c>
      <c r="T175" s="23"/>
      <c r="U175" s="45" t="str">
        <f t="shared" si="9"/>
        <v/>
      </c>
      <c r="V175" s="25"/>
      <c r="W175" s="45" t="str">
        <f t="shared" si="10"/>
        <v/>
      </c>
      <c r="X175" s="47"/>
      <c r="Y175" s="26" t="str">
        <f t="shared" si="11"/>
        <v/>
      </c>
      <c r="Z175" s="23"/>
      <c r="AA175" s="45" t="str">
        <f t="shared" si="12"/>
        <v/>
      </c>
      <c r="AB175" s="25"/>
      <c r="AC175" s="45" t="str">
        <f t="shared" si="13"/>
        <v/>
      </c>
      <c r="AD175" s="47"/>
      <c r="AE175" s="26"/>
      <c r="AF175" s="23"/>
      <c r="AG175" s="45" t="str">
        <f t="shared" si="14"/>
        <v/>
      </c>
      <c r="AH175" s="25"/>
      <c r="AI175" s="45" t="str">
        <f t="shared" si="15"/>
        <v/>
      </c>
      <c r="AJ175" s="27">
        <v>0.0</v>
      </c>
      <c r="AK175" s="33"/>
      <c r="AL175" s="26" t="str">
        <f t="shared" si="16"/>
        <v/>
      </c>
      <c r="AM175" s="23"/>
      <c r="AN175" s="45" t="str">
        <f t="shared" si="17"/>
        <v/>
      </c>
      <c r="AO175" s="25"/>
      <c r="AP175" s="45" t="str">
        <f t="shared" si="18"/>
        <v/>
      </c>
      <c r="AQ175" s="29" t="str">
        <f t="shared" si="19"/>
        <v/>
      </c>
      <c r="AR175" s="29">
        <f t="shared" si="20"/>
        <v>0</v>
      </c>
      <c r="AS175" s="29">
        <f t="shared" si="21"/>
        <v>0</v>
      </c>
      <c r="AT175" s="26" t="str">
        <f t="shared" si="22"/>
        <v/>
      </c>
      <c r="AU175" s="23"/>
      <c r="AV175" s="45" t="str">
        <f t="shared" si="23"/>
        <v/>
      </c>
      <c r="AW175" s="25"/>
      <c r="AX175" s="45" t="str">
        <f t="shared" si="24"/>
        <v/>
      </c>
      <c r="AY175" s="47"/>
      <c r="AZ175" s="26" t="str">
        <f t="shared" si="25"/>
        <v/>
      </c>
      <c r="BA175" s="23"/>
      <c r="BB175" s="45" t="str">
        <f t="shared" si="26"/>
        <v/>
      </c>
      <c r="BC175" s="25"/>
      <c r="BD175" s="45" t="str">
        <f t="shared" si="27"/>
        <v/>
      </c>
      <c r="BE175" s="47"/>
      <c r="BF175" s="26"/>
      <c r="BG175" s="23"/>
      <c r="BH175" s="45" t="str">
        <f t="shared" si="28"/>
        <v/>
      </c>
      <c r="BI175" s="25"/>
      <c r="BJ175" s="45" t="str">
        <f t="shared" si="29"/>
        <v/>
      </c>
      <c r="BK175" s="27">
        <v>0.0</v>
      </c>
      <c r="BL175" s="23"/>
      <c r="BM175" s="45" t="str">
        <f t="shared" si="30"/>
        <v/>
      </c>
      <c r="BN175" s="25"/>
      <c r="BO175" s="45" t="str">
        <f t="shared" si="31"/>
        <v/>
      </c>
      <c r="BP175" s="27">
        <v>0.0</v>
      </c>
      <c r="BQ175" s="33"/>
      <c r="BR175" s="23"/>
      <c r="BS175" s="45" t="str">
        <f t="shared" si="32"/>
        <v/>
      </c>
      <c r="BT175" s="25"/>
      <c r="BU175" s="45" t="str">
        <f t="shared" si="33"/>
        <v/>
      </c>
      <c r="BV175" s="29" t="str">
        <f t="shared" si="34"/>
        <v/>
      </c>
      <c r="BW175" s="29">
        <f t="shared" si="35"/>
        <v>0</v>
      </c>
      <c r="BX175" s="29">
        <f t="shared" si="36"/>
        <v>0</v>
      </c>
      <c r="BY175" s="26" t="str">
        <f t="shared" si="37"/>
        <v/>
      </c>
      <c r="BZ175" s="23"/>
      <c r="CA175" s="45" t="str">
        <f t="shared" si="38"/>
        <v/>
      </c>
      <c r="CB175" s="25"/>
      <c r="CC175" s="45" t="str">
        <f t="shared" si="39"/>
        <v/>
      </c>
      <c r="CD175" s="47"/>
      <c r="CE175" s="26" t="str">
        <f t="shared" si="40"/>
        <v/>
      </c>
      <c r="CF175" s="23"/>
      <c r="CG175" s="45" t="str">
        <f t="shared" si="41"/>
        <v/>
      </c>
      <c r="CH175" s="25"/>
      <c r="CI175" s="45" t="str">
        <f t="shared" si="42"/>
        <v/>
      </c>
      <c r="CJ175" s="47"/>
      <c r="CK175" s="26"/>
      <c r="CL175" s="23"/>
      <c r="CM175" s="45" t="str">
        <f t="shared" si="43"/>
        <v/>
      </c>
      <c r="CN175" s="25"/>
      <c r="CO175" s="45" t="str">
        <f t="shared" si="44"/>
        <v/>
      </c>
      <c r="CP175" s="27">
        <v>0.0</v>
      </c>
    </row>
    <row r="176">
      <c r="A176" s="26" t="str">
        <f t="shared" si="1"/>
        <v/>
      </c>
      <c r="B176" s="26"/>
      <c r="C176" s="81"/>
      <c r="D176" s="27"/>
      <c r="E176" s="82"/>
      <c r="F176" s="20"/>
      <c r="G176" s="20"/>
      <c r="H176" s="20"/>
      <c r="I176" s="23"/>
      <c r="J176" s="33"/>
      <c r="K176" s="26" t="str">
        <f t="shared" si="2"/>
        <v/>
      </c>
      <c r="L176" s="23"/>
      <c r="M176" s="45" t="str">
        <f t="shared" si="3"/>
        <v/>
      </c>
      <c r="N176" s="25"/>
      <c r="O176" s="45" t="str">
        <f t="shared" si="4"/>
        <v/>
      </c>
      <c r="P176" s="29" t="str">
        <f t="shared" si="5"/>
        <v/>
      </c>
      <c r="Q176" s="29">
        <f t="shared" si="6"/>
        <v>0</v>
      </c>
      <c r="R176" s="29">
        <f t="shared" si="7"/>
        <v>0</v>
      </c>
      <c r="S176" s="26" t="str">
        <f t="shared" si="8"/>
        <v/>
      </c>
      <c r="T176" s="23"/>
      <c r="U176" s="45" t="str">
        <f t="shared" si="9"/>
        <v/>
      </c>
      <c r="V176" s="25"/>
      <c r="W176" s="45" t="str">
        <f t="shared" si="10"/>
        <v/>
      </c>
      <c r="X176" s="47"/>
      <c r="Y176" s="26" t="str">
        <f t="shared" si="11"/>
        <v/>
      </c>
      <c r="Z176" s="23"/>
      <c r="AA176" s="45" t="str">
        <f t="shared" si="12"/>
        <v/>
      </c>
      <c r="AB176" s="25"/>
      <c r="AC176" s="45" t="str">
        <f t="shared" si="13"/>
        <v/>
      </c>
      <c r="AD176" s="47"/>
      <c r="AE176" s="26"/>
      <c r="AF176" s="23"/>
      <c r="AG176" s="45" t="str">
        <f t="shared" si="14"/>
        <v/>
      </c>
      <c r="AH176" s="25"/>
      <c r="AI176" s="45" t="str">
        <f t="shared" si="15"/>
        <v/>
      </c>
      <c r="AJ176" s="27">
        <v>0.0</v>
      </c>
      <c r="AK176" s="33"/>
      <c r="AL176" s="26" t="str">
        <f t="shared" si="16"/>
        <v/>
      </c>
      <c r="AM176" s="23"/>
      <c r="AN176" s="45" t="str">
        <f t="shared" si="17"/>
        <v/>
      </c>
      <c r="AO176" s="25"/>
      <c r="AP176" s="45" t="str">
        <f t="shared" si="18"/>
        <v/>
      </c>
      <c r="AQ176" s="29" t="str">
        <f t="shared" si="19"/>
        <v/>
      </c>
      <c r="AR176" s="29">
        <f t="shared" si="20"/>
        <v>0</v>
      </c>
      <c r="AS176" s="29">
        <f t="shared" si="21"/>
        <v>0</v>
      </c>
      <c r="AT176" s="26" t="str">
        <f t="shared" si="22"/>
        <v/>
      </c>
      <c r="AU176" s="23"/>
      <c r="AV176" s="45" t="str">
        <f t="shared" si="23"/>
        <v/>
      </c>
      <c r="AW176" s="25"/>
      <c r="AX176" s="45" t="str">
        <f t="shared" si="24"/>
        <v/>
      </c>
      <c r="AY176" s="47"/>
      <c r="AZ176" s="26" t="str">
        <f t="shared" si="25"/>
        <v/>
      </c>
      <c r="BA176" s="23"/>
      <c r="BB176" s="45" t="str">
        <f t="shared" si="26"/>
        <v/>
      </c>
      <c r="BC176" s="25"/>
      <c r="BD176" s="45" t="str">
        <f t="shared" si="27"/>
        <v/>
      </c>
      <c r="BE176" s="47"/>
      <c r="BF176" s="26"/>
      <c r="BG176" s="23"/>
      <c r="BH176" s="45" t="str">
        <f t="shared" si="28"/>
        <v/>
      </c>
      <c r="BI176" s="25"/>
      <c r="BJ176" s="45" t="str">
        <f t="shared" si="29"/>
        <v/>
      </c>
      <c r="BK176" s="27">
        <v>0.0</v>
      </c>
      <c r="BL176" s="23"/>
      <c r="BM176" s="45" t="str">
        <f t="shared" si="30"/>
        <v/>
      </c>
      <c r="BN176" s="25"/>
      <c r="BO176" s="45" t="str">
        <f t="shared" si="31"/>
        <v/>
      </c>
      <c r="BP176" s="27">
        <v>0.0</v>
      </c>
      <c r="BQ176" s="33"/>
      <c r="BR176" s="23"/>
      <c r="BS176" s="45" t="str">
        <f t="shared" si="32"/>
        <v/>
      </c>
      <c r="BT176" s="25"/>
      <c r="BU176" s="45" t="str">
        <f t="shared" si="33"/>
        <v/>
      </c>
      <c r="BV176" s="29" t="str">
        <f t="shared" si="34"/>
        <v/>
      </c>
      <c r="BW176" s="29">
        <f t="shared" si="35"/>
        <v>0</v>
      </c>
      <c r="BX176" s="29">
        <f t="shared" si="36"/>
        <v>0</v>
      </c>
      <c r="BY176" s="26" t="str">
        <f t="shared" si="37"/>
        <v/>
      </c>
      <c r="BZ176" s="23"/>
      <c r="CA176" s="45" t="str">
        <f t="shared" si="38"/>
        <v/>
      </c>
      <c r="CB176" s="25"/>
      <c r="CC176" s="45" t="str">
        <f t="shared" si="39"/>
        <v/>
      </c>
      <c r="CD176" s="47"/>
      <c r="CE176" s="26" t="str">
        <f t="shared" si="40"/>
        <v/>
      </c>
      <c r="CF176" s="23"/>
      <c r="CG176" s="45" t="str">
        <f t="shared" si="41"/>
        <v/>
      </c>
      <c r="CH176" s="25"/>
      <c r="CI176" s="45" t="str">
        <f t="shared" si="42"/>
        <v/>
      </c>
      <c r="CJ176" s="47"/>
      <c r="CK176" s="26"/>
      <c r="CL176" s="23"/>
      <c r="CM176" s="45" t="str">
        <f t="shared" si="43"/>
        <v/>
      </c>
      <c r="CN176" s="25"/>
      <c r="CO176" s="45" t="str">
        <f t="shared" si="44"/>
        <v/>
      </c>
      <c r="CP176" s="27">
        <v>0.0</v>
      </c>
    </row>
    <row r="177">
      <c r="A177" s="26" t="str">
        <f t="shared" si="1"/>
        <v/>
      </c>
      <c r="B177" s="26"/>
      <c r="C177" s="81"/>
      <c r="D177" s="27"/>
      <c r="E177" s="82"/>
      <c r="F177" s="20"/>
      <c r="G177" s="20"/>
      <c r="H177" s="20"/>
      <c r="I177" s="23"/>
      <c r="J177" s="33"/>
      <c r="K177" s="26" t="str">
        <f t="shared" si="2"/>
        <v/>
      </c>
      <c r="L177" s="23"/>
      <c r="M177" s="45" t="str">
        <f t="shared" si="3"/>
        <v/>
      </c>
      <c r="N177" s="25"/>
      <c r="O177" s="45" t="str">
        <f t="shared" si="4"/>
        <v/>
      </c>
      <c r="P177" s="29" t="str">
        <f t="shared" si="5"/>
        <v/>
      </c>
      <c r="Q177" s="29">
        <f t="shared" si="6"/>
        <v>0</v>
      </c>
      <c r="R177" s="29">
        <f t="shared" si="7"/>
        <v>0</v>
      </c>
      <c r="S177" s="26" t="str">
        <f t="shared" si="8"/>
        <v/>
      </c>
      <c r="T177" s="23"/>
      <c r="U177" s="45" t="str">
        <f t="shared" si="9"/>
        <v/>
      </c>
      <c r="V177" s="25"/>
      <c r="W177" s="45" t="str">
        <f t="shared" si="10"/>
        <v/>
      </c>
      <c r="X177" s="47"/>
      <c r="Y177" s="26" t="str">
        <f t="shared" si="11"/>
        <v/>
      </c>
      <c r="Z177" s="23"/>
      <c r="AA177" s="45" t="str">
        <f t="shared" si="12"/>
        <v/>
      </c>
      <c r="AB177" s="25"/>
      <c r="AC177" s="45" t="str">
        <f t="shared" si="13"/>
        <v/>
      </c>
      <c r="AD177" s="47"/>
      <c r="AE177" s="26"/>
      <c r="AF177" s="23"/>
      <c r="AG177" s="45" t="str">
        <f t="shared" si="14"/>
        <v/>
      </c>
      <c r="AH177" s="25"/>
      <c r="AI177" s="45" t="str">
        <f t="shared" si="15"/>
        <v/>
      </c>
      <c r="AJ177" s="27">
        <v>0.0</v>
      </c>
      <c r="AK177" s="33"/>
      <c r="AL177" s="26" t="str">
        <f t="shared" si="16"/>
        <v/>
      </c>
      <c r="AM177" s="23"/>
      <c r="AN177" s="45" t="str">
        <f t="shared" si="17"/>
        <v/>
      </c>
      <c r="AO177" s="25"/>
      <c r="AP177" s="45" t="str">
        <f t="shared" si="18"/>
        <v/>
      </c>
      <c r="AQ177" s="29" t="str">
        <f t="shared" si="19"/>
        <v/>
      </c>
      <c r="AR177" s="29">
        <f t="shared" si="20"/>
        <v>0</v>
      </c>
      <c r="AS177" s="29">
        <f t="shared" si="21"/>
        <v>0</v>
      </c>
      <c r="AT177" s="26" t="str">
        <f t="shared" si="22"/>
        <v/>
      </c>
      <c r="AU177" s="23"/>
      <c r="AV177" s="45" t="str">
        <f t="shared" si="23"/>
        <v/>
      </c>
      <c r="AW177" s="25"/>
      <c r="AX177" s="45" t="str">
        <f t="shared" si="24"/>
        <v/>
      </c>
      <c r="AY177" s="47"/>
      <c r="AZ177" s="26" t="str">
        <f t="shared" si="25"/>
        <v/>
      </c>
      <c r="BA177" s="23"/>
      <c r="BB177" s="45" t="str">
        <f t="shared" si="26"/>
        <v/>
      </c>
      <c r="BC177" s="25"/>
      <c r="BD177" s="45" t="str">
        <f t="shared" si="27"/>
        <v/>
      </c>
      <c r="BE177" s="47"/>
      <c r="BF177" s="26"/>
      <c r="BG177" s="23"/>
      <c r="BH177" s="45" t="str">
        <f t="shared" si="28"/>
        <v/>
      </c>
      <c r="BI177" s="25"/>
      <c r="BJ177" s="45" t="str">
        <f t="shared" si="29"/>
        <v/>
      </c>
      <c r="BK177" s="27">
        <v>0.0</v>
      </c>
      <c r="BL177" s="23"/>
      <c r="BM177" s="45" t="str">
        <f t="shared" si="30"/>
        <v/>
      </c>
      <c r="BN177" s="25"/>
      <c r="BO177" s="45" t="str">
        <f t="shared" si="31"/>
        <v/>
      </c>
      <c r="BP177" s="27">
        <v>0.0</v>
      </c>
      <c r="BQ177" s="33"/>
      <c r="BR177" s="23"/>
      <c r="BS177" s="45" t="str">
        <f t="shared" si="32"/>
        <v/>
      </c>
      <c r="BT177" s="25"/>
      <c r="BU177" s="45" t="str">
        <f t="shared" si="33"/>
        <v/>
      </c>
      <c r="BV177" s="29" t="str">
        <f t="shared" si="34"/>
        <v/>
      </c>
      <c r="BW177" s="29">
        <f t="shared" si="35"/>
        <v>0</v>
      </c>
      <c r="BX177" s="29">
        <f t="shared" si="36"/>
        <v>0</v>
      </c>
      <c r="BY177" s="26" t="str">
        <f t="shared" si="37"/>
        <v/>
      </c>
      <c r="BZ177" s="23"/>
      <c r="CA177" s="45" t="str">
        <f t="shared" si="38"/>
        <v/>
      </c>
      <c r="CB177" s="25"/>
      <c r="CC177" s="45" t="str">
        <f t="shared" si="39"/>
        <v/>
      </c>
      <c r="CD177" s="47"/>
      <c r="CE177" s="26" t="str">
        <f t="shared" si="40"/>
        <v/>
      </c>
      <c r="CF177" s="23"/>
      <c r="CG177" s="45" t="str">
        <f t="shared" si="41"/>
        <v/>
      </c>
      <c r="CH177" s="25"/>
      <c r="CI177" s="45" t="str">
        <f t="shared" si="42"/>
        <v/>
      </c>
      <c r="CJ177" s="47"/>
      <c r="CK177" s="26"/>
      <c r="CL177" s="23"/>
      <c r="CM177" s="45" t="str">
        <f t="shared" si="43"/>
        <v/>
      </c>
      <c r="CN177" s="25"/>
      <c r="CO177" s="45" t="str">
        <f t="shared" si="44"/>
        <v/>
      </c>
      <c r="CP177" s="27">
        <v>0.0</v>
      </c>
    </row>
    <row r="178">
      <c r="A178" s="26" t="str">
        <f t="shared" si="1"/>
        <v/>
      </c>
      <c r="B178" s="26"/>
      <c r="C178" s="81"/>
      <c r="D178" s="27"/>
      <c r="E178" s="82"/>
      <c r="F178" s="20"/>
      <c r="G178" s="20"/>
      <c r="H178" s="20"/>
      <c r="I178" s="23"/>
      <c r="J178" s="33"/>
      <c r="K178" s="26" t="str">
        <f t="shared" si="2"/>
        <v/>
      </c>
      <c r="L178" s="23"/>
      <c r="M178" s="45" t="str">
        <f t="shared" si="3"/>
        <v/>
      </c>
      <c r="N178" s="25"/>
      <c r="O178" s="45" t="str">
        <f t="shared" si="4"/>
        <v/>
      </c>
      <c r="P178" s="29" t="str">
        <f t="shared" si="5"/>
        <v/>
      </c>
      <c r="Q178" s="29">
        <f t="shared" si="6"/>
        <v>0</v>
      </c>
      <c r="R178" s="29">
        <f t="shared" si="7"/>
        <v>0</v>
      </c>
      <c r="S178" s="26" t="str">
        <f t="shared" si="8"/>
        <v/>
      </c>
      <c r="T178" s="23"/>
      <c r="U178" s="45" t="str">
        <f t="shared" si="9"/>
        <v/>
      </c>
      <c r="V178" s="25"/>
      <c r="W178" s="45" t="str">
        <f t="shared" si="10"/>
        <v/>
      </c>
      <c r="X178" s="47"/>
      <c r="Y178" s="26" t="str">
        <f t="shared" si="11"/>
        <v/>
      </c>
      <c r="Z178" s="23"/>
      <c r="AA178" s="45" t="str">
        <f t="shared" si="12"/>
        <v/>
      </c>
      <c r="AB178" s="25"/>
      <c r="AC178" s="45" t="str">
        <f t="shared" si="13"/>
        <v/>
      </c>
      <c r="AD178" s="47"/>
      <c r="AE178" s="26"/>
      <c r="AF178" s="23"/>
      <c r="AG178" s="45" t="str">
        <f t="shared" si="14"/>
        <v/>
      </c>
      <c r="AH178" s="25"/>
      <c r="AI178" s="45" t="str">
        <f t="shared" si="15"/>
        <v/>
      </c>
      <c r="AJ178" s="27">
        <v>0.0</v>
      </c>
      <c r="AK178" s="33"/>
      <c r="AL178" s="26" t="str">
        <f t="shared" si="16"/>
        <v/>
      </c>
      <c r="AM178" s="23"/>
      <c r="AN178" s="45" t="str">
        <f t="shared" si="17"/>
        <v/>
      </c>
      <c r="AO178" s="25"/>
      <c r="AP178" s="45" t="str">
        <f t="shared" si="18"/>
        <v/>
      </c>
      <c r="AQ178" s="29" t="str">
        <f t="shared" si="19"/>
        <v/>
      </c>
      <c r="AR178" s="29">
        <f t="shared" si="20"/>
        <v>0</v>
      </c>
      <c r="AS178" s="29">
        <f t="shared" si="21"/>
        <v>0</v>
      </c>
      <c r="AT178" s="26" t="str">
        <f t="shared" si="22"/>
        <v/>
      </c>
      <c r="AU178" s="23"/>
      <c r="AV178" s="45" t="str">
        <f t="shared" si="23"/>
        <v/>
      </c>
      <c r="AW178" s="25"/>
      <c r="AX178" s="45" t="str">
        <f t="shared" si="24"/>
        <v/>
      </c>
      <c r="AY178" s="47"/>
      <c r="AZ178" s="26" t="str">
        <f t="shared" si="25"/>
        <v/>
      </c>
      <c r="BA178" s="23"/>
      <c r="BB178" s="45" t="str">
        <f t="shared" si="26"/>
        <v/>
      </c>
      <c r="BC178" s="25"/>
      <c r="BD178" s="45" t="str">
        <f t="shared" si="27"/>
        <v/>
      </c>
      <c r="BE178" s="47"/>
      <c r="BF178" s="26"/>
      <c r="BG178" s="23"/>
      <c r="BH178" s="45" t="str">
        <f t="shared" si="28"/>
        <v/>
      </c>
      <c r="BI178" s="25"/>
      <c r="BJ178" s="45" t="str">
        <f t="shared" si="29"/>
        <v/>
      </c>
      <c r="BK178" s="27">
        <v>0.0</v>
      </c>
      <c r="BL178" s="23"/>
      <c r="BM178" s="45" t="str">
        <f t="shared" si="30"/>
        <v/>
      </c>
      <c r="BN178" s="25"/>
      <c r="BO178" s="45" t="str">
        <f t="shared" si="31"/>
        <v/>
      </c>
      <c r="BP178" s="27">
        <v>0.0</v>
      </c>
      <c r="BQ178" s="33"/>
      <c r="BR178" s="23"/>
      <c r="BS178" s="45" t="str">
        <f t="shared" si="32"/>
        <v/>
      </c>
      <c r="BT178" s="25"/>
      <c r="BU178" s="45" t="str">
        <f t="shared" si="33"/>
        <v/>
      </c>
      <c r="BV178" s="29" t="str">
        <f t="shared" si="34"/>
        <v/>
      </c>
      <c r="BW178" s="29">
        <f t="shared" si="35"/>
        <v>0</v>
      </c>
      <c r="BX178" s="29">
        <f t="shared" si="36"/>
        <v>0</v>
      </c>
      <c r="BY178" s="26" t="str">
        <f t="shared" si="37"/>
        <v/>
      </c>
      <c r="BZ178" s="23"/>
      <c r="CA178" s="45" t="str">
        <f t="shared" si="38"/>
        <v/>
      </c>
      <c r="CB178" s="25"/>
      <c r="CC178" s="45" t="str">
        <f t="shared" si="39"/>
        <v/>
      </c>
      <c r="CD178" s="47"/>
      <c r="CE178" s="26" t="str">
        <f t="shared" si="40"/>
        <v/>
      </c>
      <c r="CF178" s="23"/>
      <c r="CG178" s="45" t="str">
        <f t="shared" si="41"/>
        <v/>
      </c>
      <c r="CH178" s="25"/>
      <c r="CI178" s="45" t="str">
        <f t="shared" si="42"/>
        <v/>
      </c>
      <c r="CJ178" s="47"/>
      <c r="CK178" s="26"/>
      <c r="CL178" s="23"/>
      <c r="CM178" s="45" t="str">
        <f t="shared" si="43"/>
        <v/>
      </c>
      <c r="CN178" s="25"/>
      <c r="CO178" s="45" t="str">
        <f t="shared" si="44"/>
        <v/>
      </c>
      <c r="CP178" s="27">
        <v>0.0</v>
      </c>
    </row>
    <row r="179">
      <c r="A179" s="26" t="str">
        <f t="shared" si="1"/>
        <v/>
      </c>
      <c r="B179" s="26"/>
      <c r="C179" s="81"/>
      <c r="D179" s="27"/>
      <c r="E179" s="82"/>
      <c r="F179" s="20"/>
      <c r="G179" s="20"/>
      <c r="H179" s="20"/>
      <c r="I179" s="23"/>
      <c r="J179" s="33"/>
      <c r="K179" s="26" t="str">
        <f t="shared" si="2"/>
        <v/>
      </c>
      <c r="L179" s="23"/>
      <c r="M179" s="45" t="str">
        <f t="shared" si="3"/>
        <v/>
      </c>
      <c r="N179" s="25"/>
      <c r="O179" s="45" t="str">
        <f t="shared" si="4"/>
        <v/>
      </c>
      <c r="P179" s="29" t="str">
        <f t="shared" si="5"/>
        <v/>
      </c>
      <c r="Q179" s="29">
        <f t="shared" si="6"/>
        <v>0</v>
      </c>
      <c r="R179" s="29">
        <f t="shared" si="7"/>
        <v>0</v>
      </c>
      <c r="S179" s="26" t="str">
        <f t="shared" si="8"/>
        <v/>
      </c>
      <c r="T179" s="23"/>
      <c r="U179" s="45" t="str">
        <f t="shared" si="9"/>
        <v/>
      </c>
      <c r="V179" s="25"/>
      <c r="W179" s="45" t="str">
        <f t="shared" si="10"/>
        <v/>
      </c>
      <c r="X179" s="47"/>
      <c r="Y179" s="26" t="str">
        <f t="shared" si="11"/>
        <v/>
      </c>
      <c r="Z179" s="23"/>
      <c r="AA179" s="45" t="str">
        <f t="shared" si="12"/>
        <v/>
      </c>
      <c r="AB179" s="25"/>
      <c r="AC179" s="45" t="str">
        <f t="shared" si="13"/>
        <v/>
      </c>
      <c r="AD179" s="47"/>
      <c r="AE179" s="26"/>
      <c r="AF179" s="23"/>
      <c r="AG179" s="45" t="str">
        <f t="shared" si="14"/>
        <v/>
      </c>
      <c r="AH179" s="25"/>
      <c r="AI179" s="45" t="str">
        <f t="shared" si="15"/>
        <v/>
      </c>
      <c r="AJ179" s="27">
        <v>0.0</v>
      </c>
      <c r="AK179" s="33"/>
      <c r="AL179" s="26" t="str">
        <f t="shared" si="16"/>
        <v/>
      </c>
      <c r="AM179" s="23"/>
      <c r="AN179" s="45" t="str">
        <f t="shared" si="17"/>
        <v/>
      </c>
      <c r="AO179" s="25"/>
      <c r="AP179" s="45" t="str">
        <f t="shared" si="18"/>
        <v/>
      </c>
      <c r="AQ179" s="29" t="str">
        <f t="shared" si="19"/>
        <v/>
      </c>
      <c r="AR179" s="29">
        <f t="shared" si="20"/>
        <v>0</v>
      </c>
      <c r="AS179" s="29">
        <f t="shared" si="21"/>
        <v>0</v>
      </c>
      <c r="AT179" s="26" t="str">
        <f t="shared" si="22"/>
        <v/>
      </c>
      <c r="AU179" s="23"/>
      <c r="AV179" s="45" t="str">
        <f t="shared" si="23"/>
        <v/>
      </c>
      <c r="AW179" s="25"/>
      <c r="AX179" s="45" t="str">
        <f t="shared" si="24"/>
        <v/>
      </c>
      <c r="AY179" s="47"/>
      <c r="AZ179" s="26" t="str">
        <f t="shared" si="25"/>
        <v/>
      </c>
      <c r="BA179" s="23"/>
      <c r="BB179" s="45" t="str">
        <f t="shared" si="26"/>
        <v/>
      </c>
      <c r="BC179" s="25"/>
      <c r="BD179" s="45" t="str">
        <f t="shared" si="27"/>
        <v/>
      </c>
      <c r="BE179" s="47"/>
      <c r="BF179" s="26"/>
      <c r="BG179" s="23"/>
      <c r="BH179" s="45" t="str">
        <f t="shared" si="28"/>
        <v/>
      </c>
      <c r="BI179" s="25"/>
      <c r="BJ179" s="45" t="str">
        <f t="shared" si="29"/>
        <v/>
      </c>
      <c r="BK179" s="27">
        <v>0.0</v>
      </c>
      <c r="BL179" s="23"/>
      <c r="BM179" s="45" t="str">
        <f t="shared" si="30"/>
        <v/>
      </c>
      <c r="BN179" s="25"/>
      <c r="BO179" s="45" t="str">
        <f t="shared" si="31"/>
        <v/>
      </c>
      <c r="BP179" s="27">
        <v>0.0</v>
      </c>
      <c r="BQ179" s="33"/>
      <c r="BR179" s="23"/>
      <c r="BS179" s="45" t="str">
        <f t="shared" si="32"/>
        <v/>
      </c>
      <c r="BT179" s="25"/>
      <c r="BU179" s="45" t="str">
        <f t="shared" si="33"/>
        <v/>
      </c>
      <c r="BV179" s="29" t="str">
        <f t="shared" si="34"/>
        <v/>
      </c>
      <c r="BW179" s="29">
        <f t="shared" si="35"/>
        <v>0</v>
      </c>
      <c r="BX179" s="29">
        <f t="shared" si="36"/>
        <v>0</v>
      </c>
      <c r="BY179" s="26" t="str">
        <f t="shared" si="37"/>
        <v/>
      </c>
      <c r="BZ179" s="23"/>
      <c r="CA179" s="45" t="str">
        <f t="shared" si="38"/>
        <v/>
      </c>
      <c r="CB179" s="25"/>
      <c r="CC179" s="45" t="str">
        <f t="shared" si="39"/>
        <v/>
      </c>
      <c r="CD179" s="47"/>
      <c r="CE179" s="26" t="str">
        <f t="shared" si="40"/>
        <v/>
      </c>
      <c r="CF179" s="23"/>
      <c r="CG179" s="45" t="str">
        <f t="shared" si="41"/>
        <v/>
      </c>
      <c r="CH179" s="25"/>
      <c r="CI179" s="45" t="str">
        <f t="shared" si="42"/>
        <v/>
      </c>
      <c r="CJ179" s="47"/>
      <c r="CK179" s="26"/>
      <c r="CL179" s="23"/>
      <c r="CM179" s="45" t="str">
        <f t="shared" si="43"/>
        <v/>
      </c>
      <c r="CN179" s="25"/>
      <c r="CO179" s="45" t="str">
        <f t="shared" si="44"/>
        <v/>
      </c>
      <c r="CP179" s="27">
        <v>0.0</v>
      </c>
    </row>
    <row r="180">
      <c r="A180" s="26" t="str">
        <f t="shared" si="1"/>
        <v/>
      </c>
      <c r="B180" s="26"/>
      <c r="C180" s="81"/>
      <c r="D180" s="27"/>
      <c r="E180" s="82"/>
      <c r="F180" s="20"/>
      <c r="G180" s="20"/>
      <c r="H180" s="20"/>
      <c r="I180" s="23"/>
      <c r="J180" s="33"/>
      <c r="K180" s="26" t="str">
        <f t="shared" si="2"/>
        <v/>
      </c>
      <c r="L180" s="23"/>
      <c r="M180" s="45" t="str">
        <f t="shared" si="3"/>
        <v/>
      </c>
      <c r="N180" s="25"/>
      <c r="O180" s="45" t="str">
        <f t="shared" si="4"/>
        <v/>
      </c>
      <c r="P180" s="29" t="str">
        <f t="shared" si="5"/>
        <v/>
      </c>
      <c r="Q180" s="29">
        <f t="shared" si="6"/>
        <v>0</v>
      </c>
      <c r="R180" s="29">
        <f t="shared" si="7"/>
        <v>0</v>
      </c>
      <c r="S180" s="26" t="str">
        <f t="shared" si="8"/>
        <v/>
      </c>
      <c r="T180" s="23"/>
      <c r="U180" s="45" t="str">
        <f t="shared" si="9"/>
        <v/>
      </c>
      <c r="V180" s="25"/>
      <c r="W180" s="45" t="str">
        <f t="shared" si="10"/>
        <v/>
      </c>
      <c r="X180" s="47"/>
      <c r="Y180" s="26" t="str">
        <f t="shared" si="11"/>
        <v/>
      </c>
      <c r="Z180" s="23"/>
      <c r="AA180" s="45" t="str">
        <f t="shared" si="12"/>
        <v/>
      </c>
      <c r="AB180" s="25"/>
      <c r="AC180" s="45" t="str">
        <f t="shared" si="13"/>
        <v/>
      </c>
      <c r="AD180" s="47"/>
      <c r="AE180" s="26"/>
      <c r="AF180" s="23"/>
      <c r="AG180" s="45" t="str">
        <f t="shared" si="14"/>
        <v/>
      </c>
      <c r="AH180" s="25"/>
      <c r="AI180" s="45" t="str">
        <f t="shared" si="15"/>
        <v/>
      </c>
      <c r="AJ180" s="27">
        <v>0.0</v>
      </c>
      <c r="AK180" s="33"/>
      <c r="AL180" s="26" t="str">
        <f t="shared" si="16"/>
        <v/>
      </c>
      <c r="AM180" s="23"/>
      <c r="AN180" s="45" t="str">
        <f t="shared" si="17"/>
        <v/>
      </c>
      <c r="AO180" s="25"/>
      <c r="AP180" s="45" t="str">
        <f t="shared" si="18"/>
        <v/>
      </c>
      <c r="AQ180" s="29" t="str">
        <f t="shared" si="19"/>
        <v/>
      </c>
      <c r="AR180" s="29">
        <f t="shared" si="20"/>
        <v>0</v>
      </c>
      <c r="AS180" s="29">
        <f t="shared" si="21"/>
        <v>0</v>
      </c>
      <c r="AT180" s="26" t="str">
        <f t="shared" si="22"/>
        <v/>
      </c>
      <c r="AU180" s="23"/>
      <c r="AV180" s="45" t="str">
        <f t="shared" si="23"/>
        <v/>
      </c>
      <c r="AW180" s="25"/>
      <c r="AX180" s="45" t="str">
        <f t="shared" si="24"/>
        <v/>
      </c>
      <c r="AY180" s="47"/>
      <c r="AZ180" s="26" t="str">
        <f t="shared" si="25"/>
        <v/>
      </c>
      <c r="BA180" s="23"/>
      <c r="BB180" s="45" t="str">
        <f t="shared" si="26"/>
        <v/>
      </c>
      <c r="BC180" s="25"/>
      <c r="BD180" s="45" t="str">
        <f t="shared" si="27"/>
        <v/>
      </c>
      <c r="BE180" s="47"/>
      <c r="BF180" s="26"/>
      <c r="BG180" s="23"/>
      <c r="BH180" s="45" t="str">
        <f t="shared" si="28"/>
        <v/>
      </c>
      <c r="BI180" s="25"/>
      <c r="BJ180" s="45" t="str">
        <f t="shared" si="29"/>
        <v/>
      </c>
      <c r="BK180" s="27">
        <v>0.0</v>
      </c>
      <c r="BL180" s="23"/>
      <c r="BM180" s="45" t="str">
        <f t="shared" si="30"/>
        <v/>
      </c>
      <c r="BN180" s="25"/>
      <c r="BO180" s="45" t="str">
        <f t="shared" si="31"/>
        <v/>
      </c>
      <c r="BP180" s="27">
        <v>0.0</v>
      </c>
      <c r="BQ180" s="33"/>
      <c r="BR180" s="23"/>
      <c r="BS180" s="45" t="str">
        <f t="shared" si="32"/>
        <v/>
      </c>
      <c r="BT180" s="25"/>
      <c r="BU180" s="45" t="str">
        <f t="shared" si="33"/>
        <v/>
      </c>
      <c r="BV180" s="29" t="str">
        <f t="shared" si="34"/>
        <v/>
      </c>
      <c r="BW180" s="29">
        <f t="shared" si="35"/>
        <v>0</v>
      </c>
      <c r="BX180" s="29">
        <f t="shared" si="36"/>
        <v>0</v>
      </c>
      <c r="BY180" s="26" t="str">
        <f t="shared" si="37"/>
        <v/>
      </c>
      <c r="BZ180" s="23"/>
      <c r="CA180" s="45" t="str">
        <f t="shared" si="38"/>
        <v/>
      </c>
      <c r="CB180" s="25"/>
      <c r="CC180" s="45" t="str">
        <f t="shared" si="39"/>
        <v/>
      </c>
      <c r="CD180" s="47"/>
      <c r="CE180" s="26" t="str">
        <f t="shared" si="40"/>
        <v/>
      </c>
      <c r="CF180" s="23"/>
      <c r="CG180" s="45" t="str">
        <f t="shared" si="41"/>
        <v/>
      </c>
      <c r="CH180" s="25"/>
      <c r="CI180" s="45" t="str">
        <f t="shared" si="42"/>
        <v/>
      </c>
      <c r="CJ180" s="47"/>
      <c r="CK180" s="26"/>
      <c r="CL180" s="23"/>
      <c r="CM180" s="45" t="str">
        <f t="shared" si="43"/>
        <v/>
      </c>
      <c r="CN180" s="25"/>
      <c r="CO180" s="45" t="str">
        <f t="shared" si="44"/>
        <v/>
      </c>
      <c r="CP180" s="27">
        <v>0.0</v>
      </c>
    </row>
    <row r="181">
      <c r="A181" s="26" t="str">
        <f t="shared" si="1"/>
        <v/>
      </c>
      <c r="B181" s="26"/>
      <c r="C181" s="81"/>
      <c r="D181" s="27"/>
      <c r="E181" s="82"/>
      <c r="F181" s="20"/>
      <c r="G181" s="20"/>
      <c r="H181" s="20"/>
      <c r="I181" s="23"/>
      <c r="J181" s="33"/>
      <c r="K181" s="26" t="str">
        <f t="shared" si="2"/>
        <v/>
      </c>
      <c r="L181" s="23"/>
      <c r="M181" s="45" t="str">
        <f t="shared" si="3"/>
        <v/>
      </c>
      <c r="N181" s="25"/>
      <c r="O181" s="45" t="str">
        <f t="shared" si="4"/>
        <v/>
      </c>
      <c r="P181" s="29" t="str">
        <f t="shared" si="5"/>
        <v/>
      </c>
      <c r="Q181" s="29">
        <f t="shared" si="6"/>
        <v>0</v>
      </c>
      <c r="R181" s="29">
        <f t="shared" si="7"/>
        <v>0</v>
      </c>
      <c r="S181" s="26" t="str">
        <f t="shared" si="8"/>
        <v/>
      </c>
      <c r="T181" s="23"/>
      <c r="U181" s="45" t="str">
        <f t="shared" si="9"/>
        <v/>
      </c>
      <c r="V181" s="25"/>
      <c r="W181" s="45" t="str">
        <f t="shared" si="10"/>
        <v/>
      </c>
      <c r="X181" s="47"/>
      <c r="Y181" s="26" t="str">
        <f t="shared" si="11"/>
        <v/>
      </c>
      <c r="Z181" s="23"/>
      <c r="AA181" s="45" t="str">
        <f t="shared" si="12"/>
        <v/>
      </c>
      <c r="AB181" s="25"/>
      <c r="AC181" s="45" t="str">
        <f t="shared" si="13"/>
        <v/>
      </c>
      <c r="AD181" s="47"/>
      <c r="AE181" s="26"/>
      <c r="AF181" s="23"/>
      <c r="AG181" s="45" t="str">
        <f t="shared" si="14"/>
        <v/>
      </c>
      <c r="AH181" s="25"/>
      <c r="AI181" s="45" t="str">
        <f t="shared" si="15"/>
        <v/>
      </c>
      <c r="AJ181" s="27">
        <v>0.0</v>
      </c>
      <c r="AK181" s="33"/>
      <c r="AL181" s="26" t="str">
        <f t="shared" si="16"/>
        <v/>
      </c>
      <c r="AM181" s="23"/>
      <c r="AN181" s="45" t="str">
        <f t="shared" si="17"/>
        <v/>
      </c>
      <c r="AO181" s="25"/>
      <c r="AP181" s="45" t="str">
        <f t="shared" si="18"/>
        <v/>
      </c>
      <c r="AQ181" s="29" t="str">
        <f t="shared" si="19"/>
        <v/>
      </c>
      <c r="AR181" s="29">
        <f t="shared" si="20"/>
        <v>0</v>
      </c>
      <c r="AS181" s="29">
        <f t="shared" si="21"/>
        <v>0</v>
      </c>
      <c r="AT181" s="26" t="str">
        <f t="shared" si="22"/>
        <v/>
      </c>
      <c r="AU181" s="23"/>
      <c r="AV181" s="45" t="str">
        <f t="shared" si="23"/>
        <v/>
      </c>
      <c r="AW181" s="25"/>
      <c r="AX181" s="45" t="str">
        <f t="shared" si="24"/>
        <v/>
      </c>
      <c r="AY181" s="47"/>
      <c r="AZ181" s="26" t="str">
        <f t="shared" si="25"/>
        <v/>
      </c>
      <c r="BA181" s="23"/>
      <c r="BB181" s="45" t="str">
        <f t="shared" si="26"/>
        <v/>
      </c>
      <c r="BC181" s="25"/>
      <c r="BD181" s="45" t="str">
        <f t="shared" si="27"/>
        <v/>
      </c>
      <c r="BE181" s="47"/>
      <c r="BF181" s="26"/>
      <c r="BG181" s="23"/>
      <c r="BH181" s="45" t="str">
        <f t="shared" si="28"/>
        <v/>
      </c>
      <c r="BI181" s="25"/>
      <c r="BJ181" s="45" t="str">
        <f t="shared" si="29"/>
        <v/>
      </c>
      <c r="BK181" s="27">
        <v>0.0</v>
      </c>
      <c r="BL181" s="23"/>
      <c r="BM181" s="45" t="str">
        <f t="shared" si="30"/>
        <v/>
      </c>
      <c r="BN181" s="25"/>
      <c r="BO181" s="45" t="str">
        <f t="shared" si="31"/>
        <v/>
      </c>
      <c r="BP181" s="27">
        <v>0.0</v>
      </c>
      <c r="BQ181" s="33"/>
      <c r="BR181" s="23"/>
      <c r="BS181" s="45" t="str">
        <f t="shared" si="32"/>
        <v/>
      </c>
      <c r="BT181" s="25"/>
      <c r="BU181" s="45" t="str">
        <f t="shared" si="33"/>
        <v/>
      </c>
      <c r="BV181" s="29" t="str">
        <f t="shared" si="34"/>
        <v/>
      </c>
      <c r="BW181" s="29">
        <f t="shared" si="35"/>
        <v>0</v>
      </c>
      <c r="BX181" s="29">
        <f t="shared" si="36"/>
        <v>0</v>
      </c>
      <c r="BY181" s="26" t="str">
        <f t="shared" si="37"/>
        <v/>
      </c>
      <c r="BZ181" s="23"/>
      <c r="CA181" s="45" t="str">
        <f t="shared" si="38"/>
        <v/>
      </c>
      <c r="CB181" s="25"/>
      <c r="CC181" s="45" t="str">
        <f t="shared" si="39"/>
        <v/>
      </c>
      <c r="CD181" s="47"/>
      <c r="CE181" s="26" t="str">
        <f t="shared" si="40"/>
        <v/>
      </c>
      <c r="CF181" s="23"/>
      <c r="CG181" s="45" t="str">
        <f t="shared" si="41"/>
        <v/>
      </c>
      <c r="CH181" s="25"/>
      <c r="CI181" s="45" t="str">
        <f t="shared" si="42"/>
        <v/>
      </c>
      <c r="CJ181" s="47"/>
      <c r="CK181" s="26"/>
      <c r="CL181" s="23"/>
      <c r="CM181" s="45" t="str">
        <f t="shared" si="43"/>
        <v/>
      </c>
      <c r="CN181" s="25"/>
      <c r="CO181" s="45" t="str">
        <f t="shared" si="44"/>
        <v/>
      </c>
      <c r="CP181" s="27">
        <v>0.0</v>
      </c>
    </row>
    <row r="182">
      <c r="A182" s="26" t="str">
        <f t="shared" si="1"/>
        <v/>
      </c>
      <c r="B182" s="26"/>
      <c r="C182" s="81"/>
      <c r="D182" s="27"/>
      <c r="E182" s="82"/>
      <c r="F182" s="20"/>
      <c r="G182" s="20"/>
      <c r="H182" s="20"/>
      <c r="I182" s="23"/>
      <c r="J182" s="33"/>
      <c r="K182" s="26" t="str">
        <f t="shared" si="2"/>
        <v/>
      </c>
      <c r="L182" s="23"/>
      <c r="M182" s="45" t="str">
        <f t="shared" si="3"/>
        <v/>
      </c>
      <c r="N182" s="25"/>
      <c r="O182" s="45" t="str">
        <f t="shared" si="4"/>
        <v/>
      </c>
      <c r="P182" s="29" t="str">
        <f t="shared" si="5"/>
        <v/>
      </c>
      <c r="Q182" s="29">
        <f t="shared" si="6"/>
        <v>0</v>
      </c>
      <c r="R182" s="29">
        <f t="shared" si="7"/>
        <v>0</v>
      </c>
      <c r="S182" s="26" t="str">
        <f t="shared" si="8"/>
        <v/>
      </c>
      <c r="T182" s="23"/>
      <c r="U182" s="45" t="str">
        <f t="shared" si="9"/>
        <v/>
      </c>
      <c r="V182" s="25"/>
      <c r="W182" s="45" t="str">
        <f t="shared" si="10"/>
        <v/>
      </c>
      <c r="X182" s="47"/>
      <c r="Y182" s="26" t="str">
        <f t="shared" si="11"/>
        <v/>
      </c>
      <c r="Z182" s="23"/>
      <c r="AA182" s="45" t="str">
        <f t="shared" si="12"/>
        <v/>
      </c>
      <c r="AB182" s="25"/>
      <c r="AC182" s="45" t="str">
        <f t="shared" si="13"/>
        <v/>
      </c>
      <c r="AD182" s="47"/>
      <c r="AE182" s="26"/>
      <c r="AF182" s="23"/>
      <c r="AG182" s="45" t="str">
        <f t="shared" si="14"/>
        <v/>
      </c>
      <c r="AH182" s="25"/>
      <c r="AI182" s="45" t="str">
        <f t="shared" si="15"/>
        <v/>
      </c>
      <c r="AJ182" s="27">
        <v>0.0</v>
      </c>
      <c r="AK182" s="33"/>
      <c r="AL182" s="26" t="str">
        <f t="shared" si="16"/>
        <v/>
      </c>
      <c r="AM182" s="23"/>
      <c r="AN182" s="45" t="str">
        <f t="shared" si="17"/>
        <v/>
      </c>
      <c r="AO182" s="25"/>
      <c r="AP182" s="45" t="str">
        <f t="shared" si="18"/>
        <v/>
      </c>
      <c r="AQ182" s="29" t="str">
        <f t="shared" si="19"/>
        <v/>
      </c>
      <c r="AR182" s="29">
        <f t="shared" si="20"/>
        <v>0</v>
      </c>
      <c r="AS182" s="29">
        <f t="shared" si="21"/>
        <v>0</v>
      </c>
      <c r="AT182" s="26" t="str">
        <f t="shared" si="22"/>
        <v/>
      </c>
      <c r="AU182" s="23"/>
      <c r="AV182" s="45" t="str">
        <f t="shared" si="23"/>
        <v/>
      </c>
      <c r="AW182" s="25"/>
      <c r="AX182" s="45" t="str">
        <f t="shared" si="24"/>
        <v/>
      </c>
      <c r="AY182" s="47"/>
      <c r="AZ182" s="26" t="str">
        <f t="shared" si="25"/>
        <v/>
      </c>
      <c r="BA182" s="23"/>
      <c r="BB182" s="45" t="str">
        <f t="shared" si="26"/>
        <v/>
      </c>
      <c r="BC182" s="25"/>
      <c r="BD182" s="45" t="str">
        <f t="shared" si="27"/>
        <v/>
      </c>
      <c r="BE182" s="47"/>
      <c r="BF182" s="26"/>
      <c r="BG182" s="23"/>
      <c r="BH182" s="45" t="str">
        <f t="shared" si="28"/>
        <v/>
      </c>
      <c r="BI182" s="25"/>
      <c r="BJ182" s="45" t="str">
        <f t="shared" si="29"/>
        <v/>
      </c>
      <c r="BK182" s="27">
        <v>0.0</v>
      </c>
      <c r="BL182" s="23"/>
      <c r="BM182" s="45" t="str">
        <f t="shared" si="30"/>
        <v/>
      </c>
      <c r="BN182" s="25"/>
      <c r="BO182" s="45" t="str">
        <f t="shared" si="31"/>
        <v/>
      </c>
      <c r="BP182" s="27">
        <v>0.0</v>
      </c>
      <c r="BQ182" s="33"/>
      <c r="BR182" s="23"/>
      <c r="BS182" s="45" t="str">
        <f t="shared" si="32"/>
        <v/>
      </c>
      <c r="BT182" s="25"/>
      <c r="BU182" s="45" t="str">
        <f t="shared" si="33"/>
        <v/>
      </c>
      <c r="BV182" s="29" t="str">
        <f t="shared" si="34"/>
        <v/>
      </c>
      <c r="BW182" s="29">
        <f t="shared" si="35"/>
        <v>0</v>
      </c>
      <c r="BX182" s="29">
        <f t="shared" si="36"/>
        <v>0</v>
      </c>
      <c r="BY182" s="26" t="str">
        <f t="shared" si="37"/>
        <v/>
      </c>
      <c r="BZ182" s="23"/>
      <c r="CA182" s="45" t="str">
        <f t="shared" si="38"/>
        <v/>
      </c>
      <c r="CB182" s="25"/>
      <c r="CC182" s="45" t="str">
        <f t="shared" si="39"/>
        <v/>
      </c>
      <c r="CD182" s="47"/>
      <c r="CE182" s="26" t="str">
        <f t="shared" si="40"/>
        <v/>
      </c>
      <c r="CF182" s="23"/>
      <c r="CG182" s="45" t="str">
        <f t="shared" si="41"/>
        <v/>
      </c>
      <c r="CH182" s="25"/>
      <c r="CI182" s="45" t="str">
        <f t="shared" si="42"/>
        <v/>
      </c>
      <c r="CJ182" s="47"/>
      <c r="CK182" s="26"/>
      <c r="CL182" s="23"/>
      <c r="CM182" s="45" t="str">
        <f t="shared" si="43"/>
        <v/>
      </c>
      <c r="CN182" s="25"/>
      <c r="CO182" s="45" t="str">
        <f t="shared" si="44"/>
        <v/>
      </c>
      <c r="CP182" s="27">
        <v>0.0</v>
      </c>
    </row>
    <row r="183">
      <c r="A183" s="26" t="str">
        <f t="shared" si="1"/>
        <v/>
      </c>
      <c r="B183" s="26"/>
      <c r="C183" s="81"/>
      <c r="D183" s="27"/>
      <c r="E183" s="82"/>
      <c r="F183" s="20"/>
      <c r="G183" s="20"/>
      <c r="H183" s="20"/>
      <c r="I183" s="23"/>
      <c r="J183" s="33"/>
      <c r="K183" s="26" t="str">
        <f t="shared" si="2"/>
        <v/>
      </c>
      <c r="L183" s="23"/>
      <c r="M183" s="45" t="str">
        <f t="shared" si="3"/>
        <v/>
      </c>
      <c r="N183" s="25"/>
      <c r="O183" s="45" t="str">
        <f t="shared" si="4"/>
        <v/>
      </c>
      <c r="P183" s="29" t="str">
        <f t="shared" si="5"/>
        <v/>
      </c>
      <c r="Q183" s="29">
        <f t="shared" si="6"/>
        <v>0</v>
      </c>
      <c r="R183" s="29">
        <f t="shared" si="7"/>
        <v>0</v>
      </c>
      <c r="S183" s="26" t="str">
        <f t="shared" si="8"/>
        <v/>
      </c>
      <c r="T183" s="23"/>
      <c r="U183" s="45" t="str">
        <f t="shared" si="9"/>
        <v/>
      </c>
      <c r="V183" s="25"/>
      <c r="W183" s="45" t="str">
        <f t="shared" si="10"/>
        <v/>
      </c>
      <c r="X183" s="47"/>
      <c r="Y183" s="26" t="str">
        <f t="shared" si="11"/>
        <v/>
      </c>
      <c r="Z183" s="23"/>
      <c r="AA183" s="45" t="str">
        <f t="shared" si="12"/>
        <v/>
      </c>
      <c r="AB183" s="25"/>
      <c r="AC183" s="45" t="str">
        <f t="shared" si="13"/>
        <v/>
      </c>
      <c r="AD183" s="47"/>
      <c r="AE183" s="26"/>
      <c r="AF183" s="23"/>
      <c r="AG183" s="45" t="str">
        <f t="shared" si="14"/>
        <v/>
      </c>
      <c r="AH183" s="25"/>
      <c r="AI183" s="45" t="str">
        <f t="shared" si="15"/>
        <v/>
      </c>
      <c r="AJ183" s="27">
        <v>0.0</v>
      </c>
      <c r="AK183" s="33"/>
      <c r="AL183" s="26" t="str">
        <f t="shared" si="16"/>
        <v/>
      </c>
      <c r="AM183" s="23"/>
      <c r="AN183" s="45" t="str">
        <f t="shared" si="17"/>
        <v/>
      </c>
      <c r="AO183" s="25"/>
      <c r="AP183" s="45" t="str">
        <f t="shared" si="18"/>
        <v/>
      </c>
      <c r="AQ183" s="29" t="str">
        <f t="shared" si="19"/>
        <v/>
      </c>
      <c r="AR183" s="29">
        <f t="shared" si="20"/>
        <v>0</v>
      </c>
      <c r="AS183" s="29">
        <f t="shared" si="21"/>
        <v>0</v>
      </c>
      <c r="AT183" s="26" t="str">
        <f t="shared" si="22"/>
        <v/>
      </c>
      <c r="AU183" s="23"/>
      <c r="AV183" s="45" t="str">
        <f t="shared" si="23"/>
        <v/>
      </c>
      <c r="AW183" s="25"/>
      <c r="AX183" s="45" t="str">
        <f t="shared" si="24"/>
        <v/>
      </c>
      <c r="AY183" s="47"/>
      <c r="AZ183" s="26" t="str">
        <f t="shared" si="25"/>
        <v/>
      </c>
      <c r="BA183" s="23"/>
      <c r="BB183" s="45" t="str">
        <f t="shared" si="26"/>
        <v/>
      </c>
      <c r="BC183" s="25"/>
      <c r="BD183" s="45" t="str">
        <f t="shared" si="27"/>
        <v/>
      </c>
      <c r="BE183" s="47"/>
      <c r="BF183" s="26"/>
      <c r="BG183" s="23"/>
      <c r="BH183" s="45" t="str">
        <f t="shared" si="28"/>
        <v/>
      </c>
      <c r="BI183" s="25"/>
      <c r="BJ183" s="45" t="str">
        <f t="shared" si="29"/>
        <v/>
      </c>
      <c r="BK183" s="27">
        <v>0.0</v>
      </c>
      <c r="BL183" s="23"/>
      <c r="BM183" s="45" t="str">
        <f t="shared" si="30"/>
        <v/>
      </c>
      <c r="BN183" s="25"/>
      <c r="BO183" s="45" t="str">
        <f t="shared" si="31"/>
        <v/>
      </c>
      <c r="BP183" s="27">
        <v>0.0</v>
      </c>
      <c r="BQ183" s="33"/>
      <c r="BR183" s="23"/>
      <c r="BS183" s="45" t="str">
        <f t="shared" si="32"/>
        <v/>
      </c>
      <c r="BT183" s="25"/>
      <c r="BU183" s="45" t="str">
        <f t="shared" si="33"/>
        <v/>
      </c>
      <c r="BV183" s="29" t="str">
        <f t="shared" si="34"/>
        <v/>
      </c>
      <c r="BW183" s="29">
        <f t="shared" si="35"/>
        <v>0</v>
      </c>
      <c r="BX183" s="29">
        <f t="shared" si="36"/>
        <v>0</v>
      </c>
      <c r="BY183" s="26" t="str">
        <f t="shared" si="37"/>
        <v/>
      </c>
      <c r="BZ183" s="23"/>
      <c r="CA183" s="45" t="str">
        <f t="shared" si="38"/>
        <v/>
      </c>
      <c r="CB183" s="25"/>
      <c r="CC183" s="45" t="str">
        <f t="shared" si="39"/>
        <v/>
      </c>
      <c r="CD183" s="47"/>
      <c r="CE183" s="26" t="str">
        <f t="shared" si="40"/>
        <v/>
      </c>
      <c r="CF183" s="23"/>
      <c r="CG183" s="45" t="str">
        <f t="shared" si="41"/>
        <v/>
      </c>
      <c r="CH183" s="25"/>
      <c r="CI183" s="45" t="str">
        <f t="shared" si="42"/>
        <v/>
      </c>
      <c r="CJ183" s="47"/>
      <c r="CK183" s="26"/>
      <c r="CL183" s="23"/>
      <c r="CM183" s="45" t="str">
        <f t="shared" si="43"/>
        <v/>
      </c>
      <c r="CN183" s="25"/>
      <c r="CO183" s="45" t="str">
        <f t="shared" si="44"/>
        <v/>
      </c>
      <c r="CP183" s="27">
        <v>0.0</v>
      </c>
    </row>
    <row r="184">
      <c r="A184" s="26" t="str">
        <f t="shared" si="1"/>
        <v/>
      </c>
      <c r="B184" s="26"/>
      <c r="C184" s="81"/>
      <c r="D184" s="27"/>
      <c r="E184" s="82"/>
      <c r="F184" s="20"/>
      <c r="G184" s="20"/>
      <c r="H184" s="20"/>
      <c r="I184" s="23"/>
      <c r="J184" s="33"/>
      <c r="K184" s="26" t="str">
        <f t="shared" si="2"/>
        <v/>
      </c>
      <c r="L184" s="23"/>
      <c r="M184" s="45" t="str">
        <f t="shared" si="3"/>
        <v/>
      </c>
      <c r="N184" s="25"/>
      <c r="O184" s="45" t="str">
        <f t="shared" si="4"/>
        <v/>
      </c>
      <c r="P184" s="29" t="str">
        <f t="shared" si="5"/>
        <v/>
      </c>
      <c r="Q184" s="29">
        <f t="shared" si="6"/>
        <v>0</v>
      </c>
      <c r="R184" s="29">
        <f t="shared" si="7"/>
        <v>0</v>
      </c>
      <c r="S184" s="26" t="str">
        <f t="shared" si="8"/>
        <v/>
      </c>
      <c r="T184" s="23"/>
      <c r="U184" s="45" t="str">
        <f t="shared" si="9"/>
        <v/>
      </c>
      <c r="V184" s="25"/>
      <c r="W184" s="45" t="str">
        <f t="shared" si="10"/>
        <v/>
      </c>
      <c r="X184" s="47"/>
      <c r="Y184" s="26" t="str">
        <f t="shared" si="11"/>
        <v/>
      </c>
      <c r="Z184" s="23"/>
      <c r="AA184" s="45" t="str">
        <f t="shared" si="12"/>
        <v/>
      </c>
      <c r="AB184" s="25"/>
      <c r="AC184" s="45" t="str">
        <f t="shared" si="13"/>
        <v/>
      </c>
      <c r="AD184" s="47"/>
      <c r="AE184" s="26"/>
      <c r="AF184" s="23"/>
      <c r="AG184" s="45" t="str">
        <f t="shared" si="14"/>
        <v/>
      </c>
      <c r="AH184" s="25"/>
      <c r="AI184" s="45" t="str">
        <f t="shared" si="15"/>
        <v/>
      </c>
      <c r="AJ184" s="27">
        <v>0.0</v>
      </c>
      <c r="AK184" s="33"/>
      <c r="AL184" s="26" t="str">
        <f t="shared" si="16"/>
        <v/>
      </c>
      <c r="AM184" s="23"/>
      <c r="AN184" s="45" t="str">
        <f t="shared" si="17"/>
        <v/>
      </c>
      <c r="AO184" s="25"/>
      <c r="AP184" s="45" t="str">
        <f t="shared" si="18"/>
        <v/>
      </c>
      <c r="AQ184" s="29" t="str">
        <f t="shared" si="19"/>
        <v/>
      </c>
      <c r="AR184" s="29">
        <f t="shared" si="20"/>
        <v>0</v>
      </c>
      <c r="AS184" s="29">
        <f t="shared" si="21"/>
        <v>0</v>
      </c>
      <c r="AT184" s="26" t="str">
        <f t="shared" si="22"/>
        <v/>
      </c>
      <c r="AU184" s="23"/>
      <c r="AV184" s="45" t="str">
        <f t="shared" si="23"/>
        <v/>
      </c>
      <c r="AW184" s="25"/>
      <c r="AX184" s="45" t="str">
        <f t="shared" si="24"/>
        <v/>
      </c>
      <c r="AY184" s="47"/>
      <c r="AZ184" s="26" t="str">
        <f t="shared" si="25"/>
        <v/>
      </c>
      <c r="BA184" s="23"/>
      <c r="BB184" s="45" t="str">
        <f t="shared" si="26"/>
        <v/>
      </c>
      <c r="BC184" s="25"/>
      <c r="BD184" s="45" t="str">
        <f t="shared" si="27"/>
        <v/>
      </c>
      <c r="BE184" s="47"/>
      <c r="BF184" s="26"/>
      <c r="BG184" s="23"/>
      <c r="BH184" s="45" t="str">
        <f t="shared" si="28"/>
        <v/>
      </c>
      <c r="BI184" s="25"/>
      <c r="BJ184" s="45" t="str">
        <f t="shared" si="29"/>
        <v/>
      </c>
      <c r="BK184" s="27">
        <v>0.0</v>
      </c>
      <c r="BL184" s="23"/>
      <c r="BM184" s="45" t="str">
        <f t="shared" si="30"/>
        <v/>
      </c>
      <c r="BN184" s="25"/>
      <c r="BO184" s="45" t="str">
        <f t="shared" si="31"/>
        <v/>
      </c>
      <c r="BP184" s="27">
        <v>0.0</v>
      </c>
      <c r="BQ184" s="33"/>
      <c r="BR184" s="23"/>
      <c r="BS184" s="45" t="str">
        <f t="shared" si="32"/>
        <v/>
      </c>
      <c r="BT184" s="25"/>
      <c r="BU184" s="45" t="str">
        <f t="shared" si="33"/>
        <v/>
      </c>
      <c r="BV184" s="29" t="str">
        <f t="shared" si="34"/>
        <v/>
      </c>
      <c r="BW184" s="29">
        <f t="shared" si="35"/>
        <v>0</v>
      </c>
      <c r="BX184" s="29">
        <f t="shared" si="36"/>
        <v>0</v>
      </c>
      <c r="BY184" s="26" t="str">
        <f t="shared" si="37"/>
        <v/>
      </c>
      <c r="BZ184" s="23"/>
      <c r="CA184" s="45" t="str">
        <f t="shared" si="38"/>
        <v/>
      </c>
      <c r="CB184" s="25"/>
      <c r="CC184" s="45" t="str">
        <f t="shared" si="39"/>
        <v/>
      </c>
      <c r="CD184" s="47"/>
      <c r="CE184" s="26" t="str">
        <f t="shared" si="40"/>
        <v/>
      </c>
      <c r="CF184" s="23"/>
      <c r="CG184" s="45" t="str">
        <f t="shared" si="41"/>
        <v/>
      </c>
      <c r="CH184" s="25"/>
      <c r="CI184" s="45" t="str">
        <f t="shared" si="42"/>
        <v/>
      </c>
      <c r="CJ184" s="47"/>
      <c r="CK184" s="26"/>
      <c r="CL184" s="23"/>
      <c r="CM184" s="45" t="str">
        <f t="shared" si="43"/>
        <v/>
      </c>
      <c r="CN184" s="25"/>
      <c r="CO184" s="45" t="str">
        <f t="shared" si="44"/>
        <v/>
      </c>
      <c r="CP184" s="27">
        <v>0.0</v>
      </c>
    </row>
    <row r="185">
      <c r="A185" s="26" t="str">
        <f t="shared" si="1"/>
        <v/>
      </c>
      <c r="B185" s="26"/>
      <c r="C185" s="81"/>
      <c r="D185" s="27"/>
      <c r="E185" s="82"/>
      <c r="F185" s="20"/>
      <c r="G185" s="20"/>
      <c r="H185" s="20"/>
      <c r="I185" s="23"/>
      <c r="J185" s="33"/>
      <c r="K185" s="26" t="str">
        <f t="shared" si="2"/>
        <v/>
      </c>
      <c r="L185" s="23"/>
      <c r="M185" s="45" t="str">
        <f t="shared" si="3"/>
        <v/>
      </c>
      <c r="N185" s="25"/>
      <c r="O185" s="45" t="str">
        <f t="shared" si="4"/>
        <v/>
      </c>
      <c r="P185" s="29" t="str">
        <f t="shared" si="5"/>
        <v/>
      </c>
      <c r="Q185" s="29">
        <f t="shared" si="6"/>
        <v>0</v>
      </c>
      <c r="R185" s="29">
        <f t="shared" si="7"/>
        <v>0</v>
      </c>
      <c r="S185" s="26" t="str">
        <f t="shared" si="8"/>
        <v/>
      </c>
      <c r="T185" s="23"/>
      <c r="U185" s="45" t="str">
        <f t="shared" si="9"/>
        <v/>
      </c>
      <c r="V185" s="25"/>
      <c r="W185" s="45" t="str">
        <f t="shared" si="10"/>
        <v/>
      </c>
      <c r="X185" s="47"/>
      <c r="Y185" s="26" t="str">
        <f t="shared" si="11"/>
        <v/>
      </c>
      <c r="Z185" s="23"/>
      <c r="AA185" s="45" t="str">
        <f t="shared" si="12"/>
        <v/>
      </c>
      <c r="AB185" s="25"/>
      <c r="AC185" s="45" t="str">
        <f t="shared" si="13"/>
        <v/>
      </c>
      <c r="AD185" s="47"/>
      <c r="AE185" s="26"/>
      <c r="AF185" s="23"/>
      <c r="AG185" s="45" t="str">
        <f t="shared" si="14"/>
        <v/>
      </c>
      <c r="AH185" s="25"/>
      <c r="AI185" s="45" t="str">
        <f t="shared" si="15"/>
        <v/>
      </c>
      <c r="AJ185" s="27">
        <v>0.0</v>
      </c>
      <c r="AK185" s="33"/>
      <c r="AL185" s="26" t="str">
        <f t="shared" si="16"/>
        <v/>
      </c>
      <c r="AM185" s="23"/>
      <c r="AN185" s="45" t="str">
        <f t="shared" si="17"/>
        <v/>
      </c>
      <c r="AO185" s="25"/>
      <c r="AP185" s="45" t="str">
        <f t="shared" si="18"/>
        <v/>
      </c>
      <c r="AQ185" s="29" t="str">
        <f t="shared" si="19"/>
        <v/>
      </c>
      <c r="AR185" s="29">
        <f t="shared" si="20"/>
        <v>0</v>
      </c>
      <c r="AS185" s="29">
        <f t="shared" si="21"/>
        <v>0</v>
      </c>
      <c r="AT185" s="26" t="str">
        <f t="shared" si="22"/>
        <v/>
      </c>
      <c r="AU185" s="23"/>
      <c r="AV185" s="45" t="str">
        <f t="shared" si="23"/>
        <v/>
      </c>
      <c r="AW185" s="25"/>
      <c r="AX185" s="45" t="str">
        <f t="shared" si="24"/>
        <v/>
      </c>
      <c r="AY185" s="47"/>
      <c r="AZ185" s="26" t="str">
        <f t="shared" si="25"/>
        <v/>
      </c>
      <c r="BA185" s="23"/>
      <c r="BB185" s="45" t="str">
        <f t="shared" si="26"/>
        <v/>
      </c>
      <c r="BC185" s="25"/>
      <c r="BD185" s="45" t="str">
        <f t="shared" si="27"/>
        <v/>
      </c>
      <c r="BE185" s="47"/>
      <c r="BF185" s="26"/>
      <c r="BG185" s="23"/>
      <c r="BH185" s="45" t="str">
        <f t="shared" si="28"/>
        <v/>
      </c>
      <c r="BI185" s="25"/>
      <c r="BJ185" s="45" t="str">
        <f t="shared" si="29"/>
        <v/>
      </c>
      <c r="BK185" s="27">
        <v>0.0</v>
      </c>
      <c r="BL185" s="23"/>
      <c r="BM185" s="45" t="str">
        <f t="shared" si="30"/>
        <v/>
      </c>
      <c r="BN185" s="25"/>
      <c r="BO185" s="45" t="str">
        <f t="shared" si="31"/>
        <v/>
      </c>
      <c r="BP185" s="27">
        <v>0.0</v>
      </c>
      <c r="BQ185" s="33"/>
      <c r="BR185" s="23"/>
      <c r="BS185" s="45" t="str">
        <f t="shared" si="32"/>
        <v/>
      </c>
      <c r="BT185" s="25"/>
      <c r="BU185" s="45" t="str">
        <f t="shared" si="33"/>
        <v/>
      </c>
      <c r="BV185" s="29" t="str">
        <f t="shared" si="34"/>
        <v/>
      </c>
      <c r="BW185" s="29">
        <f t="shared" si="35"/>
        <v>0</v>
      </c>
      <c r="BX185" s="29">
        <f t="shared" si="36"/>
        <v>0</v>
      </c>
      <c r="BY185" s="26" t="str">
        <f t="shared" si="37"/>
        <v/>
      </c>
      <c r="BZ185" s="23"/>
      <c r="CA185" s="45" t="str">
        <f t="shared" si="38"/>
        <v/>
      </c>
      <c r="CB185" s="25"/>
      <c r="CC185" s="45" t="str">
        <f t="shared" si="39"/>
        <v/>
      </c>
      <c r="CD185" s="47"/>
      <c r="CE185" s="26" t="str">
        <f t="shared" si="40"/>
        <v/>
      </c>
      <c r="CF185" s="23"/>
      <c r="CG185" s="45" t="str">
        <f t="shared" si="41"/>
        <v/>
      </c>
      <c r="CH185" s="25"/>
      <c r="CI185" s="45" t="str">
        <f t="shared" si="42"/>
        <v/>
      </c>
      <c r="CJ185" s="47"/>
      <c r="CK185" s="26"/>
      <c r="CL185" s="23"/>
      <c r="CM185" s="45" t="str">
        <f t="shared" si="43"/>
        <v/>
      </c>
      <c r="CN185" s="25"/>
      <c r="CO185" s="45" t="str">
        <f t="shared" si="44"/>
        <v/>
      </c>
      <c r="CP185" s="27">
        <v>0.0</v>
      </c>
    </row>
    <row r="186">
      <c r="A186" s="26" t="str">
        <f t="shared" si="1"/>
        <v/>
      </c>
      <c r="B186" s="26"/>
      <c r="C186" s="81"/>
      <c r="D186" s="27"/>
      <c r="E186" s="82"/>
      <c r="F186" s="20"/>
      <c r="G186" s="20"/>
      <c r="H186" s="20"/>
      <c r="I186" s="23"/>
      <c r="J186" s="33"/>
      <c r="K186" s="26" t="str">
        <f t="shared" si="2"/>
        <v/>
      </c>
      <c r="L186" s="23"/>
      <c r="M186" s="45" t="str">
        <f t="shared" si="3"/>
        <v/>
      </c>
      <c r="N186" s="25"/>
      <c r="O186" s="45" t="str">
        <f t="shared" si="4"/>
        <v/>
      </c>
      <c r="P186" s="29" t="str">
        <f t="shared" si="5"/>
        <v/>
      </c>
      <c r="Q186" s="29">
        <f t="shared" si="6"/>
        <v>0</v>
      </c>
      <c r="R186" s="29">
        <f t="shared" si="7"/>
        <v>0</v>
      </c>
      <c r="S186" s="26" t="str">
        <f t="shared" si="8"/>
        <v/>
      </c>
      <c r="T186" s="23"/>
      <c r="U186" s="45" t="str">
        <f t="shared" si="9"/>
        <v/>
      </c>
      <c r="V186" s="25"/>
      <c r="W186" s="45" t="str">
        <f t="shared" si="10"/>
        <v/>
      </c>
      <c r="X186" s="47"/>
      <c r="Y186" s="26" t="str">
        <f t="shared" si="11"/>
        <v/>
      </c>
      <c r="Z186" s="23"/>
      <c r="AA186" s="45" t="str">
        <f t="shared" si="12"/>
        <v/>
      </c>
      <c r="AB186" s="25"/>
      <c r="AC186" s="45" t="str">
        <f t="shared" si="13"/>
        <v/>
      </c>
      <c r="AD186" s="47"/>
      <c r="AE186" s="26"/>
      <c r="AF186" s="23"/>
      <c r="AG186" s="45" t="str">
        <f t="shared" si="14"/>
        <v/>
      </c>
      <c r="AH186" s="25"/>
      <c r="AI186" s="45" t="str">
        <f t="shared" si="15"/>
        <v/>
      </c>
      <c r="AJ186" s="27">
        <v>0.0</v>
      </c>
      <c r="AK186" s="33"/>
      <c r="AL186" s="26" t="str">
        <f t="shared" si="16"/>
        <v/>
      </c>
      <c r="AM186" s="23"/>
      <c r="AN186" s="45" t="str">
        <f t="shared" si="17"/>
        <v/>
      </c>
      <c r="AO186" s="25"/>
      <c r="AP186" s="45" t="str">
        <f t="shared" si="18"/>
        <v/>
      </c>
      <c r="AQ186" s="29" t="str">
        <f t="shared" si="19"/>
        <v/>
      </c>
      <c r="AR186" s="29">
        <f t="shared" si="20"/>
        <v>0</v>
      </c>
      <c r="AS186" s="29">
        <f t="shared" si="21"/>
        <v>0</v>
      </c>
      <c r="AT186" s="26" t="str">
        <f t="shared" si="22"/>
        <v/>
      </c>
      <c r="AU186" s="23"/>
      <c r="AV186" s="45" t="str">
        <f t="shared" si="23"/>
        <v/>
      </c>
      <c r="AW186" s="25"/>
      <c r="AX186" s="45" t="str">
        <f t="shared" si="24"/>
        <v/>
      </c>
      <c r="AY186" s="47"/>
      <c r="AZ186" s="26" t="str">
        <f t="shared" si="25"/>
        <v/>
      </c>
      <c r="BA186" s="23"/>
      <c r="BB186" s="45" t="str">
        <f t="shared" si="26"/>
        <v/>
      </c>
      <c r="BC186" s="25"/>
      <c r="BD186" s="45" t="str">
        <f t="shared" si="27"/>
        <v/>
      </c>
      <c r="BE186" s="47"/>
      <c r="BF186" s="26"/>
      <c r="BG186" s="23"/>
      <c r="BH186" s="45" t="str">
        <f t="shared" si="28"/>
        <v/>
      </c>
      <c r="BI186" s="25"/>
      <c r="BJ186" s="45" t="str">
        <f t="shared" si="29"/>
        <v/>
      </c>
      <c r="BK186" s="27">
        <v>0.0</v>
      </c>
      <c r="BL186" s="23"/>
      <c r="BM186" s="45" t="str">
        <f t="shared" si="30"/>
        <v/>
      </c>
      <c r="BN186" s="25"/>
      <c r="BO186" s="45" t="str">
        <f t="shared" si="31"/>
        <v/>
      </c>
      <c r="BP186" s="27">
        <v>0.0</v>
      </c>
      <c r="BQ186" s="33"/>
      <c r="BR186" s="23"/>
      <c r="BS186" s="45" t="str">
        <f t="shared" si="32"/>
        <v/>
      </c>
      <c r="BT186" s="25"/>
      <c r="BU186" s="45" t="str">
        <f t="shared" si="33"/>
        <v/>
      </c>
      <c r="BV186" s="29" t="str">
        <f t="shared" si="34"/>
        <v/>
      </c>
      <c r="BW186" s="29">
        <f t="shared" si="35"/>
        <v>0</v>
      </c>
      <c r="BX186" s="29">
        <f t="shared" si="36"/>
        <v>0</v>
      </c>
      <c r="BY186" s="26" t="str">
        <f t="shared" si="37"/>
        <v/>
      </c>
      <c r="BZ186" s="23"/>
      <c r="CA186" s="45" t="str">
        <f t="shared" si="38"/>
        <v/>
      </c>
      <c r="CB186" s="25"/>
      <c r="CC186" s="45" t="str">
        <f t="shared" si="39"/>
        <v/>
      </c>
      <c r="CD186" s="47"/>
      <c r="CE186" s="26" t="str">
        <f t="shared" si="40"/>
        <v/>
      </c>
      <c r="CF186" s="23"/>
      <c r="CG186" s="45" t="str">
        <f t="shared" si="41"/>
        <v/>
      </c>
      <c r="CH186" s="25"/>
      <c r="CI186" s="45" t="str">
        <f t="shared" si="42"/>
        <v/>
      </c>
      <c r="CJ186" s="47"/>
      <c r="CK186" s="26"/>
      <c r="CL186" s="23"/>
      <c r="CM186" s="45" t="str">
        <f t="shared" si="43"/>
        <v/>
      </c>
      <c r="CN186" s="25"/>
      <c r="CO186" s="45" t="str">
        <f t="shared" si="44"/>
        <v/>
      </c>
      <c r="CP186" s="27">
        <v>0.0</v>
      </c>
    </row>
    <row r="187">
      <c r="A187" s="26" t="str">
        <f t="shared" si="1"/>
        <v/>
      </c>
      <c r="B187" s="26"/>
      <c r="C187" s="81"/>
      <c r="D187" s="27"/>
      <c r="E187" s="82"/>
      <c r="F187" s="20"/>
      <c r="G187" s="20"/>
      <c r="H187" s="20"/>
      <c r="I187" s="23"/>
      <c r="J187" s="33"/>
      <c r="K187" s="26" t="str">
        <f t="shared" si="2"/>
        <v/>
      </c>
      <c r="L187" s="23"/>
      <c r="M187" s="45" t="str">
        <f t="shared" si="3"/>
        <v/>
      </c>
      <c r="N187" s="25"/>
      <c r="O187" s="45" t="str">
        <f t="shared" si="4"/>
        <v/>
      </c>
      <c r="P187" s="29" t="str">
        <f t="shared" si="5"/>
        <v/>
      </c>
      <c r="Q187" s="29">
        <f t="shared" si="6"/>
        <v>0</v>
      </c>
      <c r="R187" s="29">
        <f t="shared" si="7"/>
        <v>0</v>
      </c>
      <c r="S187" s="26" t="str">
        <f t="shared" si="8"/>
        <v/>
      </c>
      <c r="T187" s="23"/>
      <c r="U187" s="45" t="str">
        <f t="shared" si="9"/>
        <v/>
      </c>
      <c r="V187" s="25"/>
      <c r="W187" s="45" t="str">
        <f t="shared" si="10"/>
        <v/>
      </c>
      <c r="X187" s="47"/>
      <c r="Y187" s="26" t="str">
        <f t="shared" si="11"/>
        <v/>
      </c>
      <c r="Z187" s="23"/>
      <c r="AA187" s="45" t="str">
        <f t="shared" si="12"/>
        <v/>
      </c>
      <c r="AB187" s="25"/>
      <c r="AC187" s="45" t="str">
        <f t="shared" si="13"/>
        <v/>
      </c>
      <c r="AD187" s="47"/>
      <c r="AE187" s="26"/>
      <c r="AF187" s="23"/>
      <c r="AG187" s="45" t="str">
        <f t="shared" si="14"/>
        <v/>
      </c>
      <c r="AH187" s="25"/>
      <c r="AI187" s="45" t="str">
        <f t="shared" si="15"/>
        <v/>
      </c>
      <c r="AJ187" s="27">
        <v>0.0</v>
      </c>
      <c r="AK187" s="33"/>
      <c r="AL187" s="26" t="str">
        <f t="shared" si="16"/>
        <v/>
      </c>
      <c r="AM187" s="23"/>
      <c r="AN187" s="45" t="str">
        <f t="shared" si="17"/>
        <v/>
      </c>
      <c r="AO187" s="25"/>
      <c r="AP187" s="45" t="str">
        <f t="shared" si="18"/>
        <v/>
      </c>
      <c r="AQ187" s="29" t="str">
        <f t="shared" si="19"/>
        <v/>
      </c>
      <c r="AR187" s="29">
        <f t="shared" si="20"/>
        <v>0</v>
      </c>
      <c r="AS187" s="29">
        <f t="shared" si="21"/>
        <v>0</v>
      </c>
      <c r="AT187" s="26" t="str">
        <f t="shared" si="22"/>
        <v/>
      </c>
      <c r="AU187" s="23"/>
      <c r="AV187" s="45" t="str">
        <f t="shared" si="23"/>
        <v/>
      </c>
      <c r="AW187" s="25"/>
      <c r="AX187" s="45" t="str">
        <f t="shared" si="24"/>
        <v/>
      </c>
      <c r="AY187" s="47"/>
      <c r="AZ187" s="26" t="str">
        <f t="shared" si="25"/>
        <v/>
      </c>
      <c r="BA187" s="23"/>
      <c r="BB187" s="45" t="str">
        <f t="shared" si="26"/>
        <v/>
      </c>
      <c r="BC187" s="25"/>
      <c r="BD187" s="45" t="str">
        <f t="shared" si="27"/>
        <v/>
      </c>
      <c r="BE187" s="47"/>
      <c r="BF187" s="26"/>
      <c r="BG187" s="23"/>
      <c r="BH187" s="45" t="str">
        <f t="shared" si="28"/>
        <v/>
      </c>
      <c r="BI187" s="25"/>
      <c r="BJ187" s="45" t="str">
        <f t="shared" si="29"/>
        <v/>
      </c>
      <c r="BK187" s="27">
        <v>0.0</v>
      </c>
      <c r="BL187" s="23"/>
      <c r="BM187" s="45" t="str">
        <f t="shared" si="30"/>
        <v/>
      </c>
      <c r="BN187" s="25"/>
      <c r="BO187" s="45" t="str">
        <f t="shared" si="31"/>
        <v/>
      </c>
      <c r="BP187" s="27">
        <v>0.0</v>
      </c>
      <c r="BQ187" s="33"/>
      <c r="BR187" s="23"/>
      <c r="BS187" s="45" t="str">
        <f t="shared" si="32"/>
        <v/>
      </c>
      <c r="BT187" s="25"/>
      <c r="BU187" s="45" t="str">
        <f t="shared" si="33"/>
        <v/>
      </c>
      <c r="BV187" s="29" t="str">
        <f t="shared" si="34"/>
        <v/>
      </c>
      <c r="BW187" s="29">
        <f t="shared" si="35"/>
        <v>0</v>
      </c>
      <c r="BX187" s="29">
        <f t="shared" si="36"/>
        <v>0</v>
      </c>
      <c r="BY187" s="26" t="str">
        <f t="shared" si="37"/>
        <v/>
      </c>
      <c r="BZ187" s="23"/>
      <c r="CA187" s="45" t="str">
        <f t="shared" si="38"/>
        <v/>
      </c>
      <c r="CB187" s="25"/>
      <c r="CC187" s="45" t="str">
        <f t="shared" si="39"/>
        <v/>
      </c>
      <c r="CD187" s="47"/>
      <c r="CE187" s="26" t="str">
        <f t="shared" si="40"/>
        <v/>
      </c>
      <c r="CF187" s="23"/>
      <c r="CG187" s="45" t="str">
        <f t="shared" si="41"/>
        <v/>
      </c>
      <c r="CH187" s="25"/>
      <c r="CI187" s="45" t="str">
        <f t="shared" si="42"/>
        <v/>
      </c>
      <c r="CJ187" s="47"/>
      <c r="CK187" s="26"/>
      <c r="CL187" s="23"/>
      <c r="CM187" s="45" t="str">
        <f t="shared" si="43"/>
        <v/>
      </c>
      <c r="CN187" s="25"/>
      <c r="CO187" s="45" t="str">
        <f t="shared" si="44"/>
        <v/>
      </c>
      <c r="CP187" s="27">
        <v>0.0</v>
      </c>
    </row>
    <row r="188">
      <c r="A188" s="26" t="str">
        <f t="shared" si="1"/>
        <v/>
      </c>
      <c r="B188" s="26"/>
      <c r="C188" s="81"/>
      <c r="D188" s="27"/>
      <c r="E188" s="82"/>
      <c r="F188" s="20"/>
      <c r="G188" s="20"/>
      <c r="H188" s="20"/>
      <c r="I188" s="23"/>
      <c r="J188" s="33"/>
      <c r="K188" s="26" t="str">
        <f t="shared" si="2"/>
        <v/>
      </c>
      <c r="L188" s="23"/>
      <c r="M188" s="45" t="str">
        <f t="shared" si="3"/>
        <v/>
      </c>
      <c r="N188" s="25"/>
      <c r="O188" s="45" t="str">
        <f t="shared" si="4"/>
        <v/>
      </c>
      <c r="P188" s="29" t="str">
        <f t="shared" si="5"/>
        <v/>
      </c>
      <c r="Q188" s="29">
        <f t="shared" si="6"/>
        <v>0</v>
      </c>
      <c r="R188" s="29">
        <f t="shared" si="7"/>
        <v>0</v>
      </c>
      <c r="S188" s="26" t="str">
        <f t="shared" si="8"/>
        <v/>
      </c>
      <c r="T188" s="23"/>
      <c r="U188" s="45" t="str">
        <f t="shared" si="9"/>
        <v/>
      </c>
      <c r="V188" s="25"/>
      <c r="W188" s="45" t="str">
        <f t="shared" si="10"/>
        <v/>
      </c>
      <c r="X188" s="47"/>
      <c r="Y188" s="26" t="str">
        <f t="shared" si="11"/>
        <v/>
      </c>
      <c r="Z188" s="23"/>
      <c r="AA188" s="45" t="str">
        <f t="shared" si="12"/>
        <v/>
      </c>
      <c r="AB188" s="25"/>
      <c r="AC188" s="45" t="str">
        <f t="shared" si="13"/>
        <v/>
      </c>
      <c r="AD188" s="47"/>
      <c r="AE188" s="26"/>
      <c r="AF188" s="23"/>
      <c r="AG188" s="45" t="str">
        <f t="shared" si="14"/>
        <v/>
      </c>
      <c r="AH188" s="25"/>
      <c r="AI188" s="45" t="str">
        <f t="shared" si="15"/>
        <v/>
      </c>
      <c r="AJ188" s="27">
        <v>0.0</v>
      </c>
      <c r="AK188" s="33"/>
      <c r="AL188" s="26" t="str">
        <f t="shared" si="16"/>
        <v/>
      </c>
      <c r="AM188" s="23"/>
      <c r="AN188" s="45" t="str">
        <f t="shared" si="17"/>
        <v/>
      </c>
      <c r="AO188" s="25"/>
      <c r="AP188" s="45" t="str">
        <f t="shared" si="18"/>
        <v/>
      </c>
      <c r="AQ188" s="29" t="str">
        <f t="shared" si="19"/>
        <v/>
      </c>
      <c r="AR188" s="29">
        <f t="shared" si="20"/>
        <v>0</v>
      </c>
      <c r="AS188" s="29">
        <f t="shared" si="21"/>
        <v>0</v>
      </c>
      <c r="AT188" s="26" t="str">
        <f t="shared" si="22"/>
        <v/>
      </c>
      <c r="AU188" s="23"/>
      <c r="AV188" s="45" t="str">
        <f t="shared" si="23"/>
        <v/>
      </c>
      <c r="AW188" s="25"/>
      <c r="AX188" s="45" t="str">
        <f t="shared" si="24"/>
        <v/>
      </c>
      <c r="AY188" s="47"/>
      <c r="AZ188" s="26" t="str">
        <f t="shared" si="25"/>
        <v/>
      </c>
      <c r="BA188" s="23"/>
      <c r="BB188" s="45" t="str">
        <f t="shared" si="26"/>
        <v/>
      </c>
      <c r="BC188" s="25"/>
      <c r="BD188" s="45" t="str">
        <f t="shared" si="27"/>
        <v/>
      </c>
      <c r="BE188" s="47"/>
      <c r="BF188" s="26"/>
      <c r="BG188" s="23"/>
      <c r="BH188" s="45" t="str">
        <f t="shared" si="28"/>
        <v/>
      </c>
      <c r="BI188" s="25"/>
      <c r="BJ188" s="45" t="str">
        <f t="shared" si="29"/>
        <v/>
      </c>
      <c r="BK188" s="27">
        <v>0.0</v>
      </c>
      <c r="BL188" s="23"/>
      <c r="BM188" s="45" t="str">
        <f t="shared" si="30"/>
        <v/>
      </c>
      <c r="BN188" s="25"/>
      <c r="BO188" s="45" t="str">
        <f t="shared" si="31"/>
        <v/>
      </c>
      <c r="BP188" s="27">
        <v>0.0</v>
      </c>
      <c r="BQ188" s="33"/>
      <c r="BR188" s="23"/>
      <c r="BS188" s="45" t="str">
        <f t="shared" si="32"/>
        <v/>
      </c>
      <c r="BT188" s="25"/>
      <c r="BU188" s="45" t="str">
        <f t="shared" si="33"/>
        <v/>
      </c>
      <c r="BV188" s="29" t="str">
        <f t="shared" si="34"/>
        <v/>
      </c>
      <c r="BW188" s="29">
        <f t="shared" si="35"/>
        <v>0</v>
      </c>
      <c r="BX188" s="29">
        <f t="shared" si="36"/>
        <v>0</v>
      </c>
      <c r="BY188" s="26" t="str">
        <f t="shared" si="37"/>
        <v/>
      </c>
      <c r="BZ188" s="23"/>
      <c r="CA188" s="45" t="str">
        <f t="shared" si="38"/>
        <v/>
      </c>
      <c r="CB188" s="25"/>
      <c r="CC188" s="45" t="str">
        <f t="shared" si="39"/>
        <v/>
      </c>
      <c r="CD188" s="47"/>
      <c r="CE188" s="26" t="str">
        <f t="shared" si="40"/>
        <v/>
      </c>
      <c r="CF188" s="23"/>
      <c r="CG188" s="45" t="str">
        <f t="shared" si="41"/>
        <v/>
      </c>
      <c r="CH188" s="25"/>
      <c r="CI188" s="45" t="str">
        <f t="shared" si="42"/>
        <v/>
      </c>
      <c r="CJ188" s="47"/>
      <c r="CK188" s="26"/>
      <c r="CL188" s="23"/>
      <c r="CM188" s="45" t="str">
        <f t="shared" si="43"/>
        <v/>
      </c>
      <c r="CN188" s="25"/>
      <c r="CO188" s="45" t="str">
        <f t="shared" si="44"/>
        <v/>
      </c>
      <c r="CP188" s="27">
        <v>0.0</v>
      </c>
    </row>
    <row r="189">
      <c r="A189" s="26" t="str">
        <f t="shared" si="1"/>
        <v/>
      </c>
      <c r="B189" s="26"/>
      <c r="C189" s="81"/>
      <c r="D189" s="27"/>
      <c r="E189" s="82"/>
      <c r="F189" s="20"/>
      <c r="G189" s="20"/>
      <c r="H189" s="20"/>
      <c r="I189" s="23"/>
      <c r="J189" s="33"/>
      <c r="K189" s="26" t="str">
        <f t="shared" si="2"/>
        <v/>
      </c>
      <c r="L189" s="23"/>
      <c r="M189" s="45" t="str">
        <f t="shared" si="3"/>
        <v/>
      </c>
      <c r="N189" s="25"/>
      <c r="O189" s="45" t="str">
        <f t="shared" si="4"/>
        <v/>
      </c>
      <c r="P189" s="29" t="str">
        <f t="shared" si="5"/>
        <v/>
      </c>
      <c r="Q189" s="29">
        <f t="shared" si="6"/>
        <v>0</v>
      </c>
      <c r="R189" s="29">
        <f t="shared" si="7"/>
        <v>0</v>
      </c>
      <c r="S189" s="26" t="str">
        <f t="shared" si="8"/>
        <v/>
      </c>
      <c r="T189" s="23"/>
      <c r="U189" s="45" t="str">
        <f t="shared" si="9"/>
        <v/>
      </c>
      <c r="V189" s="25"/>
      <c r="W189" s="45" t="str">
        <f t="shared" si="10"/>
        <v/>
      </c>
      <c r="X189" s="47"/>
      <c r="Y189" s="26" t="str">
        <f t="shared" si="11"/>
        <v/>
      </c>
      <c r="Z189" s="23"/>
      <c r="AA189" s="45" t="str">
        <f t="shared" si="12"/>
        <v/>
      </c>
      <c r="AB189" s="25"/>
      <c r="AC189" s="45" t="str">
        <f t="shared" si="13"/>
        <v/>
      </c>
      <c r="AD189" s="47"/>
      <c r="AE189" s="26"/>
      <c r="AF189" s="23"/>
      <c r="AG189" s="45" t="str">
        <f t="shared" si="14"/>
        <v/>
      </c>
      <c r="AH189" s="25"/>
      <c r="AI189" s="45" t="str">
        <f t="shared" si="15"/>
        <v/>
      </c>
      <c r="AJ189" s="27">
        <v>0.0</v>
      </c>
      <c r="AK189" s="33"/>
      <c r="AL189" s="26" t="str">
        <f t="shared" si="16"/>
        <v/>
      </c>
      <c r="AM189" s="23"/>
      <c r="AN189" s="45" t="str">
        <f t="shared" si="17"/>
        <v/>
      </c>
      <c r="AO189" s="25"/>
      <c r="AP189" s="45" t="str">
        <f t="shared" si="18"/>
        <v/>
      </c>
      <c r="AQ189" s="29" t="str">
        <f t="shared" si="19"/>
        <v/>
      </c>
      <c r="AR189" s="29">
        <f t="shared" si="20"/>
        <v>0</v>
      </c>
      <c r="AS189" s="29">
        <f t="shared" si="21"/>
        <v>0</v>
      </c>
      <c r="AT189" s="26" t="str">
        <f t="shared" si="22"/>
        <v/>
      </c>
      <c r="AU189" s="23"/>
      <c r="AV189" s="45" t="str">
        <f t="shared" si="23"/>
        <v/>
      </c>
      <c r="AW189" s="25"/>
      <c r="AX189" s="45" t="str">
        <f t="shared" si="24"/>
        <v/>
      </c>
      <c r="AY189" s="47"/>
      <c r="AZ189" s="26" t="str">
        <f t="shared" si="25"/>
        <v/>
      </c>
      <c r="BA189" s="23"/>
      <c r="BB189" s="45" t="str">
        <f t="shared" si="26"/>
        <v/>
      </c>
      <c r="BC189" s="25"/>
      <c r="BD189" s="45" t="str">
        <f t="shared" si="27"/>
        <v/>
      </c>
      <c r="BE189" s="47"/>
      <c r="BF189" s="26"/>
      <c r="BG189" s="23"/>
      <c r="BH189" s="45" t="str">
        <f t="shared" si="28"/>
        <v/>
      </c>
      <c r="BI189" s="25"/>
      <c r="BJ189" s="45" t="str">
        <f t="shared" si="29"/>
        <v/>
      </c>
      <c r="BK189" s="27">
        <v>0.0</v>
      </c>
      <c r="BL189" s="23"/>
      <c r="BM189" s="45" t="str">
        <f t="shared" si="30"/>
        <v/>
      </c>
      <c r="BN189" s="25"/>
      <c r="BO189" s="45" t="str">
        <f t="shared" si="31"/>
        <v/>
      </c>
      <c r="BP189" s="27">
        <v>0.0</v>
      </c>
      <c r="BQ189" s="33"/>
      <c r="BR189" s="23"/>
      <c r="BS189" s="45" t="str">
        <f t="shared" si="32"/>
        <v/>
      </c>
      <c r="BT189" s="25"/>
      <c r="BU189" s="45" t="str">
        <f t="shared" si="33"/>
        <v/>
      </c>
      <c r="BV189" s="29" t="str">
        <f t="shared" si="34"/>
        <v/>
      </c>
      <c r="BW189" s="29">
        <f t="shared" si="35"/>
        <v>0</v>
      </c>
      <c r="BX189" s="29">
        <f t="shared" si="36"/>
        <v>0</v>
      </c>
      <c r="BY189" s="26" t="str">
        <f t="shared" si="37"/>
        <v/>
      </c>
      <c r="BZ189" s="23"/>
      <c r="CA189" s="45" t="str">
        <f t="shared" si="38"/>
        <v/>
      </c>
      <c r="CB189" s="25"/>
      <c r="CC189" s="45" t="str">
        <f t="shared" si="39"/>
        <v/>
      </c>
      <c r="CD189" s="47"/>
      <c r="CE189" s="26" t="str">
        <f t="shared" si="40"/>
        <v/>
      </c>
      <c r="CF189" s="23"/>
      <c r="CG189" s="45" t="str">
        <f t="shared" si="41"/>
        <v/>
      </c>
      <c r="CH189" s="25"/>
      <c r="CI189" s="45" t="str">
        <f t="shared" si="42"/>
        <v/>
      </c>
      <c r="CJ189" s="47"/>
      <c r="CK189" s="26"/>
      <c r="CL189" s="23"/>
      <c r="CM189" s="45" t="str">
        <f t="shared" si="43"/>
        <v/>
      </c>
      <c r="CN189" s="25"/>
      <c r="CO189" s="45" t="str">
        <f t="shared" si="44"/>
        <v/>
      </c>
      <c r="CP189" s="27">
        <v>0.0</v>
      </c>
    </row>
    <row r="190">
      <c r="A190" s="26" t="str">
        <f t="shared" si="1"/>
        <v/>
      </c>
      <c r="B190" s="26"/>
      <c r="C190" s="81"/>
      <c r="D190" s="27"/>
      <c r="E190" s="82"/>
      <c r="F190" s="20"/>
      <c r="G190" s="20"/>
      <c r="H190" s="20"/>
      <c r="I190" s="23"/>
      <c r="J190" s="33"/>
      <c r="K190" s="26" t="str">
        <f t="shared" si="2"/>
        <v/>
      </c>
      <c r="L190" s="23"/>
      <c r="M190" s="45" t="str">
        <f t="shared" si="3"/>
        <v/>
      </c>
      <c r="N190" s="25"/>
      <c r="O190" s="45" t="str">
        <f t="shared" si="4"/>
        <v/>
      </c>
      <c r="P190" s="29" t="str">
        <f t="shared" si="5"/>
        <v/>
      </c>
      <c r="Q190" s="29">
        <f t="shared" si="6"/>
        <v>0</v>
      </c>
      <c r="R190" s="29">
        <f t="shared" si="7"/>
        <v>0</v>
      </c>
      <c r="S190" s="26" t="str">
        <f t="shared" si="8"/>
        <v/>
      </c>
      <c r="T190" s="23"/>
      <c r="U190" s="45" t="str">
        <f t="shared" si="9"/>
        <v/>
      </c>
      <c r="V190" s="25"/>
      <c r="W190" s="45" t="str">
        <f t="shared" si="10"/>
        <v/>
      </c>
      <c r="X190" s="47"/>
      <c r="Y190" s="26" t="str">
        <f t="shared" si="11"/>
        <v/>
      </c>
      <c r="Z190" s="23"/>
      <c r="AA190" s="45" t="str">
        <f t="shared" si="12"/>
        <v/>
      </c>
      <c r="AB190" s="25"/>
      <c r="AC190" s="45" t="str">
        <f t="shared" si="13"/>
        <v/>
      </c>
      <c r="AD190" s="47"/>
      <c r="AE190" s="26"/>
      <c r="AF190" s="23"/>
      <c r="AG190" s="45" t="str">
        <f t="shared" si="14"/>
        <v/>
      </c>
      <c r="AH190" s="25"/>
      <c r="AI190" s="45" t="str">
        <f t="shared" si="15"/>
        <v/>
      </c>
      <c r="AJ190" s="27">
        <v>0.0</v>
      </c>
      <c r="AK190" s="33"/>
      <c r="AL190" s="26" t="str">
        <f t="shared" si="16"/>
        <v/>
      </c>
      <c r="AM190" s="23"/>
      <c r="AN190" s="45" t="str">
        <f t="shared" si="17"/>
        <v/>
      </c>
      <c r="AO190" s="25"/>
      <c r="AP190" s="45" t="str">
        <f t="shared" si="18"/>
        <v/>
      </c>
      <c r="AQ190" s="29" t="str">
        <f t="shared" si="19"/>
        <v/>
      </c>
      <c r="AR190" s="29">
        <f t="shared" si="20"/>
        <v>0</v>
      </c>
      <c r="AS190" s="29">
        <f t="shared" si="21"/>
        <v>0</v>
      </c>
      <c r="AT190" s="26" t="str">
        <f t="shared" si="22"/>
        <v/>
      </c>
      <c r="AU190" s="23"/>
      <c r="AV190" s="45" t="str">
        <f t="shared" si="23"/>
        <v/>
      </c>
      <c r="AW190" s="25"/>
      <c r="AX190" s="45" t="str">
        <f t="shared" si="24"/>
        <v/>
      </c>
      <c r="AY190" s="47"/>
      <c r="AZ190" s="26" t="str">
        <f t="shared" si="25"/>
        <v/>
      </c>
      <c r="BA190" s="23"/>
      <c r="BB190" s="45" t="str">
        <f t="shared" si="26"/>
        <v/>
      </c>
      <c r="BC190" s="25"/>
      <c r="BD190" s="45" t="str">
        <f t="shared" si="27"/>
        <v/>
      </c>
      <c r="BE190" s="47"/>
      <c r="BF190" s="26"/>
      <c r="BG190" s="23"/>
      <c r="BH190" s="45" t="str">
        <f t="shared" si="28"/>
        <v/>
      </c>
      <c r="BI190" s="25"/>
      <c r="BJ190" s="45" t="str">
        <f t="shared" si="29"/>
        <v/>
      </c>
      <c r="BK190" s="27">
        <v>0.0</v>
      </c>
      <c r="BL190" s="23"/>
      <c r="BM190" s="45" t="str">
        <f t="shared" si="30"/>
        <v/>
      </c>
      <c r="BN190" s="25"/>
      <c r="BO190" s="45" t="str">
        <f t="shared" si="31"/>
        <v/>
      </c>
      <c r="BP190" s="27">
        <v>0.0</v>
      </c>
      <c r="BQ190" s="33"/>
      <c r="BR190" s="23"/>
      <c r="BS190" s="45" t="str">
        <f t="shared" si="32"/>
        <v/>
      </c>
      <c r="BT190" s="25"/>
      <c r="BU190" s="45" t="str">
        <f t="shared" si="33"/>
        <v/>
      </c>
      <c r="BV190" s="29" t="str">
        <f t="shared" si="34"/>
        <v/>
      </c>
      <c r="BW190" s="29">
        <f t="shared" si="35"/>
        <v>0</v>
      </c>
      <c r="BX190" s="29">
        <f t="shared" si="36"/>
        <v>0</v>
      </c>
      <c r="BY190" s="26" t="str">
        <f t="shared" si="37"/>
        <v/>
      </c>
      <c r="BZ190" s="23"/>
      <c r="CA190" s="45" t="str">
        <f t="shared" si="38"/>
        <v/>
      </c>
      <c r="CB190" s="25"/>
      <c r="CC190" s="45" t="str">
        <f t="shared" si="39"/>
        <v/>
      </c>
      <c r="CD190" s="47"/>
      <c r="CE190" s="26" t="str">
        <f t="shared" si="40"/>
        <v/>
      </c>
      <c r="CF190" s="23"/>
      <c r="CG190" s="45" t="str">
        <f t="shared" si="41"/>
        <v/>
      </c>
      <c r="CH190" s="25"/>
      <c r="CI190" s="45" t="str">
        <f t="shared" si="42"/>
        <v/>
      </c>
      <c r="CJ190" s="47"/>
      <c r="CK190" s="26"/>
      <c r="CL190" s="23"/>
      <c r="CM190" s="45" t="str">
        <f t="shared" si="43"/>
        <v/>
      </c>
      <c r="CN190" s="25"/>
      <c r="CO190" s="45" t="str">
        <f t="shared" si="44"/>
        <v/>
      </c>
      <c r="CP190" s="27">
        <v>0.0</v>
      </c>
    </row>
    <row r="191">
      <c r="A191" s="26" t="str">
        <f t="shared" si="1"/>
        <v/>
      </c>
      <c r="B191" s="26"/>
      <c r="C191" s="81"/>
      <c r="D191" s="27"/>
      <c r="E191" s="82"/>
      <c r="F191" s="20"/>
      <c r="G191" s="20"/>
      <c r="H191" s="20"/>
      <c r="I191" s="23"/>
      <c r="J191" s="33"/>
      <c r="K191" s="26" t="str">
        <f t="shared" si="2"/>
        <v/>
      </c>
      <c r="L191" s="23"/>
      <c r="M191" s="45" t="str">
        <f t="shared" si="3"/>
        <v/>
      </c>
      <c r="N191" s="25"/>
      <c r="O191" s="45" t="str">
        <f t="shared" si="4"/>
        <v/>
      </c>
      <c r="P191" s="29" t="str">
        <f t="shared" si="5"/>
        <v/>
      </c>
      <c r="Q191" s="29">
        <f t="shared" si="6"/>
        <v>0</v>
      </c>
      <c r="R191" s="29">
        <f t="shared" si="7"/>
        <v>0</v>
      </c>
      <c r="S191" s="26" t="str">
        <f t="shared" si="8"/>
        <v/>
      </c>
      <c r="T191" s="23"/>
      <c r="U191" s="45" t="str">
        <f t="shared" si="9"/>
        <v/>
      </c>
      <c r="V191" s="25"/>
      <c r="W191" s="45" t="str">
        <f t="shared" si="10"/>
        <v/>
      </c>
      <c r="X191" s="47"/>
      <c r="Y191" s="26" t="str">
        <f t="shared" si="11"/>
        <v/>
      </c>
      <c r="Z191" s="23"/>
      <c r="AA191" s="45" t="str">
        <f t="shared" si="12"/>
        <v/>
      </c>
      <c r="AB191" s="25"/>
      <c r="AC191" s="45" t="str">
        <f t="shared" si="13"/>
        <v/>
      </c>
      <c r="AD191" s="47"/>
      <c r="AE191" s="26"/>
      <c r="AF191" s="23"/>
      <c r="AG191" s="45" t="str">
        <f t="shared" si="14"/>
        <v/>
      </c>
      <c r="AH191" s="25"/>
      <c r="AI191" s="45" t="str">
        <f t="shared" si="15"/>
        <v/>
      </c>
      <c r="AJ191" s="27">
        <v>0.0</v>
      </c>
      <c r="AK191" s="33"/>
      <c r="AL191" s="26" t="str">
        <f t="shared" si="16"/>
        <v/>
      </c>
      <c r="AM191" s="23"/>
      <c r="AN191" s="45" t="str">
        <f t="shared" si="17"/>
        <v/>
      </c>
      <c r="AO191" s="25"/>
      <c r="AP191" s="45" t="str">
        <f t="shared" si="18"/>
        <v/>
      </c>
      <c r="AQ191" s="29" t="str">
        <f t="shared" si="19"/>
        <v/>
      </c>
      <c r="AR191" s="29">
        <f t="shared" si="20"/>
        <v>0</v>
      </c>
      <c r="AS191" s="29">
        <f t="shared" si="21"/>
        <v>0</v>
      </c>
      <c r="AT191" s="26" t="str">
        <f t="shared" si="22"/>
        <v/>
      </c>
      <c r="AU191" s="23"/>
      <c r="AV191" s="45" t="str">
        <f t="shared" si="23"/>
        <v/>
      </c>
      <c r="AW191" s="25"/>
      <c r="AX191" s="45" t="str">
        <f t="shared" si="24"/>
        <v/>
      </c>
      <c r="AY191" s="47"/>
      <c r="AZ191" s="26" t="str">
        <f t="shared" si="25"/>
        <v/>
      </c>
      <c r="BA191" s="23"/>
      <c r="BB191" s="45" t="str">
        <f t="shared" si="26"/>
        <v/>
      </c>
      <c r="BC191" s="25"/>
      <c r="BD191" s="45" t="str">
        <f t="shared" si="27"/>
        <v/>
      </c>
      <c r="BE191" s="47"/>
      <c r="BF191" s="26"/>
      <c r="BG191" s="23"/>
      <c r="BH191" s="45" t="str">
        <f t="shared" si="28"/>
        <v/>
      </c>
      <c r="BI191" s="25"/>
      <c r="BJ191" s="45" t="str">
        <f t="shared" si="29"/>
        <v/>
      </c>
      <c r="BK191" s="27">
        <v>0.0</v>
      </c>
      <c r="BL191" s="23"/>
      <c r="BM191" s="45" t="str">
        <f t="shared" si="30"/>
        <v/>
      </c>
      <c r="BN191" s="25"/>
      <c r="BO191" s="45" t="str">
        <f t="shared" si="31"/>
        <v/>
      </c>
      <c r="BP191" s="27">
        <v>0.0</v>
      </c>
      <c r="BQ191" s="33"/>
      <c r="BR191" s="23"/>
      <c r="BS191" s="45" t="str">
        <f t="shared" si="32"/>
        <v/>
      </c>
      <c r="BT191" s="25"/>
      <c r="BU191" s="45" t="str">
        <f t="shared" si="33"/>
        <v/>
      </c>
      <c r="BV191" s="29" t="str">
        <f t="shared" si="34"/>
        <v/>
      </c>
      <c r="BW191" s="29">
        <f t="shared" si="35"/>
        <v>0</v>
      </c>
      <c r="BX191" s="29">
        <f t="shared" si="36"/>
        <v>0</v>
      </c>
      <c r="BY191" s="26" t="str">
        <f t="shared" si="37"/>
        <v/>
      </c>
      <c r="BZ191" s="23"/>
      <c r="CA191" s="45" t="str">
        <f t="shared" si="38"/>
        <v/>
      </c>
      <c r="CB191" s="25"/>
      <c r="CC191" s="45" t="str">
        <f t="shared" si="39"/>
        <v/>
      </c>
      <c r="CD191" s="47"/>
      <c r="CE191" s="26" t="str">
        <f t="shared" si="40"/>
        <v/>
      </c>
      <c r="CF191" s="23"/>
      <c r="CG191" s="45" t="str">
        <f t="shared" si="41"/>
        <v/>
      </c>
      <c r="CH191" s="25"/>
      <c r="CI191" s="45" t="str">
        <f t="shared" si="42"/>
        <v/>
      </c>
      <c r="CJ191" s="47"/>
      <c r="CK191" s="26"/>
      <c r="CL191" s="23"/>
      <c r="CM191" s="45" t="str">
        <f t="shared" si="43"/>
        <v/>
      </c>
      <c r="CN191" s="25"/>
      <c r="CO191" s="45" t="str">
        <f t="shared" si="44"/>
        <v/>
      </c>
      <c r="CP191" s="27">
        <v>0.0</v>
      </c>
    </row>
    <row r="192">
      <c r="A192" s="26" t="str">
        <f t="shared" si="1"/>
        <v/>
      </c>
      <c r="B192" s="26"/>
      <c r="C192" s="81"/>
      <c r="D192" s="27"/>
      <c r="E192" s="82"/>
      <c r="F192" s="20"/>
      <c r="G192" s="20"/>
      <c r="H192" s="20"/>
      <c r="I192" s="23"/>
      <c r="J192" s="33"/>
      <c r="K192" s="26" t="str">
        <f t="shared" si="2"/>
        <v/>
      </c>
      <c r="L192" s="23"/>
      <c r="M192" s="45" t="str">
        <f t="shared" si="3"/>
        <v/>
      </c>
      <c r="N192" s="25"/>
      <c r="O192" s="45" t="str">
        <f t="shared" si="4"/>
        <v/>
      </c>
      <c r="P192" s="29" t="str">
        <f t="shared" si="5"/>
        <v/>
      </c>
      <c r="Q192" s="29">
        <f t="shared" si="6"/>
        <v>0</v>
      </c>
      <c r="R192" s="29">
        <f t="shared" si="7"/>
        <v>0</v>
      </c>
      <c r="S192" s="26" t="str">
        <f t="shared" si="8"/>
        <v/>
      </c>
      <c r="T192" s="23"/>
      <c r="U192" s="45" t="str">
        <f t="shared" si="9"/>
        <v/>
      </c>
      <c r="V192" s="25"/>
      <c r="W192" s="45" t="str">
        <f t="shared" si="10"/>
        <v/>
      </c>
      <c r="X192" s="47"/>
      <c r="Y192" s="26" t="str">
        <f t="shared" si="11"/>
        <v/>
      </c>
      <c r="Z192" s="23"/>
      <c r="AA192" s="45" t="str">
        <f t="shared" si="12"/>
        <v/>
      </c>
      <c r="AB192" s="25"/>
      <c r="AC192" s="45" t="str">
        <f t="shared" si="13"/>
        <v/>
      </c>
      <c r="AD192" s="47"/>
      <c r="AE192" s="26"/>
      <c r="AF192" s="23"/>
      <c r="AG192" s="45" t="str">
        <f t="shared" si="14"/>
        <v/>
      </c>
      <c r="AH192" s="25"/>
      <c r="AI192" s="45" t="str">
        <f t="shared" si="15"/>
        <v/>
      </c>
      <c r="AJ192" s="27">
        <v>0.0</v>
      </c>
      <c r="AK192" s="33"/>
      <c r="AL192" s="26" t="str">
        <f t="shared" si="16"/>
        <v/>
      </c>
      <c r="AM192" s="23"/>
      <c r="AN192" s="45" t="str">
        <f t="shared" si="17"/>
        <v/>
      </c>
      <c r="AO192" s="25"/>
      <c r="AP192" s="45" t="str">
        <f t="shared" si="18"/>
        <v/>
      </c>
      <c r="AQ192" s="29" t="str">
        <f t="shared" si="19"/>
        <v/>
      </c>
      <c r="AR192" s="29">
        <f t="shared" si="20"/>
        <v>0</v>
      </c>
      <c r="AS192" s="29">
        <f t="shared" si="21"/>
        <v>0</v>
      </c>
      <c r="AT192" s="26" t="str">
        <f t="shared" si="22"/>
        <v/>
      </c>
      <c r="AU192" s="23"/>
      <c r="AV192" s="45" t="str">
        <f t="shared" si="23"/>
        <v/>
      </c>
      <c r="AW192" s="25"/>
      <c r="AX192" s="45" t="str">
        <f t="shared" si="24"/>
        <v/>
      </c>
      <c r="AY192" s="47"/>
      <c r="AZ192" s="26" t="str">
        <f t="shared" si="25"/>
        <v/>
      </c>
      <c r="BA192" s="23"/>
      <c r="BB192" s="45" t="str">
        <f t="shared" si="26"/>
        <v/>
      </c>
      <c r="BC192" s="25"/>
      <c r="BD192" s="45" t="str">
        <f t="shared" si="27"/>
        <v/>
      </c>
      <c r="BE192" s="47"/>
      <c r="BF192" s="26"/>
      <c r="BG192" s="23"/>
      <c r="BH192" s="45" t="str">
        <f t="shared" si="28"/>
        <v/>
      </c>
      <c r="BI192" s="25"/>
      <c r="BJ192" s="45" t="str">
        <f t="shared" si="29"/>
        <v/>
      </c>
      <c r="BK192" s="27">
        <v>0.0</v>
      </c>
      <c r="BL192" s="23"/>
      <c r="BM192" s="45" t="str">
        <f t="shared" si="30"/>
        <v/>
      </c>
      <c r="BN192" s="25"/>
      <c r="BO192" s="45" t="str">
        <f t="shared" si="31"/>
        <v/>
      </c>
      <c r="BP192" s="27">
        <v>0.0</v>
      </c>
      <c r="BQ192" s="33"/>
      <c r="BR192" s="23"/>
      <c r="BS192" s="45" t="str">
        <f t="shared" si="32"/>
        <v/>
      </c>
      <c r="BT192" s="25"/>
      <c r="BU192" s="45" t="str">
        <f t="shared" si="33"/>
        <v/>
      </c>
      <c r="BV192" s="29" t="str">
        <f t="shared" si="34"/>
        <v/>
      </c>
      <c r="BW192" s="29">
        <f t="shared" si="35"/>
        <v>0</v>
      </c>
      <c r="BX192" s="29">
        <f t="shared" si="36"/>
        <v>0</v>
      </c>
      <c r="BY192" s="26" t="str">
        <f t="shared" si="37"/>
        <v/>
      </c>
      <c r="BZ192" s="23"/>
      <c r="CA192" s="45" t="str">
        <f t="shared" si="38"/>
        <v/>
      </c>
      <c r="CB192" s="25"/>
      <c r="CC192" s="45" t="str">
        <f t="shared" si="39"/>
        <v/>
      </c>
      <c r="CD192" s="47"/>
      <c r="CE192" s="26" t="str">
        <f t="shared" si="40"/>
        <v/>
      </c>
      <c r="CF192" s="23"/>
      <c r="CG192" s="45" t="str">
        <f t="shared" si="41"/>
        <v/>
      </c>
      <c r="CH192" s="25"/>
      <c r="CI192" s="45" t="str">
        <f t="shared" si="42"/>
        <v/>
      </c>
      <c r="CJ192" s="47"/>
      <c r="CK192" s="26"/>
      <c r="CL192" s="23"/>
      <c r="CM192" s="45" t="str">
        <f t="shared" si="43"/>
        <v/>
      </c>
      <c r="CN192" s="25"/>
      <c r="CO192" s="45" t="str">
        <f t="shared" si="44"/>
        <v/>
      </c>
      <c r="CP192" s="27">
        <v>0.0</v>
      </c>
    </row>
    <row r="193">
      <c r="A193" s="26" t="str">
        <f t="shared" si="1"/>
        <v/>
      </c>
      <c r="B193" s="26"/>
      <c r="C193" s="81"/>
      <c r="D193" s="27"/>
      <c r="E193" s="82"/>
      <c r="F193" s="20"/>
      <c r="G193" s="20"/>
      <c r="H193" s="20"/>
      <c r="I193" s="23"/>
      <c r="J193" s="33"/>
      <c r="K193" s="26" t="str">
        <f t="shared" si="2"/>
        <v/>
      </c>
      <c r="L193" s="23"/>
      <c r="M193" s="45" t="str">
        <f t="shared" si="3"/>
        <v/>
      </c>
      <c r="N193" s="25"/>
      <c r="O193" s="45" t="str">
        <f t="shared" si="4"/>
        <v/>
      </c>
      <c r="P193" s="29" t="str">
        <f t="shared" si="5"/>
        <v/>
      </c>
      <c r="Q193" s="29">
        <f t="shared" si="6"/>
        <v>0</v>
      </c>
      <c r="R193" s="29">
        <f t="shared" si="7"/>
        <v>0</v>
      </c>
      <c r="S193" s="26" t="str">
        <f t="shared" si="8"/>
        <v/>
      </c>
      <c r="T193" s="23"/>
      <c r="U193" s="45" t="str">
        <f t="shared" si="9"/>
        <v/>
      </c>
      <c r="V193" s="25"/>
      <c r="W193" s="45" t="str">
        <f t="shared" si="10"/>
        <v/>
      </c>
      <c r="X193" s="47"/>
      <c r="Y193" s="26" t="str">
        <f t="shared" si="11"/>
        <v/>
      </c>
      <c r="Z193" s="23"/>
      <c r="AA193" s="45" t="str">
        <f t="shared" si="12"/>
        <v/>
      </c>
      <c r="AB193" s="25"/>
      <c r="AC193" s="45" t="str">
        <f t="shared" si="13"/>
        <v/>
      </c>
      <c r="AD193" s="47"/>
      <c r="AE193" s="26"/>
      <c r="AF193" s="23"/>
      <c r="AG193" s="45" t="str">
        <f t="shared" si="14"/>
        <v/>
      </c>
      <c r="AH193" s="25"/>
      <c r="AI193" s="45" t="str">
        <f t="shared" si="15"/>
        <v/>
      </c>
      <c r="AJ193" s="27">
        <v>0.0</v>
      </c>
      <c r="AK193" s="33"/>
      <c r="AL193" s="26" t="str">
        <f t="shared" si="16"/>
        <v/>
      </c>
      <c r="AM193" s="23"/>
      <c r="AN193" s="45" t="str">
        <f t="shared" si="17"/>
        <v/>
      </c>
      <c r="AO193" s="25"/>
      <c r="AP193" s="45" t="str">
        <f t="shared" si="18"/>
        <v/>
      </c>
      <c r="AQ193" s="29" t="str">
        <f t="shared" si="19"/>
        <v/>
      </c>
      <c r="AR193" s="29">
        <f t="shared" si="20"/>
        <v>0</v>
      </c>
      <c r="AS193" s="29">
        <f t="shared" si="21"/>
        <v>0</v>
      </c>
      <c r="AT193" s="26" t="str">
        <f t="shared" si="22"/>
        <v/>
      </c>
      <c r="AU193" s="23"/>
      <c r="AV193" s="45" t="str">
        <f t="shared" si="23"/>
        <v/>
      </c>
      <c r="AW193" s="25"/>
      <c r="AX193" s="45" t="str">
        <f t="shared" si="24"/>
        <v/>
      </c>
      <c r="AY193" s="47"/>
      <c r="AZ193" s="26" t="str">
        <f t="shared" si="25"/>
        <v/>
      </c>
      <c r="BA193" s="23"/>
      <c r="BB193" s="45" t="str">
        <f t="shared" si="26"/>
        <v/>
      </c>
      <c r="BC193" s="25"/>
      <c r="BD193" s="45" t="str">
        <f t="shared" si="27"/>
        <v/>
      </c>
      <c r="BE193" s="47"/>
      <c r="BF193" s="26"/>
      <c r="BG193" s="23"/>
      <c r="BH193" s="45" t="str">
        <f t="shared" si="28"/>
        <v/>
      </c>
      <c r="BI193" s="25"/>
      <c r="BJ193" s="45" t="str">
        <f t="shared" si="29"/>
        <v/>
      </c>
      <c r="BK193" s="27">
        <v>0.0</v>
      </c>
      <c r="BL193" s="23"/>
      <c r="BM193" s="45" t="str">
        <f t="shared" si="30"/>
        <v/>
      </c>
      <c r="BN193" s="25"/>
      <c r="BO193" s="45" t="str">
        <f t="shared" si="31"/>
        <v/>
      </c>
      <c r="BP193" s="27">
        <v>0.0</v>
      </c>
      <c r="BQ193" s="33"/>
      <c r="BR193" s="23"/>
      <c r="BS193" s="45" t="str">
        <f t="shared" si="32"/>
        <v/>
      </c>
      <c r="BT193" s="25"/>
      <c r="BU193" s="45" t="str">
        <f t="shared" si="33"/>
        <v/>
      </c>
      <c r="BV193" s="29" t="str">
        <f t="shared" si="34"/>
        <v/>
      </c>
      <c r="BW193" s="29">
        <f t="shared" si="35"/>
        <v>0</v>
      </c>
      <c r="BX193" s="29">
        <f t="shared" si="36"/>
        <v>0</v>
      </c>
      <c r="BY193" s="26" t="str">
        <f t="shared" si="37"/>
        <v/>
      </c>
      <c r="BZ193" s="23"/>
      <c r="CA193" s="45" t="str">
        <f t="shared" si="38"/>
        <v/>
      </c>
      <c r="CB193" s="25"/>
      <c r="CC193" s="45" t="str">
        <f t="shared" si="39"/>
        <v/>
      </c>
      <c r="CD193" s="47"/>
      <c r="CE193" s="26" t="str">
        <f t="shared" si="40"/>
        <v/>
      </c>
      <c r="CF193" s="23"/>
      <c r="CG193" s="45" t="str">
        <f t="shared" si="41"/>
        <v/>
      </c>
      <c r="CH193" s="25"/>
      <c r="CI193" s="45" t="str">
        <f t="shared" si="42"/>
        <v/>
      </c>
      <c r="CJ193" s="47"/>
      <c r="CK193" s="26"/>
      <c r="CL193" s="23"/>
      <c r="CM193" s="45" t="str">
        <f t="shared" si="43"/>
        <v/>
      </c>
      <c r="CN193" s="25"/>
      <c r="CO193" s="45" t="str">
        <f t="shared" si="44"/>
        <v/>
      </c>
      <c r="CP193" s="27">
        <v>0.0</v>
      </c>
    </row>
    <row r="194">
      <c r="A194" s="26" t="str">
        <f t="shared" si="1"/>
        <v/>
      </c>
      <c r="B194" s="26"/>
      <c r="C194" s="81"/>
      <c r="D194" s="27"/>
      <c r="E194" s="82"/>
      <c r="F194" s="20"/>
      <c r="G194" s="20"/>
      <c r="H194" s="20"/>
      <c r="I194" s="23"/>
      <c r="J194" s="33"/>
      <c r="K194" s="26" t="str">
        <f t="shared" si="2"/>
        <v/>
      </c>
      <c r="L194" s="23"/>
      <c r="M194" s="45" t="str">
        <f t="shared" si="3"/>
        <v/>
      </c>
      <c r="N194" s="25"/>
      <c r="O194" s="45" t="str">
        <f t="shared" si="4"/>
        <v/>
      </c>
      <c r="P194" s="29" t="str">
        <f t="shared" si="5"/>
        <v/>
      </c>
      <c r="Q194" s="29">
        <f t="shared" si="6"/>
        <v>0</v>
      </c>
      <c r="R194" s="29">
        <f t="shared" si="7"/>
        <v>0</v>
      </c>
      <c r="S194" s="26" t="str">
        <f t="shared" si="8"/>
        <v/>
      </c>
      <c r="T194" s="23"/>
      <c r="U194" s="45" t="str">
        <f t="shared" si="9"/>
        <v/>
      </c>
      <c r="V194" s="25"/>
      <c r="W194" s="45" t="str">
        <f t="shared" si="10"/>
        <v/>
      </c>
      <c r="X194" s="47"/>
      <c r="Y194" s="26" t="str">
        <f t="shared" si="11"/>
        <v/>
      </c>
      <c r="Z194" s="23"/>
      <c r="AA194" s="45" t="str">
        <f t="shared" si="12"/>
        <v/>
      </c>
      <c r="AB194" s="25"/>
      <c r="AC194" s="45" t="str">
        <f t="shared" si="13"/>
        <v/>
      </c>
      <c r="AD194" s="47"/>
      <c r="AE194" s="26"/>
      <c r="AF194" s="23"/>
      <c r="AG194" s="45" t="str">
        <f t="shared" si="14"/>
        <v/>
      </c>
      <c r="AH194" s="25"/>
      <c r="AI194" s="45" t="str">
        <f t="shared" si="15"/>
        <v/>
      </c>
      <c r="AJ194" s="27">
        <v>0.0</v>
      </c>
      <c r="AK194" s="33"/>
      <c r="AL194" s="26" t="str">
        <f t="shared" si="16"/>
        <v/>
      </c>
      <c r="AM194" s="23"/>
      <c r="AN194" s="45" t="str">
        <f t="shared" si="17"/>
        <v/>
      </c>
      <c r="AO194" s="25"/>
      <c r="AP194" s="45" t="str">
        <f t="shared" si="18"/>
        <v/>
      </c>
      <c r="AQ194" s="29" t="str">
        <f t="shared" si="19"/>
        <v/>
      </c>
      <c r="AR194" s="29">
        <f t="shared" si="20"/>
        <v>0</v>
      </c>
      <c r="AS194" s="29">
        <f t="shared" si="21"/>
        <v>0</v>
      </c>
      <c r="AT194" s="26" t="str">
        <f t="shared" si="22"/>
        <v/>
      </c>
      <c r="AU194" s="23"/>
      <c r="AV194" s="45" t="str">
        <f t="shared" si="23"/>
        <v/>
      </c>
      <c r="AW194" s="25"/>
      <c r="AX194" s="45" t="str">
        <f t="shared" si="24"/>
        <v/>
      </c>
      <c r="AY194" s="47"/>
      <c r="AZ194" s="26" t="str">
        <f t="shared" si="25"/>
        <v/>
      </c>
      <c r="BA194" s="23"/>
      <c r="BB194" s="45" t="str">
        <f t="shared" si="26"/>
        <v/>
      </c>
      <c r="BC194" s="25"/>
      <c r="BD194" s="45" t="str">
        <f t="shared" si="27"/>
        <v/>
      </c>
      <c r="BE194" s="47"/>
      <c r="BF194" s="26"/>
      <c r="BG194" s="23"/>
      <c r="BH194" s="45" t="str">
        <f t="shared" si="28"/>
        <v/>
      </c>
      <c r="BI194" s="25"/>
      <c r="BJ194" s="45" t="str">
        <f t="shared" si="29"/>
        <v/>
      </c>
      <c r="BK194" s="27">
        <v>0.0</v>
      </c>
      <c r="BL194" s="23"/>
      <c r="BM194" s="45" t="str">
        <f t="shared" si="30"/>
        <v/>
      </c>
      <c r="BN194" s="25"/>
      <c r="BO194" s="45" t="str">
        <f t="shared" si="31"/>
        <v/>
      </c>
      <c r="BP194" s="27">
        <v>0.0</v>
      </c>
      <c r="BQ194" s="33"/>
      <c r="BR194" s="23"/>
      <c r="BS194" s="45" t="str">
        <f t="shared" si="32"/>
        <v/>
      </c>
      <c r="BT194" s="25"/>
      <c r="BU194" s="45" t="str">
        <f t="shared" si="33"/>
        <v/>
      </c>
      <c r="BV194" s="29" t="str">
        <f t="shared" si="34"/>
        <v/>
      </c>
      <c r="BW194" s="29">
        <f t="shared" si="35"/>
        <v>0</v>
      </c>
      <c r="BX194" s="29">
        <f t="shared" si="36"/>
        <v>0</v>
      </c>
      <c r="BY194" s="26" t="str">
        <f t="shared" si="37"/>
        <v/>
      </c>
      <c r="BZ194" s="23"/>
      <c r="CA194" s="45" t="str">
        <f t="shared" si="38"/>
        <v/>
      </c>
      <c r="CB194" s="25"/>
      <c r="CC194" s="45" t="str">
        <f t="shared" si="39"/>
        <v/>
      </c>
      <c r="CD194" s="47"/>
      <c r="CE194" s="26" t="str">
        <f t="shared" si="40"/>
        <v/>
      </c>
      <c r="CF194" s="23"/>
      <c r="CG194" s="45" t="str">
        <f t="shared" si="41"/>
        <v/>
      </c>
      <c r="CH194" s="25"/>
      <c r="CI194" s="45" t="str">
        <f t="shared" si="42"/>
        <v/>
      </c>
      <c r="CJ194" s="47"/>
      <c r="CK194" s="26"/>
      <c r="CL194" s="23"/>
      <c r="CM194" s="45" t="str">
        <f t="shared" si="43"/>
        <v/>
      </c>
      <c r="CN194" s="25"/>
      <c r="CO194" s="45" t="str">
        <f t="shared" si="44"/>
        <v/>
      </c>
      <c r="CP194" s="27">
        <v>0.0</v>
      </c>
    </row>
    <row r="195">
      <c r="A195" s="26" t="str">
        <f t="shared" si="1"/>
        <v/>
      </c>
      <c r="B195" s="26"/>
      <c r="C195" s="81"/>
      <c r="D195" s="27"/>
      <c r="E195" s="82"/>
      <c r="F195" s="20"/>
      <c r="G195" s="20"/>
      <c r="H195" s="20"/>
      <c r="I195" s="23"/>
      <c r="J195" s="33"/>
      <c r="K195" s="26" t="str">
        <f t="shared" si="2"/>
        <v/>
      </c>
      <c r="L195" s="23"/>
      <c r="M195" s="45" t="str">
        <f t="shared" si="3"/>
        <v/>
      </c>
      <c r="N195" s="25"/>
      <c r="O195" s="45" t="str">
        <f t="shared" si="4"/>
        <v/>
      </c>
      <c r="P195" s="29" t="str">
        <f t="shared" si="5"/>
        <v/>
      </c>
      <c r="Q195" s="29">
        <f t="shared" si="6"/>
        <v>0</v>
      </c>
      <c r="R195" s="29">
        <f t="shared" si="7"/>
        <v>0</v>
      </c>
      <c r="S195" s="26" t="str">
        <f t="shared" si="8"/>
        <v/>
      </c>
      <c r="T195" s="23"/>
      <c r="U195" s="45" t="str">
        <f t="shared" si="9"/>
        <v/>
      </c>
      <c r="V195" s="25"/>
      <c r="W195" s="45" t="str">
        <f t="shared" si="10"/>
        <v/>
      </c>
      <c r="X195" s="47"/>
      <c r="Y195" s="26" t="str">
        <f t="shared" si="11"/>
        <v/>
      </c>
      <c r="Z195" s="23"/>
      <c r="AA195" s="45" t="str">
        <f t="shared" si="12"/>
        <v/>
      </c>
      <c r="AB195" s="25"/>
      <c r="AC195" s="45" t="str">
        <f t="shared" si="13"/>
        <v/>
      </c>
      <c r="AD195" s="47"/>
      <c r="AE195" s="26"/>
      <c r="AF195" s="23"/>
      <c r="AG195" s="45" t="str">
        <f t="shared" si="14"/>
        <v/>
      </c>
      <c r="AH195" s="25"/>
      <c r="AI195" s="45" t="str">
        <f t="shared" si="15"/>
        <v/>
      </c>
      <c r="AJ195" s="27">
        <v>0.0</v>
      </c>
      <c r="AK195" s="33"/>
      <c r="AL195" s="26" t="str">
        <f t="shared" si="16"/>
        <v/>
      </c>
      <c r="AM195" s="23"/>
      <c r="AN195" s="45" t="str">
        <f t="shared" si="17"/>
        <v/>
      </c>
      <c r="AO195" s="25"/>
      <c r="AP195" s="45" t="str">
        <f t="shared" si="18"/>
        <v/>
      </c>
      <c r="AQ195" s="29" t="str">
        <f t="shared" si="19"/>
        <v/>
      </c>
      <c r="AR195" s="29">
        <f t="shared" si="20"/>
        <v>0</v>
      </c>
      <c r="AS195" s="29">
        <f t="shared" si="21"/>
        <v>0</v>
      </c>
      <c r="AT195" s="26" t="str">
        <f t="shared" si="22"/>
        <v/>
      </c>
      <c r="AU195" s="23"/>
      <c r="AV195" s="45" t="str">
        <f t="shared" si="23"/>
        <v/>
      </c>
      <c r="AW195" s="25"/>
      <c r="AX195" s="45" t="str">
        <f t="shared" si="24"/>
        <v/>
      </c>
      <c r="AY195" s="47"/>
      <c r="AZ195" s="26" t="str">
        <f t="shared" si="25"/>
        <v/>
      </c>
      <c r="BA195" s="23"/>
      <c r="BB195" s="45" t="str">
        <f t="shared" si="26"/>
        <v/>
      </c>
      <c r="BC195" s="25"/>
      <c r="BD195" s="45" t="str">
        <f t="shared" si="27"/>
        <v/>
      </c>
      <c r="BE195" s="47"/>
      <c r="BF195" s="26"/>
      <c r="BG195" s="23"/>
      <c r="BH195" s="45" t="str">
        <f t="shared" si="28"/>
        <v/>
      </c>
      <c r="BI195" s="25"/>
      <c r="BJ195" s="45" t="str">
        <f t="shared" si="29"/>
        <v/>
      </c>
      <c r="BK195" s="27">
        <v>0.0</v>
      </c>
      <c r="BL195" s="23"/>
      <c r="BM195" s="45" t="str">
        <f t="shared" si="30"/>
        <v/>
      </c>
      <c r="BN195" s="25"/>
      <c r="BO195" s="45" t="str">
        <f t="shared" si="31"/>
        <v/>
      </c>
      <c r="BP195" s="27">
        <v>0.0</v>
      </c>
      <c r="BQ195" s="33"/>
      <c r="BR195" s="23"/>
      <c r="BS195" s="45" t="str">
        <f t="shared" si="32"/>
        <v/>
      </c>
      <c r="BT195" s="25"/>
      <c r="BU195" s="45" t="str">
        <f t="shared" si="33"/>
        <v/>
      </c>
      <c r="BV195" s="29" t="str">
        <f t="shared" si="34"/>
        <v/>
      </c>
      <c r="BW195" s="29">
        <f t="shared" si="35"/>
        <v>0</v>
      </c>
      <c r="BX195" s="29">
        <f t="shared" si="36"/>
        <v>0</v>
      </c>
      <c r="BY195" s="26" t="str">
        <f t="shared" si="37"/>
        <v/>
      </c>
      <c r="BZ195" s="23"/>
      <c r="CA195" s="45" t="str">
        <f t="shared" si="38"/>
        <v/>
      </c>
      <c r="CB195" s="25"/>
      <c r="CC195" s="45" t="str">
        <f t="shared" si="39"/>
        <v/>
      </c>
      <c r="CD195" s="47"/>
      <c r="CE195" s="26" t="str">
        <f t="shared" si="40"/>
        <v/>
      </c>
      <c r="CF195" s="23"/>
      <c r="CG195" s="45" t="str">
        <f t="shared" si="41"/>
        <v/>
      </c>
      <c r="CH195" s="25"/>
      <c r="CI195" s="45" t="str">
        <f t="shared" si="42"/>
        <v/>
      </c>
      <c r="CJ195" s="47"/>
      <c r="CK195" s="26"/>
      <c r="CL195" s="23"/>
      <c r="CM195" s="45" t="str">
        <f t="shared" si="43"/>
        <v/>
      </c>
      <c r="CN195" s="25"/>
      <c r="CO195" s="45" t="str">
        <f t="shared" si="44"/>
        <v/>
      </c>
      <c r="CP195" s="27">
        <v>0.0</v>
      </c>
    </row>
    <row r="196">
      <c r="A196" s="26" t="str">
        <f t="shared" si="1"/>
        <v/>
      </c>
      <c r="B196" s="26"/>
      <c r="C196" s="81"/>
      <c r="D196" s="27"/>
      <c r="E196" s="82"/>
      <c r="F196" s="20"/>
      <c r="G196" s="20"/>
      <c r="H196" s="20"/>
      <c r="I196" s="23"/>
      <c r="J196" s="33"/>
      <c r="K196" s="26" t="str">
        <f t="shared" si="2"/>
        <v/>
      </c>
      <c r="L196" s="23"/>
      <c r="M196" s="45" t="str">
        <f t="shared" si="3"/>
        <v/>
      </c>
      <c r="N196" s="25"/>
      <c r="O196" s="45" t="str">
        <f t="shared" si="4"/>
        <v/>
      </c>
      <c r="P196" s="29" t="str">
        <f t="shared" si="5"/>
        <v/>
      </c>
      <c r="Q196" s="29">
        <f t="shared" si="6"/>
        <v>0</v>
      </c>
      <c r="R196" s="29">
        <f t="shared" si="7"/>
        <v>0</v>
      </c>
      <c r="S196" s="26" t="str">
        <f t="shared" si="8"/>
        <v/>
      </c>
      <c r="T196" s="23"/>
      <c r="U196" s="45" t="str">
        <f t="shared" si="9"/>
        <v/>
      </c>
      <c r="V196" s="25"/>
      <c r="W196" s="45" t="str">
        <f t="shared" si="10"/>
        <v/>
      </c>
      <c r="X196" s="47"/>
      <c r="Y196" s="26" t="str">
        <f t="shared" si="11"/>
        <v/>
      </c>
      <c r="Z196" s="23"/>
      <c r="AA196" s="45" t="str">
        <f t="shared" si="12"/>
        <v/>
      </c>
      <c r="AB196" s="25"/>
      <c r="AC196" s="45" t="str">
        <f t="shared" si="13"/>
        <v/>
      </c>
      <c r="AD196" s="47"/>
      <c r="AE196" s="26"/>
      <c r="AF196" s="23"/>
      <c r="AG196" s="45" t="str">
        <f t="shared" si="14"/>
        <v/>
      </c>
      <c r="AH196" s="25"/>
      <c r="AI196" s="45" t="str">
        <f t="shared" si="15"/>
        <v/>
      </c>
      <c r="AJ196" s="27">
        <v>0.0</v>
      </c>
      <c r="AK196" s="33"/>
      <c r="AL196" s="26" t="str">
        <f t="shared" si="16"/>
        <v/>
      </c>
      <c r="AM196" s="23"/>
      <c r="AN196" s="45" t="str">
        <f t="shared" si="17"/>
        <v/>
      </c>
      <c r="AO196" s="25"/>
      <c r="AP196" s="45" t="str">
        <f t="shared" si="18"/>
        <v/>
      </c>
      <c r="AQ196" s="29" t="str">
        <f t="shared" si="19"/>
        <v/>
      </c>
      <c r="AR196" s="29">
        <f t="shared" si="20"/>
        <v>0</v>
      </c>
      <c r="AS196" s="29">
        <f t="shared" si="21"/>
        <v>0</v>
      </c>
      <c r="AT196" s="26" t="str">
        <f t="shared" si="22"/>
        <v/>
      </c>
      <c r="AU196" s="23"/>
      <c r="AV196" s="45" t="str">
        <f t="shared" si="23"/>
        <v/>
      </c>
      <c r="AW196" s="25"/>
      <c r="AX196" s="45" t="str">
        <f t="shared" si="24"/>
        <v/>
      </c>
      <c r="AY196" s="47"/>
      <c r="AZ196" s="26" t="str">
        <f t="shared" si="25"/>
        <v/>
      </c>
      <c r="BA196" s="23"/>
      <c r="BB196" s="45" t="str">
        <f t="shared" si="26"/>
        <v/>
      </c>
      <c r="BC196" s="25"/>
      <c r="BD196" s="45" t="str">
        <f t="shared" si="27"/>
        <v/>
      </c>
      <c r="BE196" s="47"/>
      <c r="BF196" s="26"/>
      <c r="BG196" s="23"/>
      <c r="BH196" s="45" t="str">
        <f t="shared" si="28"/>
        <v/>
      </c>
      <c r="BI196" s="25"/>
      <c r="BJ196" s="45" t="str">
        <f t="shared" si="29"/>
        <v/>
      </c>
      <c r="BK196" s="27">
        <v>0.0</v>
      </c>
      <c r="BL196" s="23"/>
      <c r="BM196" s="45" t="str">
        <f t="shared" si="30"/>
        <v/>
      </c>
      <c r="BN196" s="25"/>
      <c r="BO196" s="45" t="str">
        <f t="shared" si="31"/>
        <v/>
      </c>
      <c r="BP196" s="27">
        <v>0.0</v>
      </c>
      <c r="BQ196" s="33"/>
      <c r="BR196" s="23"/>
      <c r="BS196" s="45" t="str">
        <f t="shared" si="32"/>
        <v/>
      </c>
      <c r="BT196" s="25"/>
      <c r="BU196" s="45" t="str">
        <f t="shared" si="33"/>
        <v/>
      </c>
      <c r="BV196" s="29" t="str">
        <f t="shared" si="34"/>
        <v/>
      </c>
      <c r="BW196" s="29">
        <f t="shared" si="35"/>
        <v>0</v>
      </c>
      <c r="BX196" s="29">
        <f t="shared" si="36"/>
        <v>0</v>
      </c>
      <c r="BY196" s="26" t="str">
        <f t="shared" si="37"/>
        <v/>
      </c>
      <c r="BZ196" s="23"/>
      <c r="CA196" s="45" t="str">
        <f t="shared" si="38"/>
        <v/>
      </c>
      <c r="CB196" s="25"/>
      <c r="CC196" s="45" t="str">
        <f t="shared" si="39"/>
        <v/>
      </c>
      <c r="CD196" s="47"/>
      <c r="CE196" s="26" t="str">
        <f t="shared" si="40"/>
        <v/>
      </c>
      <c r="CF196" s="23"/>
      <c r="CG196" s="45" t="str">
        <f t="shared" si="41"/>
        <v/>
      </c>
      <c r="CH196" s="25"/>
      <c r="CI196" s="45" t="str">
        <f t="shared" si="42"/>
        <v/>
      </c>
      <c r="CJ196" s="47"/>
      <c r="CK196" s="26"/>
      <c r="CL196" s="23"/>
      <c r="CM196" s="45" t="str">
        <f t="shared" si="43"/>
        <v/>
      </c>
      <c r="CN196" s="25"/>
      <c r="CO196" s="45" t="str">
        <f t="shared" si="44"/>
        <v/>
      </c>
      <c r="CP196" s="27">
        <v>0.0</v>
      </c>
    </row>
    <row r="197">
      <c r="A197" s="26" t="str">
        <f t="shared" si="1"/>
        <v/>
      </c>
      <c r="B197" s="26"/>
      <c r="C197" s="81"/>
      <c r="D197" s="27"/>
      <c r="E197" s="82"/>
      <c r="F197" s="20"/>
      <c r="G197" s="20"/>
      <c r="H197" s="20"/>
      <c r="I197" s="23"/>
      <c r="J197" s="33"/>
      <c r="K197" s="26" t="str">
        <f t="shared" si="2"/>
        <v/>
      </c>
      <c r="L197" s="23"/>
      <c r="M197" s="45" t="str">
        <f t="shared" si="3"/>
        <v/>
      </c>
      <c r="N197" s="25"/>
      <c r="O197" s="45" t="str">
        <f t="shared" si="4"/>
        <v/>
      </c>
      <c r="P197" s="29" t="str">
        <f t="shared" si="5"/>
        <v/>
      </c>
      <c r="Q197" s="29">
        <f t="shared" si="6"/>
        <v>0</v>
      </c>
      <c r="R197" s="29">
        <f t="shared" si="7"/>
        <v>0</v>
      </c>
      <c r="S197" s="26" t="str">
        <f t="shared" si="8"/>
        <v/>
      </c>
      <c r="T197" s="23"/>
      <c r="U197" s="45" t="str">
        <f t="shared" si="9"/>
        <v/>
      </c>
      <c r="V197" s="25"/>
      <c r="W197" s="45" t="str">
        <f t="shared" si="10"/>
        <v/>
      </c>
      <c r="X197" s="47"/>
      <c r="Y197" s="26" t="str">
        <f t="shared" si="11"/>
        <v/>
      </c>
      <c r="Z197" s="23"/>
      <c r="AA197" s="45" t="str">
        <f t="shared" si="12"/>
        <v/>
      </c>
      <c r="AB197" s="25"/>
      <c r="AC197" s="45" t="str">
        <f t="shared" si="13"/>
        <v/>
      </c>
      <c r="AD197" s="47"/>
      <c r="AE197" s="26"/>
      <c r="AF197" s="23"/>
      <c r="AG197" s="45" t="str">
        <f t="shared" si="14"/>
        <v/>
      </c>
      <c r="AH197" s="25"/>
      <c r="AI197" s="45" t="str">
        <f t="shared" si="15"/>
        <v/>
      </c>
      <c r="AJ197" s="27">
        <v>0.0</v>
      </c>
      <c r="AK197" s="33"/>
      <c r="AL197" s="26" t="str">
        <f t="shared" si="16"/>
        <v/>
      </c>
      <c r="AM197" s="23"/>
      <c r="AN197" s="45" t="str">
        <f t="shared" si="17"/>
        <v/>
      </c>
      <c r="AO197" s="25"/>
      <c r="AP197" s="45" t="str">
        <f t="shared" si="18"/>
        <v/>
      </c>
      <c r="AQ197" s="29" t="str">
        <f t="shared" si="19"/>
        <v/>
      </c>
      <c r="AR197" s="29">
        <f t="shared" si="20"/>
        <v>0</v>
      </c>
      <c r="AS197" s="29">
        <f t="shared" si="21"/>
        <v>0</v>
      </c>
      <c r="AT197" s="26" t="str">
        <f t="shared" si="22"/>
        <v/>
      </c>
      <c r="AU197" s="23"/>
      <c r="AV197" s="45" t="str">
        <f t="shared" si="23"/>
        <v/>
      </c>
      <c r="AW197" s="25"/>
      <c r="AX197" s="45" t="str">
        <f t="shared" si="24"/>
        <v/>
      </c>
      <c r="AY197" s="47"/>
      <c r="AZ197" s="26" t="str">
        <f t="shared" si="25"/>
        <v/>
      </c>
      <c r="BA197" s="23"/>
      <c r="BB197" s="45" t="str">
        <f t="shared" si="26"/>
        <v/>
      </c>
      <c r="BC197" s="25"/>
      <c r="BD197" s="45" t="str">
        <f t="shared" si="27"/>
        <v/>
      </c>
      <c r="BE197" s="47"/>
      <c r="BF197" s="26"/>
      <c r="BG197" s="23"/>
      <c r="BH197" s="45" t="str">
        <f t="shared" si="28"/>
        <v/>
      </c>
      <c r="BI197" s="25"/>
      <c r="BJ197" s="45" t="str">
        <f t="shared" si="29"/>
        <v/>
      </c>
      <c r="BK197" s="27">
        <v>0.0</v>
      </c>
      <c r="BL197" s="23"/>
      <c r="BM197" s="45" t="str">
        <f t="shared" si="30"/>
        <v/>
      </c>
      <c r="BN197" s="25"/>
      <c r="BO197" s="45" t="str">
        <f t="shared" si="31"/>
        <v/>
      </c>
      <c r="BP197" s="27">
        <v>0.0</v>
      </c>
      <c r="BQ197" s="33"/>
      <c r="BR197" s="23"/>
      <c r="BS197" s="45" t="str">
        <f t="shared" si="32"/>
        <v/>
      </c>
      <c r="BT197" s="25"/>
      <c r="BU197" s="45" t="str">
        <f t="shared" si="33"/>
        <v/>
      </c>
      <c r="BV197" s="29" t="str">
        <f t="shared" si="34"/>
        <v/>
      </c>
      <c r="BW197" s="29">
        <f t="shared" si="35"/>
        <v>0</v>
      </c>
      <c r="BX197" s="29">
        <f t="shared" si="36"/>
        <v>0</v>
      </c>
      <c r="BY197" s="26" t="str">
        <f t="shared" si="37"/>
        <v/>
      </c>
      <c r="BZ197" s="23"/>
      <c r="CA197" s="45" t="str">
        <f t="shared" si="38"/>
        <v/>
      </c>
      <c r="CB197" s="25"/>
      <c r="CC197" s="45" t="str">
        <f t="shared" si="39"/>
        <v/>
      </c>
      <c r="CD197" s="47"/>
      <c r="CE197" s="26" t="str">
        <f t="shared" si="40"/>
        <v/>
      </c>
      <c r="CF197" s="23"/>
      <c r="CG197" s="45" t="str">
        <f t="shared" si="41"/>
        <v/>
      </c>
      <c r="CH197" s="25"/>
      <c r="CI197" s="45" t="str">
        <f t="shared" si="42"/>
        <v/>
      </c>
      <c r="CJ197" s="47"/>
      <c r="CK197" s="26"/>
      <c r="CL197" s="23"/>
      <c r="CM197" s="45" t="str">
        <f t="shared" si="43"/>
        <v/>
      </c>
      <c r="CN197" s="25"/>
      <c r="CO197" s="45" t="str">
        <f t="shared" si="44"/>
        <v/>
      </c>
      <c r="CP197" s="27">
        <v>0.0</v>
      </c>
    </row>
    <row r="198">
      <c r="A198" s="26" t="str">
        <f t="shared" si="1"/>
        <v/>
      </c>
      <c r="B198" s="26"/>
      <c r="C198" s="81"/>
      <c r="D198" s="27"/>
      <c r="E198" s="82"/>
      <c r="F198" s="20"/>
      <c r="G198" s="20"/>
      <c r="H198" s="20"/>
      <c r="I198" s="23"/>
      <c r="J198" s="33"/>
      <c r="K198" s="26" t="str">
        <f t="shared" si="2"/>
        <v/>
      </c>
      <c r="L198" s="23"/>
      <c r="M198" s="45" t="str">
        <f t="shared" si="3"/>
        <v/>
      </c>
      <c r="N198" s="25"/>
      <c r="O198" s="45" t="str">
        <f t="shared" si="4"/>
        <v/>
      </c>
      <c r="P198" s="29" t="str">
        <f t="shared" si="5"/>
        <v/>
      </c>
      <c r="Q198" s="29">
        <f t="shared" si="6"/>
        <v>0</v>
      </c>
      <c r="R198" s="29">
        <f t="shared" si="7"/>
        <v>0</v>
      </c>
      <c r="S198" s="26" t="str">
        <f t="shared" si="8"/>
        <v/>
      </c>
      <c r="T198" s="23"/>
      <c r="U198" s="45" t="str">
        <f t="shared" si="9"/>
        <v/>
      </c>
      <c r="V198" s="25"/>
      <c r="W198" s="45" t="str">
        <f t="shared" si="10"/>
        <v/>
      </c>
      <c r="X198" s="47"/>
      <c r="Y198" s="26" t="str">
        <f t="shared" si="11"/>
        <v/>
      </c>
      <c r="Z198" s="23"/>
      <c r="AA198" s="45" t="str">
        <f t="shared" si="12"/>
        <v/>
      </c>
      <c r="AB198" s="25"/>
      <c r="AC198" s="45" t="str">
        <f t="shared" si="13"/>
        <v/>
      </c>
      <c r="AD198" s="47"/>
      <c r="AE198" s="26"/>
      <c r="AF198" s="23"/>
      <c r="AG198" s="45" t="str">
        <f t="shared" si="14"/>
        <v/>
      </c>
      <c r="AH198" s="25"/>
      <c r="AI198" s="45" t="str">
        <f t="shared" si="15"/>
        <v/>
      </c>
      <c r="AJ198" s="27">
        <v>0.0</v>
      </c>
      <c r="AK198" s="33"/>
      <c r="AL198" s="26" t="str">
        <f t="shared" si="16"/>
        <v/>
      </c>
      <c r="AM198" s="23"/>
      <c r="AN198" s="45" t="str">
        <f t="shared" si="17"/>
        <v/>
      </c>
      <c r="AO198" s="25"/>
      <c r="AP198" s="45" t="str">
        <f t="shared" si="18"/>
        <v/>
      </c>
      <c r="AQ198" s="29" t="str">
        <f t="shared" si="19"/>
        <v/>
      </c>
      <c r="AR198" s="29">
        <f t="shared" si="20"/>
        <v>0</v>
      </c>
      <c r="AS198" s="29">
        <f t="shared" si="21"/>
        <v>0</v>
      </c>
      <c r="AT198" s="26" t="str">
        <f t="shared" si="22"/>
        <v/>
      </c>
      <c r="AU198" s="23"/>
      <c r="AV198" s="45" t="str">
        <f t="shared" si="23"/>
        <v/>
      </c>
      <c r="AW198" s="25"/>
      <c r="AX198" s="45" t="str">
        <f t="shared" si="24"/>
        <v/>
      </c>
      <c r="AY198" s="47"/>
      <c r="AZ198" s="26" t="str">
        <f t="shared" si="25"/>
        <v/>
      </c>
      <c r="BA198" s="23"/>
      <c r="BB198" s="45" t="str">
        <f t="shared" si="26"/>
        <v/>
      </c>
      <c r="BC198" s="25"/>
      <c r="BD198" s="45" t="str">
        <f t="shared" si="27"/>
        <v/>
      </c>
      <c r="BE198" s="47"/>
      <c r="BF198" s="26"/>
      <c r="BG198" s="23"/>
      <c r="BH198" s="45" t="str">
        <f t="shared" si="28"/>
        <v/>
      </c>
      <c r="BI198" s="25"/>
      <c r="BJ198" s="45" t="str">
        <f t="shared" si="29"/>
        <v/>
      </c>
      <c r="BK198" s="27">
        <v>0.0</v>
      </c>
      <c r="BL198" s="23"/>
      <c r="BM198" s="45" t="str">
        <f t="shared" si="30"/>
        <v/>
      </c>
      <c r="BN198" s="25"/>
      <c r="BO198" s="45" t="str">
        <f t="shared" si="31"/>
        <v/>
      </c>
      <c r="BP198" s="27">
        <v>0.0</v>
      </c>
      <c r="BQ198" s="33"/>
      <c r="BR198" s="23"/>
      <c r="BS198" s="45" t="str">
        <f t="shared" si="32"/>
        <v/>
      </c>
      <c r="BT198" s="25"/>
      <c r="BU198" s="45" t="str">
        <f t="shared" si="33"/>
        <v/>
      </c>
      <c r="BV198" s="29" t="str">
        <f t="shared" si="34"/>
        <v/>
      </c>
      <c r="BW198" s="29">
        <f t="shared" si="35"/>
        <v>0</v>
      </c>
      <c r="BX198" s="29">
        <f t="shared" si="36"/>
        <v>0</v>
      </c>
      <c r="BY198" s="26" t="str">
        <f t="shared" si="37"/>
        <v/>
      </c>
      <c r="BZ198" s="23"/>
      <c r="CA198" s="45" t="str">
        <f t="shared" si="38"/>
        <v/>
      </c>
      <c r="CB198" s="25"/>
      <c r="CC198" s="45" t="str">
        <f t="shared" si="39"/>
        <v/>
      </c>
      <c r="CD198" s="47"/>
      <c r="CE198" s="26" t="str">
        <f t="shared" si="40"/>
        <v/>
      </c>
      <c r="CF198" s="23"/>
      <c r="CG198" s="45" t="str">
        <f t="shared" si="41"/>
        <v/>
      </c>
      <c r="CH198" s="25"/>
      <c r="CI198" s="45" t="str">
        <f t="shared" si="42"/>
        <v/>
      </c>
      <c r="CJ198" s="47"/>
      <c r="CK198" s="26"/>
      <c r="CL198" s="23"/>
      <c r="CM198" s="45" t="str">
        <f t="shared" si="43"/>
        <v/>
      </c>
      <c r="CN198" s="25"/>
      <c r="CO198" s="45" t="str">
        <f t="shared" si="44"/>
        <v/>
      </c>
      <c r="CP198" s="27">
        <v>0.0</v>
      </c>
    </row>
    <row r="199">
      <c r="A199" s="26" t="str">
        <f t="shared" si="1"/>
        <v/>
      </c>
      <c r="B199" s="26"/>
      <c r="C199" s="81"/>
      <c r="D199" s="27"/>
      <c r="E199" s="82"/>
      <c r="F199" s="20"/>
      <c r="G199" s="20"/>
      <c r="H199" s="20"/>
      <c r="I199" s="23"/>
      <c r="J199" s="33"/>
      <c r="K199" s="26" t="str">
        <f t="shared" si="2"/>
        <v/>
      </c>
      <c r="L199" s="23"/>
      <c r="M199" s="45" t="str">
        <f t="shared" si="3"/>
        <v/>
      </c>
      <c r="N199" s="25"/>
      <c r="O199" s="45" t="str">
        <f t="shared" si="4"/>
        <v/>
      </c>
      <c r="P199" s="29" t="str">
        <f t="shared" si="5"/>
        <v/>
      </c>
      <c r="Q199" s="29">
        <f t="shared" si="6"/>
        <v>0</v>
      </c>
      <c r="R199" s="29">
        <f t="shared" si="7"/>
        <v>0</v>
      </c>
      <c r="S199" s="26" t="str">
        <f t="shared" si="8"/>
        <v/>
      </c>
      <c r="T199" s="23"/>
      <c r="U199" s="45" t="str">
        <f t="shared" si="9"/>
        <v/>
      </c>
      <c r="V199" s="25"/>
      <c r="W199" s="45" t="str">
        <f t="shared" si="10"/>
        <v/>
      </c>
      <c r="X199" s="47"/>
      <c r="Y199" s="26" t="str">
        <f t="shared" si="11"/>
        <v/>
      </c>
      <c r="Z199" s="23"/>
      <c r="AA199" s="45" t="str">
        <f t="shared" si="12"/>
        <v/>
      </c>
      <c r="AB199" s="25"/>
      <c r="AC199" s="45" t="str">
        <f t="shared" si="13"/>
        <v/>
      </c>
      <c r="AD199" s="47"/>
      <c r="AE199" s="26"/>
      <c r="AF199" s="23"/>
      <c r="AG199" s="45" t="str">
        <f t="shared" si="14"/>
        <v/>
      </c>
      <c r="AH199" s="25"/>
      <c r="AI199" s="45" t="str">
        <f t="shared" si="15"/>
        <v/>
      </c>
      <c r="AJ199" s="27">
        <v>0.0</v>
      </c>
      <c r="AK199" s="33"/>
      <c r="AL199" s="26" t="str">
        <f t="shared" si="16"/>
        <v/>
      </c>
      <c r="AM199" s="23"/>
      <c r="AN199" s="45" t="str">
        <f t="shared" si="17"/>
        <v/>
      </c>
      <c r="AO199" s="25"/>
      <c r="AP199" s="45" t="str">
        <f t="shared" si="18"/>
        <v/>
      </c>
      <c r="AQ199" s="29" t="str">
        <f t="shared" si="19"/>
        <v/>
      </c>
      <c r="AR199" s="29">
        <f t="shared" si="20"/>
        <v>0</v>
      </c>
      <c r="AS199" s="29">
        <f t="shared" si="21"/>
        <v>0</v>
      </c>
      <c r="AT199" s="26" t="str">
        <f t="shared" si="22"/>
        <v/>
      </c>
      <c r="AU199" s="23"/>
      <c r="AV199" s="45" t="str">
        <f t="shared" si="23"/>
        <v/>
      </c>
      <c r="AW199" s="25"/>
      <c r="AX199" s="45" t="str">
        <f t="shared" si="24"/>
        <v/>
      </c>
      <c r="AY199" s="47"/>
      <c r="AZ199" s="26" t="str">
        <f t="shared" si="25"/>
        <v/>
      </c>
      <c r="BA199" s="23"/>
      <c r="BB199" s="45" t="str">
        <f t="shared" si="26"/>
        <v/>
      </c>
      <c r="BC199" s="25"/>
      <c r="BD199" s="45" t="str">
        <f t="shared" si="27"/>
        <v/>
      </c>
      <c r="BE199" s="47"/>
      <c r="BF199" s="26"/>
      <c r="BG199" s="23"/>
      <c r="BH199" s="45" t="str">
        <f t="shared" si="28"/>
        <v/>
      </c>
      <c r="BI199" s="25"/>
      <c r="BJ199" s="45" t="str">
        <f t="shared" si="29"/>
        <v/>
      </c>
      <c r="BK199" s="27">
        <v>0.0</v>
      </c>
      <c r="BL199" s="23"/>
      <c r="BM199" s="45" t="str">
        <f t="shared" si="30"/>
        <v/>
      </c>
      <c r="BN199" s="25"/>
      <c r="BO199" s="45" t="str">
        <f t="shared" si="31"/>
        <v/>
      </c>
      <c r="BP199" s="27">
        <v>0.0</v>
      </c>
      <c r="BQ199" s="33"/>
      <c r="BR199" s="23"/>
      <c r="BS199" s="45" t="str">
        <f t="shared" si="32"/>
        <v/>
      </c>
      <c r="BT199" s="25"/>
      <c r="BU199" s="45" t="str">
        <f t="shared" si="33"/>
        <v/>
      </c>
      <c r="BV199" s="29" t="str">
        <f t="shared" si="34"/>
        <v/>
      </c>
      <c r="BW199" s="29">
        <f t="shared" si="35"/>
        <v>0</v>
      </c>
      <c r="BX199" s="29">
        <f t="shared" si="36"/>
        <v>0</v>
      </c>
      <c r="BY199" s="26" t="str">
        <f t="shared" si="37"/>
        <v/>
      </c>
      <c r="BZ199" s="23"/>
      <c r="CA199" s="45" t="str">
        <f t="shared" si="38"/>
        <v/>
      </c>
      <c r="CB199" s="25"/>
      <c r="CC199" s="45" t="str">
        <f t="shared" si="39"/>
        <v/>
      </c>
      <c r="CD199" s="47"/>
      <c r="CE199" s="26" t="str">
        <f t="shared" si="40"/>
        <v/>
      </c>
      <c r="CF199" s="23"/>
      <c r="CG199" s="45" t="str">
        <f t="shared" si="41"/>
        <v/>
      </c>
      <c r="CH199" s="25"/>
      <c r="CI199" s="45" t="str">
        <f t="shared" si="42"/>
        <v/>
      </c>
      <c r="CJ199" s="47"/>
      <c r="CK199" s="26"/>
      <c r="CL199" s="23"/>
      <c r="CM199" s="45" t="str">
        <f t="shared" si="43"/>
        <v/>
      </c>
      <c r="CN199" s="25"/>
      <c r="CO199" s="45" t="str">
        <f t="shared" si="44"/>
        <v/>
      </c>
      <c r="CP199" s="27">
        <v>0.0</v>
      </c>
    </row>
    <row r="200">
      <c r="A200" s="26" t="str">
        <f t="shared" si="1"/>
        <v/>
      </c>
      <c r="B200" s="26"/>
      <c r="C200" s="81"/>
      <c r="D200" s="27"/>
      <c r="E200" s="82"/>
      <c r="F200" s="20"/>
      <c r="G200" s="20"/>
      <c r="H200" s="20"/>
      <c r="I200" s="23"/>
      <c r="J200" s="33"/>
      <c r="K200" s="26" t="str">
        <f t="shared" si="2"/>
        <v/>
      </c>
      <c r="L200" s="23"/>
      <c r="M200" s="45" t="str">
        <f t="shared" si="3"/>
        <v/>
      </c>
      <c r="N200" s="25"/>
      <c r="O200" s="45" t="str">
        <f t="shared" si="4"/>
        <v/>
      </c>
      <c r="P200" s="29" t="str">
        <f t="shared" si="5"/>
        <v/>
      </c>
      <c r="Q200" s="29">
        <f t="shared" si="6"/>
        <v>0</v>
      </c>
      <c r="R200" s="29">
        <f t="shared" si="7"/>
        <v>0</v>
      </c>
      <c r="S200" s="26" t="str">
        <f t="shared" si="8"/>
        <v/>
      </c>
      <c r="T200" s="23"/>
      <c r="U200" s="45" t="str">
        <f t="shared" si="9"/>
        <v/>
      </c>
      <c r="V200" s="25"/>
      <c r="W200" s="45" t="str">
        <f t="shared" si="10"/>
        <v/>
      </c>
      <c r="X200" s="47"/>
      <c r="Y200" s="26" t="str">
        <f t="shared" si="11"/>
        <v/>
      </c>
      <c r="Z200" s="23"/>
      <c r="AA200" s="45" t="str">
        <f t="shared" si="12"/>
        <v/>
      </c>
      <c r="AB200" s="25"/>
      <c r="AC200" s="45" t="str">
        <f t="shared" si="13"/>
        <v/>
      </c>
      <c r="AD200" s="47"/>
      <c r="AE200" s="26"/>
      <c r="AF200" s="23"/>
      <c r="AG200" s="45" t="str">
        <f t="shared" si="14"/>
        <v/>
      </c>
      <c r="AH200" s="25"/>
      <c r="AI200" s="45" t="str">
        <f t="shared" si="15"/>
        <v/>
      </c>
      <c r="AJ200" s="27">
        <v>0.0</v>
      </c>
      <c r="AK200" s="33"/>
      <c r="AL200" s="26" t="str">
        <f t="shared" si="16"/>
        <v/>
      </c>
      <c r="AM200" s="23"/>
      <c r="AN200" s="45" t="str">
        <f t="shared" si="17"/>
        <v/>
      </c>
      <c r="AO200" s="25"/>
      <c r="AP200" s="45" t="str">
        <f t="shared" si="18"/>
        <v/>
      </c>
      <c r="AQ200" s="29" t="str">
        <f t="shared" si="19"/>
        <v/>
      </c>
      <c r="AR200" s="29">
        <f t="shared" si="20"/>
        <v>0</v>
      </c>
      <c r="AS200" s="29">
        <f t="shared" si="21"/>
        <v>0</v>
      </c>
      <c r="AT200" s="26" t="str">
        <f t="shared" si="22"/>
        <v/>
      </c>
      <c r="AU200" s="23"/>
      <c r="AV200" s="45" t="str">
        <f t="shared" si="23"/>
        <v/>
      </c>
      <c r="AW200" s="25"/>
      <c r="AX200" s="45" t="str">
        <f t="shared" si="24"/>
        <v/>
      </c>
      <c r="AY200" s="47"/>
      <c r="AZ200" s="26" t="str">
        <f t="shared" si="25"/>
        <v/>
      </c>
      <c r="BA200" s="23"/>
      <c r="BB200" s="45" t="str">
        <f t="shared" si="26"/>
        <v/>
      </c>
      <c r="BC200" s="25"/>
      <c r="BD200" s="45" t="str">
        <f t="shared" si="27"/>
        <v/>
      </c>
      <c r="BE200" s="47"/>
      <c r="BF200" s="26"/>
      <c r="BG200" s="23"/>
      <c r="BH200" s="45" t="str">
        <f t="shared" si="28"/>
        <v/>
      </c>
      <c r="BI200" s="25"/>
      <c r="BJ200" s="45" t="str">
        <f t="shared" si="29"/>
        <v/>
      </c>
      <c r="BK200" s="27">
        <v>0.0</v>
      </c>
      <c r="BL200" s="23"/>
      <c r="BM200" s="45" t="str">
        <f t="shared" si="30"/>
        <v/>
      </c>
      <c r="BN200" s="25"/>
      <c r="BO200" s="45" t="str">
        <f t="shared" si="31"/>
        <v/>
      </c>
      <c r="BP200" s="27">
        <v>0.0</v>
      </c>
      <c r="BQ200" s="33"/>
      <c r="BR200" s="23"/>
      <c r="BS200" s="45" t="str">
        <f t="shared" si="32"/>
        <v/>
      </c>
      <c r="BT200" s="25"/>
      <c r="BU200" s="45" t="str">
        <f t="shared" si="33"/>
        <v/>
      </c>
      <c r="BV200" s="29" t="str">
        <f t="shared" si="34"/>
        <v/>
      </c>
      <c r="BW200" s="29">
        <f t="shared" si="35"/>
        <v>0</v>
      </c>
      <c r="BX200" s="29">
        <f t="shared" si="36"/>
        <v>0</v>
      </c>
      <c r="BY200" s="26" t="str">
        <f t="shared" si="37"/>
        <v/>
      </c>
      <c r="BZ200" s="23"/>
      <c r="CA200" s="45" t="str">
        <f t="shared" si="38"/>
        <v/>
      </c>
      <c r="CB200" s="25"/>
      <c r="CC200" s="45" t="str">
        <f t="shared" si="39"/>
        <v/>
      </c>
      <c r="CD200" s="47"/>
      <c r="CE200" s="26" t="str">
        <f t="shared" si="40"/>
        <v/>
      </c>
      <c r="CF200" s="23"/>
      <c r="CG200" s="45" t="str">
        <f t="shared" si="41"/>
        <v/>
      </c>
      <c r="CH200" s="25"/>
      <c r="CI200" s="45" t="str">
        <f t="shared" si="42"/>
        <v/>
      </c>
      <c r="CJ200" s="47"/>
      <c r="CK200" s="26"/>
      <c r="CL200" s="23"/>
      <c r="CM200" s="45" t="str">
        <f t="shared" si="43"/>
        <v/>
      </c>
      <c r="CN200" s="25"/>
      <c r="CO200" s="45" t="str">
        <f t="shared" si="44"/>
        <v/>
      </c>
      <c r="CP200" s="27">
        <v>0.0</v>
      </c>
    </row>
    <row r="201">
      <c r="A201" s="26" t="str">
        <f t="shared" si="1"/>
        <v/>
      </c>
      <c r="B201" s="26"/>
      <c r="C201" s="81"/>
      <c r="D201" s="27"/>
      <c r="E201" s="82"/>
      <c r="F201" s="20"/>
      <c r="G201" s="20"/>
      <c r="H201" s="20"/>
      <c r="I201" s="23"/>
      <c r="J201" s="33"/>
      <c r="K201" s="26" t="str">
        <f t="shared" si="2"/>
        <v/>
      </c>
      <c r="L201" s="23"/>
      <c r="M201" s="45" t="str">
        <f t="shared" si="3"/>
        <v/>
      </c>
      <c r="N201" s="25"/>
      <c r="O201" s="45" t="str">
        <f t="shared" si="4"/>
        <v/>
      </c>
      <c r="P201" s="29" t="str">
        <f t="shared" si="5"/>
        <v/>
      </c>
      <c r="Q201" s="29">
        <f t="shared" si="6"/>
        <v>0</v>
      </c>
      <c r="R201" s="29">
        <f t="shared" si="7"/>
        <v>0</v>
      </c>
      <c r="S201" s="26" t="str">
        <f t="shared" si="8"/>
        <v/>
      </c>
      <c r="T201" s="23"/>
      <c r="U201" s="45" t="str">
        <f t="shared" si="9"/>
        <v/>
      </c>
      <c r="V201" s="25"/>
      <c r="W201" s="45" t="str">
        <f t="shared" si="10"/>
        <v/>
      </c>
      <c r="X201" s="47"/>
      <c r="Y201" s="26" t="str">
        <f t="shared" si="11"/>
        <v/>
      </c>
      <c r="Z201" s="23"/>
      <c r="AA201" s="45" t="str">
        <f t="shared" si="12"/>
        <v/>
      </c>
      <c r="AB201" s="25"/>
      <c r="AC201" s="45" t="str">
        <f t="shared" si="13"/>
        <v/>
      </c>
      <c r="AD201" s="47"/>
      <c r="AE201" s="26"/>
      <c r="AF201" s="23"/>
      <c r="AG201" s="45" t="str">
        <f t="shared" si="14"/>
        <v/>
      </c>
      <c r="AH201" s="25"/>
      <c r="AI201" s="45" t="str">
        <f t="shared" si="15"/>
        <v/>
      </c>
      <c r="AJ201" s="27">
        <v>0.0</v>
      </c>
      <c r="AK201" s="33"/>
      <c r="AL201" s="26" t="str">
        <f t="shared" si="16"/>
        <v/>
      </c>
      <c r="AM201" s="23"/>
      <c r="AN201" s="45" t="str">
        <f t="shared" si="17"/>
        <v/>
      </c>
      <c r="AO201" s="25"/>
      <c r="AP201" s="45" t="str">
        <f t="shared" si="18"/>
        <v/>
      </c>
      <c r="AQ201" s="29" t="str">
        <f t="shared" si="19"/>
        <v/>
      </c>
      <c r="AR201" s="29">
        <f t="shared" si="20"/>
        <v>0</v>
      </c>
      <c r="AS201" s="29">
        <f t="shared" si="21"/>
        <v>0</v>
      </c>
      <c r="AT201" s="26" t="str">
        <f t="shared" si="22"/>
        <v/>
      </c>
      <c r="AU201" s="23"/>
      <c r="AV201" s="45" t="str">
        <f t="shared" si="23"/>
        <v/>
      </c>
      <c r="AW201" s="25"/>
      <c r="AX201" s="45" t="str">
        <f t="shared" si="24"/>
        <v/>
      </c>
      <c r="AY201" s="47"/>
      <c r="AZ201" s="26" t="str">
        <f t="shared" si="25"/>
        <v/>
      </c>
      <c r="BA201" s="23"/>
      <c r="BB201" s="45" t="str">
        <f t="shared" si="26"/>
        <v/>
      </c>
      <c r="BC201" s="25"/>
      <c r="BD201" s="45" t="str">
        <f t="shared" si="27"/>
        <v/>
      </c>
      <c r="BE201" s="47"/>
      <c r="BF201" s="26"/>
      <c r="BG201" s="23"/>
      <c r="BH201" s="45" t="str">
        <f t="shared" si="28"/>
        <v/>
      </c>
      <c r="BI201" s="25"/>
      <c r="BJ201" s="45" t="str">
        <f t="shared" si="29"/>
        <v/>
      </c>
      <c r="BK201" s="27">
        <v>0.0</v>
      </c>
      <c r="BL201" s="23"/>
      <c r="BM201" s="45" t="str">
        <f t="shared" si="30"/>
        <v/>
      </c>
      <c r="BN201" s="25"/>
      <c r="BO201" s="45" t="str">
        <f t="shared" si="31"/>
        <v/>
      </c>
      <c r="BP201" s="27">
        <v>0.0</v>
      </c>
      <c r="BQ201" s="33"/>
      <c r="BR201" s="23"/>
      <c r="BS201" s="45" t="str">
        <f t="shared" si="32"/>
        <v/>
      </c>
      <c r="BT201" s="25"/>
      <c r="BU201" s="45" t="str">
        <f t="shared" si="33"/>
        <v/>
      </c>
      <c r="BV201" s="29" t="str">
        <f t="shared" si="34"/>
        <v/>
      </c>
      <c r="BW201" s="29">
        <f t="shared" si="35"/>
        <v>0</v>
      </c>
      <c r="BX201" s="29">
        <f t="shared" si="36"/>
        <v>0</v>
      </c>
      <c r="BY201" s="26" t="str">
        <f t="shared" si="37"/>
        <v/>
      </c>
      <c r="BZ201" s="23"/>
      <c r="CA201" s="45" t="str">
        <f t="shared" si="38"/>
        <v/>
      </c>
      <c r="CB201" s="25"/>
      <c r="CC201" s="45" t="str">
        <f t="shared" si="39"/>
        <v/>
      </c>
      <c r="CD201" s="47"/>
      <c r="CE201" s="26" t="str">
        <f t="shared" si="40"/>
        <v/>
      </c>
      <c r="CF201" s="23"/>
      <c r="CG201" s="45" t="str">
        <f t="shared" si="41"/>
        <v/>
      </c>
      <c r="CH201" s="25"/>
      <c r="CI201" s="45" t="str">
        <f t="shared" si="42"/>
        <v/>
      </c>
      <c r="CJ201" s="47"/>
      <c r="CK201" s="26"/>
      <c r="CL201" s="23"/>
      <c r="CM201" s="45" t="str">
        <f t="shared" si="43"/>
        <v/>
      </c>
      <c r="CN201" s="25"/>
      <c r="CO201" s="45" t="str">
        <f t="shared" si="44"/>
        <v/>
      </c>
      <c r="CP201" s="27">
        <v>0.0</v>
      </c>
    </row>
    <row r="202">
      <c r="A202" s="26" t="str">
        <f t="shared" si="1"/>
        <v/>
      </c>
      <c r="B202" s="26"/>
      <c r="C202" s="81"/>
      <c r="D202" s="27"/>
      <c r="E202" s="82"/>
      <c r="F202" s="20"/>
      <c r="G202" s="20"/>
      <c r="H202" s="20"/>
      <c r="I202" s="23"/>
      <c r="J202" s="33"/>
      <c r="K202" s="26" t="str">
        <f t="shared" si="2"/>
        <v/>
      </c>
      <c r="L202" s="23"/>
      <c r="M202" s="45" t="str">
        <f t="shared" si="3"/>
        <v/>
      </c>
      <c r="N202" s="25"/>
      <c r="O202" s="45" t="str">
        <f t="shared" si="4"/>
        <v/>
      </c>
      <c r="P202" s="29" t="str">
        <f t="shared" si="5"/>
        <v/>
      </c>
      <c r="Q202" s="29">
        <f t="shared" si="6"/>
        <v>0</v>
      </c>
      <c r="R202" s="29">
        <f t="shared" si="7"/>
        <v>0</v>
      </c>
      <c r="S202" s="26" t="str">
        <f t="shared" si="8"/>
        <v/>
      </c>
      <c r="T202" s="23"/>
      <c r="U202" s="45" t="str">
        <f t="shared" si="9"/>
        <v/>
      </c>
      <c r="V202" s="25"/>
      <c r="W202" s="45" t="str">
        <f t="shared" si="10"/>
        <v/>
      </c>
      <c r="X202" s="47"/>
      <c r="Y202" s="26" t="str">
        <f t="shared" si="11"/>
        <v/>
      </c>
      <c r="Z202" s="23"/>
      <c r="AA202" s="45" t="str">
        <f t="shared" si="12"/>
        <v/>
      </c>
      <c r="AB202" s="25"/>
      <c r="AC202" s="45" t="str">
        <f t="shared" si="13"/>
        <v/>
      </c>
      <c r="AD202" s="47"/>
      <c r="AE202" s="26"/>
      <c r="AF202" s="23"/>
      <c r="AG202" s="45" t="str">
        <f t="shared" si="14"/>
        <v/>
      </c>
      <c r="AH202" s="25"/>
      <c r="AI202" s="45" t="str">
        <f t="shared" si="15"/>
        <v/>
      </c>
      <c r="AJ202" s="27">
        <v>0.0</v>
      </c>
      <c r="AK202" s="33"/>
      <c r="AL202" s="26" t="str">
        <f t="shared" si="16"/>
        <v/>
      </c>
      <c r="AM202" s="23"/>
      <c r="AN202" s="45" t="str">
        <f t="shared" si="17"/>
        <v/>
      </c>
      <c r="AO202" s="25"/>
      <c r="AP202" s="45" t="str">
        <f t="shared" si="18"/>
        <v/>
      </c>
      <c r="AQ202" s="29" t="str">
        <f t="shared" si="19"/>
        <v/>
      </c>
      <c r="AR202" s="29">
        <f t="shared" si="20"/>
        <v>0</v>
      </c>
      <c r="AS202" s="29">
        <f t="shared" si="21"/>
        <v>0</v>
      </c>
      <c r="AT202" s="26" t="str">
        <f t="shared" si="22"/>
        <v/>
      </c>
      <c r="AU202" s="23"/>
      <c r="AV202" s="45" t="str">
        <f t="shared" si="23"/>
        <v/>
      </c>
      <c r="AW202" s="25"/>
      <c r="AX202" s="45" t="str">
        <f t="shared" si="24"/>
        <v/>
      </c>
      <c r="AY202" s="47"/>
      <c r="AZ202" s="26" t="str">
        <f t="shared" si="25"/>
        <v/>
      </c>
      <c r="BA202" s="23"/>
      <c r="BB202" s="45" t="str">
        <f t="shared" si="26"/>
        <v/>
      </c>
      <c r="BC202" s="25"/>
      <c r="BD202" s="45" t="str">
        <f t="shared" si="27"/>
        <v/>
      </c>
      <c r="BE202" s="47"/>
      <c r="BF202" s="26"/>
      <c r="BG202" s="23"/>
      <c r="BH202" s="45" t="str">
        <f t="shared" si="28"/>
        <v/>
      </c>
      <c r="BI202" s="25"/>
      <c r="BJ202" s="45" t="str">
        <f t="shared" si="29"/>
        <v/>
      </c>
      <c r="BK202" s="27">
        <v>0.0</v>
      </c>
      <c r="BL202" s="23"/>
      <c r="BM202" s="45" t="str">
        <f t="shared" si="30"/>
        <v/>
      </c>
      <c r="BN202" s="25"/>
      <c r="BO202" s="45" t="str">
        <f t="shared" si="31"/>
        <v/>
      </c>
      <c r="BP202" s="27">
        <v>0.0</v>
      </c>
      <c r="BQ202" s="33"/>
      <c r="BR202" s="23"/>
      <c r="BS202" s="45" t="str">
        <f t="shared" si="32"/>
        <v/>
      </c>
      <c r="BT202" s="25"/>
      <c r="BU202" s="45" t="str">
        <f t="shared" si="33"/>
        <v/>
      </c>
      <c r="BV202" s="29" t="str">
        <f t="shared" si="34"/>
        <v/>
      </c>
      <c r="BW202" s="29">
        <f t="shared" si="35"/>
        <v>0</v>
      </c>
      <c r="BX202" s="29">
        <f t="shared" si="36"/>
        <v>0</v>
      </c>
      <c r="BY202" s="26" t="str">
        <f t="shared" si="37"/>
        <v/>
      </c>
      <c r="BZ202" s="23"/>
      <c r="CA202" s="45" t="str">
        <f t="shared" si="38"/>
        <v/>
      </c>
      <c r="CB202" s="25"/>
      <c r="CC202" s="45" t="str">
        <f t="shared" si="39"/>
        <v/>
      </c>
      <c r="CD202" s="47"/>
      <c r="CE202" s="26" t="str">
        <f t="shared" si="40"/>
        <v/>
      </c>
      <c r="CF202" s="23"/>
      <c r="CG202" s="45" t="str">
        <f t="shared" si="41"/>
        <v/>
      </c>
      <c r="CH202" s="25"/>
      <c r="CI202" s="45" t="str">
        <f t="shared" si="42"/>
        <v/>
      </c>
      <c r="CJ202" s="47"/>
      <c r="CK202" s="26"/>
      <c r="CL202" s="23"/>
      <c r="CM202" s="45" t="str">
        <f t="shared" si="43"/>
        <v/>
      </c>
      <c r="CN202" s="25"/>
      <c r="CO202" s="45" t="str">
        <f t="shared" si="44"/>
        <v/>
      </c>
      <c r="CP202" s="27">
        <v>0.0</v>
      </c>
    </row>
  </sheetData>
  <mergeCells count="24">
    <mergeCell ref="A1:E1"/>
    <mergeCell ref="F1:I1"/>
    <mergeCell ref="K1:R1"/>
    <mergeCell ref="S1:S2"/>
    <mergeCell ref="T1:X1"/>
    <mergeCell ref="Y1:Y2"/>
    <mergeCell ref="AE1:AE2"/>
    <mergeCell ref="Z1:AD1"/>
    <mergeCell ref="AF1:AJ1"/>
    <mergeCell ref="AL1:AS1"/>
    <mergeCell ref="AT1:AT2"/>
    <mergeCell ref="AU1:AY1"/>
    <mergeCell ref="AZ1:AZ2"/>
    <mergeCell ref="BF1:BF2"/>
    <mergeCell ref="CF1:CJ1"/>
    <mergeCell ref="CK1:CK2"/>
    <mergeCell ref="CL1:CP1"/>
    <mergeCell ref="BA1:BE1"/>
    <mergeCell ref="BG1:BK1"/>
    <mergeCell ref="BL1:BP1"/>
    <mergeCell ref="BR1:BX1"/>
    <mergeCell ref="BY1:BY2"/>
    <mergeCell ref="BZ1:CD1"/>
    <mergeCell ref="CE1:CE2"/>
  </mergeCells>
  <dataValidations>
    <dataValidation type="list" allowBlank="1" showErrorMessage="1" sqref="C3:C202">
      <formula1>"Mechanical,Character,360 Rotation,Cinematic Cam"</formula1>
    </dataValidation>
    <dataValidation type="list" allowBlank="1" showErrorMessage="1" sqref="D3:D202">
      <formula1>"1,2,3,4,5,6,7,8,9,10,11,12,13,14,15,16,17,18,19,20"</formula1>
    </dataValidation>
    <dataValidation type="list" allowBlank="1" showErrorMessage="1" sqref="F3:H202">
      <formula1>"1,2,3,4,5"</formula1>
    </dataValidation>
    <dataValidation type="list" allowBlank="1" showErrorMessage="1" sqref="E3:E202">
      <formula1>'VISUAL PLANNING - CA'!$C$3:$C$8</formula1>
    </dataValidation>
    <dataValidation type="list" allowBlank="1" showErrorMessage="1" sqref="I3:I202 L3:L202 T3:T202 Z3:Z202 AF3:AF202 AM3:AM202 AU3:AU202 BA3:BA202 BG3:BG202 BL3:BL202 BR3:BR202 BZ3:BZ202 CF3:CF202 CL3:CL202">
      <formula1>'List Personnel'!$A$2:$A$56</formula1>
    </dataValidation>
    <dataValidation type="list" allowBlank="1" showErrorMessage="1" sqref="X3:X202 AD3:AD202 AY3:AY202 BE3:BE202 CD3:CD202 CJ3:CJ202">
      <formula1>"5%,10%,20%,30%,40%,50%,60%,70%,80%,90%,100%"</formula1>
    </dataValidation>
    <dataValidation type="list" allowBlank="1" showErrorMessage="1" sqref="N3:N202 V3:V202 AB3:AB202 AH3:AH202 AO3:AO202 AW3:AW202 BC3:BC202 BI3:BI202 BN3:BN202 BT3:BT202 CB3:CB202 CH3:CH202 CN3:CN202">
      <formula1>"Ongoing,Done,Pending,Revision"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 outlineLevelCol="1"/>
  <cols>
    <col customWidth="1" min="1" max="1" width="4.25"/>
    <col customWidth="1" min="3" max="3" width="35.88"/>
    <col customWidth="1" min="10" max="10" width="16.0"/>
    <col customWidth="1" min="12" max="12" width="16.0"/>
    <col hidden="1" min="13" max="15" width="12.63"/>
    <col collapsed="1" min="16" max="16" width="12.63"/>
    <col hidden="1" min="17" max="21" width="12.63" outlineLevel="1"/>
    <col collapsed="1" min="22" max="22" width="12.63"/>
    <col hidden="1" min="23" max="27" width="12.63" outlineLevel="1"/>
    <col collapsed="1" customWidth="1" min="28" max="28" width="14.63"/>
    <col hidden="1" min="29" max="32" width="12.63" outlineLevel="1"/>
    <col customWidth="1" min="33" max="33" width="3.63"/>
    <col customWidth="1" min="36" max="36" width="17.38"/>
    <col collapsed="1" customWidth="1" min="38" max="38" width="17.38"/>
    <col customWidth="1" hidden="1" min="39" max="41" width="17.38" outlineLevel="1"/>
    <col collapsed="1" min="42" max="42" width="12.63"/>
    <col hidden="1" min="43" max="47" width="12.63" outlineLevel="1"/>
    <col collapsed="1" min="48" max="48" width="12.63"/>
    <col hidden="1" min="49" max="53" width="12.63" outlineLevel="1"/>
    <col collapsed="1" min="54" max="54" width="12.63"/>
    <col hidden="1" min="55" max="58" width="12.63" outlineLevel="1"/>
    <col customWidth="1" min="59" max="59" width="3.75"/>
  </cols>
  <sheetData>
    <row r="1">
      <c r="A1" s="84" t="s">
        <v>338</v>
      </c>
      <c r="D1" s="84" t="s">
        <v>339</v>
      </c>
      <c r="H1" s="84" t="s">
        <v>340</v>
      </c>
      <c r="P1" s="84" t="s">
        <v>8</v>
      </c>
      <c r="Q1" s="84" t="s">
        <v>8</v>
      </c>
      <c r="V1" s="84" t="s">
        <v>10</v>
      </c>
      <c r="W1" s="84" t="s">
        <v>10</v>
      </c>
      <c r="AB1" s="85" t="s">
        <v>341</v>
      </c>
      <c r="AC1" s="84" t="s">
        <v>342</v>
      </c>
      <c r="AG1" s="84"/>
      <c r="AH1" s="84" t="s">
        <v>343</v>
      </c>
      <c r="AP1" s="84" t="s">
        <v>8</v>
      </c>
      <c r="AQ1" s="84" t="s">
        <v>8</v>
      </c>
      <c r="AV1" s="84" t="s">
        <v>10</v>
      </c>
      <c r="AW1" s="84" t="s">
        <v>10</v>
      </c>
      <c r="BB1" s="85" t="s">
        <v>344</v>
      </c>
      <c r="BC1" s="84" t="s">
        <v>344</v>
      </c>
      <c r="BG1" s="86"/>
    </row>
    <row r="2" ht="21.0" customHeight="1">
      <c r="A2" s="84" t="s">
        <v>24</v>
      </c>
      <c r="B2" s="84" t="s">
        <v>26</v>
      </c>
      <c r="C2" s="84" t="s">
        <v>25</v>
      </c>
      <c r="D2" s="84" t="s">
        <v>345</v>
      </c>
      <c r="E2" s="84" t="s">
        <v>346</v>
      </c>
      <c r="F2" s="84" t="s">
        <v>347</v>
      </c>
      <c r="G2" s="84" t="s">
        <v>31</v>
      </c>
      <c r="H2" s="84" t="s">
        <v>35</v>
      </c>
      <c r="I2" s="84" t="s">
        <v>36</v>
      </c>
      <c r="J2" s="84" t="s">
        <v>38</v>
      </c>
      <c r="K2" s="84" t="s">
        <v>39</v>
      </c>
      <c r="L2" s="84" t="s">
        <v>40</v>
      </c>
      <c r="M2" s="85" t="s">
        <v>42</v>
      </c>
      <c r="N2" s="85" t="s">
        <v>44</v>
      </c>
      <c r="O2" s="85" t="s">
        <v>45</v>
      </c>
      <c r="Q2" s="84" t="s">
        <v>46</v>
      </c>
      <c r="R2" s="84" t="s">
        <v>38</v>
      </c>
      <c r="S2" s="84" t="s">
        <v>39</v>
      </c>
      <c r="T2" s="84" t="s">
        <v>40</v>
      </c>
      <c r="U2" s="85" t="s">
        <v>47</v>
      </c>
      <c r="W2" s="84" t="s">
        <v>48</v>
      </c>
      <c r="X2" s="84" t="s">
        <v>38</v>
      </c>
      <c r="Y2" s="84" t="s">
        <v>39</v>
      </c>
      <c r="Z2" s="84" t="s">
        <v>40</v>
      </c>
      <c r="AA2" s="85" t="s">
        <v>47</v>
      </c>
      <c r="AC2" s="84" t="s">
        <v>49</v>
      </c>
      <c r="AD2" s="84" t="s">
        <v>38</v>
      </c>
      <c r="AE2" s="84" t="s">
        <v>39</v>
      </c>
      <c r="AF2" s="84" t="s">
        <v>40</v>
      </c>
      <c r="AH2" s="84" t="s">
        <v>35</v>
      </c>
      <c r="AI2" s="84" t="s">
        <v>36</v>
      </c>
      <c r="AJ2" s="84" t="s">
        <v>38</v>
      </c>
      <c r="AK2" s="84" t="s">
        <v>39</v>
      </c>
      <c r="AL2" s="84" t="s">
        <v>40</v>
      </c>
      <c r="AM2" s="85" t="s">
        <v>42</v>
      </c>
      <c r="AN2" s="85" t="s">
        <v>44</v>
      </c>
      <c r="AO2" s="85" t="s">
        <v>45</v>
      </c>
      <c r="AQ2" s="84" t="s">
        <v>46</v>
      </c>
      <c r="AR2" s="84" t="s">
        <v>38</v>
      </c>
      <c r="AS2" s="84" t="s">
        <v>39</v>
      </c>
      <c r="AT2" s="84" t="s">
        <v>40</v>
      </c>
      <c r="AU2" s="85" t="s">
        <v>47</v>
      </c>
      <c r="AW2" s="84" t="s">
        <v>48</v>
      </c>
      <c r="AX2" s="84" t="s">
        <v>38</v>
      </c>
      <c r="AY2" s="84" t="s">
        <v>39</v>
      </c>
      <c r="AZ2" s="84" t="s">
        <v>40</v>
      </c>
      <c r="BA2" s="85" t="s">
        <v>47</v>
      </c>
      <c r="BC2" s="84" t="s">
        <v>49</v>
      </c>
      <c r="BD2" s="84" t="s">
        <v>38</v>
      </c>
      <c r="BE2" s="84" t="s">
        <v>39</v>
      </c>
      <c r="BF2" s="84" t="s">
        <v>40</v>
      </c>
    </row>
    <row r="3">
      <c r="A3" s="87"/>
      <c r="B3" s="87"/>
      <c r="C3" s="81" t="s">
        <v>348</v>
      </c>
      <c r="D3" s="81">
        <v>3.0</v>
      </c>
      <c r="E3" s="81">
        <v>1.0</v>
      </c>
      <c r="F3" s="87"/>
      <c r="G3" s="81" t="s">
        <v>72</v>
      </c>
      <c r="H3" s="88">
        <f t="shared" ref="H3:H399" si="1">D3</f>
        <v>3</v>
      </c>
      <c r="I3" s="81" t="s">
        <v>194</v>
      </c>
      <c r="J3" s="89">
        <f t="shared" ref="J3:J399" si="2">if(I3&lt;&gt;"", if(J3="",NOW(),J3),"")</f>
        <v>46310.41539</v>
      </c>
      <c r="K3" s="90" t="s">
        <v>69</v>
      </c>
      <c r="L3" s="89">
        <f t="shared" ref="L3:L399" si="3">if(K3="Done", if(L3="",NOW(),L3),"")</f>
        <v>46315.56612</v>
      </c>
      <c r="M3" s="92">
        <f t="shared" ref="M3:M41" si="4">IF(AND(J3&lt;&gt;"",L3&lt;&gt;""),(L3-J3)*1440,"")</f>
        <v>7417.04765</v>
      </c>
      <c r="N3" s="93">
        <f t="shared" ref="N3:N399" si="5">IF(
  INT(J3)=INT(L3),
  IF(
    AND(MOD(J3,1)&lt;TIME(12,0,0), MOD(L3,1)&gt;TIME(12,0,0)),
    60,
    0
  ),
  IF(
    MOD(L3,1)&lt;=TIME(12,0,0),
    (INT(L3)-INT(J3))*960,
    (INT(L3)-INT(J3))*1020
  )
)</f>
        <v>5100</v>
      </c>
      <c r="O3" s="94">
        <f t="shared" ref="O3:O399" si="6">(M3-N3)/60</f>
        <v>38.61746083</v>
      </c>
      <c r="P3" s="87" t="str">
        <f>S3</f>
        <v/>
      </c>
      <c r="Q3" s="87"/>
      <c r="R3" s="89" t="str">
        <f t="shared" ref="R3:R399" si="7">if(Q3&lt;&gt;"", if(R3="",NOW(),R3),"")</f>
        <v/>
      </c>
      <c r="S3" s="90"/>
      <c r="T3" s="89" t="str">
        <f t="shared" ref="T3:T399" si="8">if(S3="Done", if(T3="",NOW(),T3),"")</f>
        <v/>
      </c>
      <c r="U3" s="95"/>
      <c r="V3" s="87" t="str">
        <f>AE3</f>
        <v/>
      </c>
      <c r="W3" s="87"/>
      <c r="X3" s="89" t="str">
        <f t="shared" ref="X3:X399" si="9">if(W3&lt;&gt;"", if(X3="",NOW(),X3),"")</f>
        <v/>
      </c>
      <c r="Y3" s="90"/>
      <c r="Z3" s="89" t="str">
        <f t="shared" ref="Z3:Z399" si="10">if(Y3="Done", if(Z3="",NOW(),Z3),"")</f>
        <v/>
      </c>
      <c r="AA3" s="95"/>
      <c r="AB3" s="87"/>
      <c r="AC3" s="87"/>
      <c r="AD3" s="89" t="str">
        <f t="shared" ref="AD3:AD399" si="11">if(AC3&lt;&gt;"", if(AD3="",NOW(),AD3),"")</f>
        <v/>
      </c>
      <c r="AE3" s="90"/>
      <c r="AF3" s="89" t="str">
        <f t="shared" ref="AF3:AF399" si="12">if(AE3="Done", if(AF3="",NOW(),AF3),"")</f>
        <v/>
      </c>
      <c r="AG3" s="96"/>
      <c r="AH3" s="88">
        <f t="shared" ref="AH3:AH399" si="13">E3</f>
        <v>1</v>
      </c>
      <c r="AI3" s="87"/>
      <c r="AJ3" s="89" t="str">
        <f t="shared" ref="AJ3:AJ399" si="14">if(AI3&lt;&gt;"", if(AJ3="",NOW(),AJ3),"")</f>
        <v/>
      </c>
      <c r="AK3" s="90"/>
      <c r="AL3" s="89" t="str">
        <f t="shared" ref="AL3:AL399" si="15">if(AK3="Done", if(AL3="",NOW(),AL3),"")</f>
        <v/>
      </c>
      <c r="AM3" s="92" t="str">
        <f t="shared" ref="AM3:AM41" si="16">IF(AND(AJ3&lt;&gt;"",AL3&lt;&gt;""),(AL3-AJ3)*1440,"")</f>
        <v/>
      </c>
      <c r="AN3" s="93">
        <f t="shared" ref="AN3:AN399" si="17">IF(
  INT(AJ3)=INT(AL3),
  IF(
    AND(MOD(AJ3,1)&lt;TIME(12,0,0), MOD(AL3,1)&gt;TIME(12,0,0)),
    60,
    0
  ),
  IF(
    MOD(AL3,1)&lt;=TIME(12,0,0),
    (INT(AL3)-INT(AJ3))*960,
    (INT(AL3)-INT(AJ3))*1020
  )
)</f>
        <v>0</v>
      </c>
      <c r="AO3" s="94">
        <f t="shared" ref="AO3:AO399" si="18">(AM3-AN3)/60</f>
        <v>0</v>
      </c>
      <c r="AP3" s="87" t="str">
        <f>AS3</f>
        <v/>
      </c>
      <c r="AQ3" s="87"/>
      <c r="AR3" s="89" t="str">
        <f t="shared" ref="AR3:AR399" si="19">if(AQ3&lt;&gt;"", if(AR3="",NOW(),AR3),"")</f>
        <v/>
      </c>
      <c r="AS3" s="90"/>
      <c r="AT3" s="89" t="str">
        <f t="shared" ref="AT3:AT399" si="20">if(AS3="Done", if(AT3="",NOW(),AT3),"")</f>
        <v/>
      </c>
      <c r="AU3" s="95"/>
      <c r="AV3" s="87" t="str">
        <f>BE3</f>
        <v/>
      </c>
      <c r="AW3" s="87"/>
      <c r="AX3" s="89" t="str">
        <f t="shared" ref="AX3:AX399" si="21">if(AW3&lt;&gt;"", if(AX3="",NOW(),AX3),"")</f>
        <v/>
      </c>
      <c r="AY3" s="90"/>
      <c r="AZ3" s="89" t="str">
        <f t="shared" ref="AZ3:AZ399" si="22">if(AY3="Done", if(AZ3="",NOW(),AZ3),"")</f>
        <v/>
      </c>
      <c r="BA3" s="95"/>
      <c r="BB3" s="87"/>
      <c r="BC3" s="87"/>
      <c r="BD3" s="89" t="str">
        <f t="shared" ref="BD3:BD399" si="23">if(BC3&lt;&gt;"", if(BD3="",NOW(),BD3),"")</f>
        <v/>
      </c>
      <c r="BE3" s="90"/>
      <c r="BF3" s="89" t="str">
        <f t="shared" ref="BF3:BF399" si="24">if(BE3="Done", if(BF3="",NOW(),BF3),"")</f>
        <v/>
      </c>
      <c r="BG3" s="96"/>
    </row>
    <row r="4">
      <c r="A4" s="87"/>
      <c r="B4" s="87"/>
      <c r="C4" s="81"/>
      <c r="D4" s="81"/>
      <c r="E4" s="81"/>
      <c r="F4" s="87"/>
      <c r="G4" s="81"/>
      <c r="H4" s="88" t="str">
        <f t="shared" si="1"/>
        <v/>
      </c>
      <c r="I4" s="81"/>
      <c r="J4" s="89" t="str">
        <f t="shared" si="2"/>
        <v/>
      </c>
      <c r="K4" s="90"/>
      <c r="L4" s="89" t="str">
        <f t="shared" si="3"/>
        <v/>
      </c>
      <c r="M4" s="94" t="str">
        <f t="shared" si="4"/>
        <v/>
      </c>
      <c r="N4" s="93">
        <f t="shared" si="5"/>
        <v>0</v>
      </c>
      <c r="O4" s="94">
        <f t="shared" si="6"/>
        <v>0</v>
      </c>
      <c r="P4" s="87"/>
      <c r="Q4" s="87"/>
      <c r="R4" s="89" t="str">
        <f t="shared" si="7"/>
        <v/>
      </c>
      <c r="S4" s="90"/>
      <c r="T4" s="89" t="str">
        <f t="shared" si="8"/>
        <v/>
      </c>
      <c r="U4" s="95"/>
      <c r="V4" s="87"/>
      <c r="W4" s="87"/>
      <c r="X4" s="89" t="str">
        <f t="shared" si="9"/>
        <v/>
      </c>
      <c r="Y4" s="90"/>
      <c r="Z4" s="89" t="str">
        <f t="shared" si="10"/>
        <v/>
      </c>
      <c r="AA4" s="95"/>
      <c r="AB4" s="88" t="str">
        <f t="shared" ref="AB4:AB7" si="25">AE4</f>
        <v/>
      </c>
      <c r="AC4" s="87"/>
      <c r="AD4" s="89" t="str">
        <f t="shared" si="11"/>
        <v/>
      </c>
      <c r="AE4" s="90"/>
      <c r="AF4" s="89" t="str">
        <f t="shared" si="12"/>
        <v/>
      </c>
      <c r="AG4" s="96"/>
      <c r="AH4" s="88" t="str">
        <f t="shared" si="13"/>
        <v/>
      </c>
      <c r="AI4" s="87"/>
      <c r="AJ4" s="89" t="str">
        <f t="shared" si="14"/>
        <v/>
      </c>
      <c r="AK4" s="90"/>
      <c r="AL4" s="89" t="str">
        <f t="shared" si="15"/>
        <v/>
      </c>
      <c r="AM4" s="94" t="str">
        <f t="shared" si="16"/>
        <v/>
      </c>
      <c r="AN4" s="93">
        <f t="shared" si="17"/>
        <v>0</v>
      </c>
      <c r="AO4" s="94">
        <f t="shared" si="18"/>
        <v>0</v>
      </c>
      <c r="AP4" s="87"/>
      <c r="AQ4" s="87"/>
      <c r="AR4" s="89" t="str">
        <f t="shared" si="19"/>
        <v/>
      </c>
      <c r="AS4" s="90"/>
      <c r="AT4" s="89" t="str">
        <f t="shared" si="20"/>
        <v/>
      </c>
      <c r="AU4" s="95"/>
      <c r="AV4" s="87"/>
      <c r="AW4" s="87"/>
      <c r="AX4" s="89" t="str">
        <f t="shared" si="21"/>
        <v/>
      </c>
      <c r="AY4" s="90"/>
      <c r="AZ4" s="89" t="str">
        <f t="shared" si="22"/>
        <v/>
      </c>
      <c r="BA4" s="95"/>
      <c r="BB4" s="88" t="str">
        <f t="shared" ref="BB4:BB7" si="26">BE4</f>
        <v/>
      </c>
      <c r="BC4" s="87"/>
      <c r="BD4" s="89" t="str">
        <f t="shared" si="23"/>
        <v/>
      </c>
      <c r="BE4" s="90"/>
      <c r="BF4" s="89" t="str">
        <f t="shared" si="24"/>
        <v/>
      </c>
      <c r="BG4" s="96"/>
    </row>
    <row r="5">
      <c r="A5" s="87"/>
      <c r="B5" s="87"/>
      <c r="C5" s="87"/>
      <c r="D5" s="81"/>
      <c r="E5" s="81"/>
      <c r="F5" s="87"/>
      <c r="G5" s="81"/>
      <c r="H5" s="88" t="str">
        <f t="shared" si="1"/>
        <v/>
      </c>
      <c r="I5" s="81"/>
      <c r="J5" s="89" t="str">
        <f t="shared" si="2"/>
        <v/>
      </c>
      <c r="K5" s="90"/>
      <c r="L5" s="89" t="str">
        <f t="shared" si="3"/>
        <v/>
      </c>
      <c r="M5" s="94" t="str">
        <f t="shared" si="4"/>
        <v/>
      </c>
      <c r="N5" s="93">
        <f t="shared" si="5"/>
        <v>0</v>
      </c>
      <c r="O5" s="94">
        <f t="shared" si="6"/>
        <v>0</v>
      </c>
      <c r="P5" s="87"/>
      <c r="Q5" s="87"/>
      <c r="R5" s="89" t="str">
        <f t="shared" si="7"/>
        <v/>
      </c>
      <c r="S5" s="90"/>
      <c r="T5" s="89" t="str">
        <f t="shared" si="8"/>
        <v/>
      </c>
      <c r="U5" s="95"/>
      <c r="V5" s="87"/>
      <c r="W5" s="87"/>
      <c r="X5" s="89" t="str">
        <f t="shared" si="9"/>
        <v/>
      </c>
      <c r="Y5" s="90"/>
      <c r="Z5" s="89" t="str">
        <f t="shared" si="10"/>
        <v/>
      </c>
      <c r="AA5" s="95"/>
      <c r="AB5" s="88" t="str">
        <f t="shared" si="25"/>
        <v/>
      </c>
      <c r="AC5" s="87"/>
      <c r="AD5" s="89" t="str">
        <f t="shared" si="11"/>
        <v/>
      </c>
      <c r="AE5" s="90"/>
      <c r="AF5" s="89" t="str">
        <f t="shared" si="12"/>
        <v/>
      </c>
      <c r="AG5" s="96"/>
      <c r="AH5" s="88" t="str">
        <f t="shared" si="13"/>
        <v/>
      </c>
      <c r="AI5" s="87"/>
      <c r="AJ5" s="89" t="str">
        <f t="shared" si="14"/>
        <v/>
      </c>
      <c r="AK5" s="90"/>
      <c r="AL5" s="89" t="str">
        <f t="shared" si="15"/>
        <v/>
      </c>
      <c r="AM5" s="94" t="str">
        <f t="shared" si="16"/>
        <v/>
      </c>
      <c r="AN5" s="93">
        <f t="shared" si="17"/>
        <v>0</v>
      </c>
      <c r="AO5" s="94">
        <f t="shared" si="18"/>
        <v>0</v>
      </c>
      <c r="AP5" s="87"/>
      <c r="AQ5" s="87"/>
      <c r="AR5" s="89" t="str">
        <f t="shared" si="19"/>
        <v/>
      </c>
      <c r="AS5" s="90"/>
      <c r="AT5" s="89" t="str">
        <f t="shared" si="20"/>
        <v/>
      </c>
      <c r="AU5" s="95"/>
      <c r="AV5" s="87"/>
      <c r="AW5" s="87"/>
      <c r="AX5" s="89" t="str">
        <f t="shared" si="21"/>
        <v/>
      </c>
      <c r="AY5" s="90"/>
      <c r="AZ5" s="89" t="str">
        <f t="shared" si="22"/>
        <v/>
      </c>
      <c r="BA5" s="95"/>
      <c r="BB5" s="88" t="str">
        <f t="shared" si="26"/>
        <v/>
      </c>
      <c r="BC5" s="87"/>
      <c r="BD5" s="89" t="str">
        <f t="shared" si="23"/>
        <v/>
      </c>
      <c r="BE5" s="90"/>
      <c r="BF5" s="89" t="str">
        <f t="shared" si="24"/>
        <v/>
      </c>
      <c r="BG5" s="96"/>
    </row>
    <row r="6">
      <c r="A6" s="87"/>
      <c r="B6" s="87"/>
      <c r="C6" s="87"/>
      <c r="D6" s="81"/>
      <c r="E6" s="81"/>
      <c r="F6" s="87"/>
      <c r="G6" s="81"/>
      <c r="H6" s="88" t="str">
        <f t="shared" si="1"/>
        <v/>
      </c>
      <c r="I6" s="81"/>
      <c r="J6" s="89" t="str">
        <f t="shared" si="2"/>
        <v/>
      </c>
      <c r="K6" s="90"/>
      <c r="L6" s="89" t="str">
        <f t="shared" si="3"/>
        <v/>
      </c>
      <c r="M6" s="94" t="str">
        <f t="shared" si="4"/>
        <v/>
      </c>
      <c r="N6" s="93">
        <f t="shared" si="5"/>
        <v>0</v>
      </c>
      <c r="O6" s="94">
        <f t="shared" si="6"/>
        <v>0</v>
      </c>
      <c r="P6" s="87"/>
      <c r="Q6" s="87"/>
      <c r="R6" s="89" t="str">
        <f t="shared" si="7"/>
        <v/>
      </c>
      <c r="S6" s="90"/>
      <c r="T6" s="89" t="str">
        <f t="shared" si="8"/>
        <v/>
      </c>
      <c r="U6" s="95"/>
      <c r="V6" s="87"/>
      <c r="W6" s="87"/>
      <c r="X6" s="89" t="str">
        <f t="shared" si="9"/>
        <v/>
      </c>
      <c r="Y6" s="90"/>
      <c r="Z6" s="89" t="str">
        <f t="shared" si="10"/>
        <v/>
      </c>
      <c r="AA6" s="95"/>
      <c r="AB6" s="88" t="str">
        <f t="shared" si="25"/>
        <v/>
      </c>
      <c r="AC6" s="87"/>
      <c r="AD6" s="89" t="str">
        <f t="shared" si="11"/>
        <v/>
      </c>
      <c r="AE6" s="90"/>
      <c r="AF6" s="89" t="str">
        <f t="shared" si="12"/>
        <v/>
      </c>
      <c r="AG6" s="96"/>
      <c r="AH6" s="88" t="str">
        <f t="shared" si="13"/>
        <v/>
      </c>
      <c r="AI6" s="87"/>
      <c r="AJ6" s="89" t="str">
        <f t="shared" si="14"/>
        <v/>
      </c>
      <c r="AK6" s="90"/>
      <c r="AL6" s="89" t="str">
        <f t="shared" si="15"/>
        <v/>
      </c>
      <c r="AM6" s="94" t="str">
        <f t="shared" si="16"/>
        <v/>
      </c>
      <c r="AN6" s="93">
        <f t="shared" si="17"/>
        <v>0</v>
      </c>
      <c r="AO6" s="94">
        <f t="shared" si="18"/>
        <v>0</v>
      </c>
      <c r="AP6" s="87"/>
      <c r="AQ6" s="87"/>
      <c r="AR6" s="89" t="str">
        <f t="shared" si="19"/>
        <v/>
      </c>
      <c r="AS6" s="90"/>
      <c r="AT6" s="89" t="str">
        <f t="shared" si="20"/>
        <v/>
      </c>
      <c r="AU6" s="95"/>
      <c r="AV6" s="87"/>
      <c r="AW6" s="87"/>
      <c r="AX6" s="89" t="str">
        <f t="shared" si="21"/>
        <v/>
      </c>
      <c r="AY6" s="90"/>
      <c r="AZ6" s="89" t="str">
        <f t="shared" si="22"/>
        <v/>
      </c>
      <c r="BA6" s="95"/>
      <c r="BB6" s="88" t="str">
        <f t="shared" si="26"/>
        <v/>
      </c>
      <c r="BC6" s="87"/>
      <c r="BD6" s="89" t="str">
        <f t="shared" si="23"/>
        <v/>
      </c>
      <c r="BE6" s="90"/>
      <c r="BF6" s="89" t="str">
        <f t="shared" si="24"/>
        <v/>
      </c>
      <c r="BG6" s="96"/>
    </row>
    <row r="7">
      <c r="A7" s="87"/>
      <c r="B7" s="87"/>
      <c r="C7" s="87"/>
      <c r="D7" s="81"/>
      <c r="E7" s="81"/>
      <c r="F7" s="87"/>
      <c r="G7" s="81"/>
      <c r="H7" s="88" t="str">
        <f t="shared" si="1"/>
        <v/>
      </c>
      <c r="I7" s="81"/>
      <c r="J7" s="89" t="str">
        <f t="shared" si="2"/>
        <v/>
      </c>
      <c r="K7" s="90"/>
      <c r="L7" s="89" t="str">
        <f t="shared" si="3"/>
        <v/>
      </c>
      <c r="M7" s="94" t="str">
        <f t="shared" si="4"/>
        <v/>
      </c>
      <c r="N7" s="93">
        <f t="shared" si="5"/>
        <v>0</v>
      </c>
      <c r="O7" s="94">
        <f t="shared" si="6"/>
        <v>0</v>
      </c>
      <c r="P7" s="87"/>
      <c r="Q7" s="87"/>
      <c r="R7" s="89" t="str">
        <f t="shared" si="7"/>
        <v/>
      </c>
      <c r="S7" s="90"/>
      <c r="T7" s="89" t="str">
        <f t="shared" si="8"/>
        <v/>
      </c>
      <c r="U7" s="95"/>
      <c r="V7" s="87"/>
      <c r="W7" s="87"/>
      <c r="X7" s="89" t="str">
        <f t="shared" si="9"/>
        <v/>
      </c>
      <c r="Y7" s="90"/>
      <c r="Z7" s="89" t="str">
        <f t="shared" si="10"/>
        <v/>
      </c>
      <c r="AA7" s="95"/>
      <c r="AB7" s="88" t="str">
        <f t="shared" si="25"/>
        <v/>
      </c>
      <c r="AC7" s="87"/>
      <c r="AD7" s="89" t="str">
        <f t="shared" si="11"/>
        <v/>
      </c>
      <c r="AE7" s="90"/>
      <c r="AF7" s="89" t="str">
        <f t="shared" si="12"/>
        <v/>
      </c>
      <c r="AG7" s="96"/>
      <c r="AH7" s="88" t="str">
        <f t="shared" si="13"/>
        <v/>
      </c>
      <c r="AI7" s="87"/>
      <c r="AJ7" s="89" t="str">
        <f t="shared" si="14"/>
        <v/>
      </c>
      <c r="AK7" s="90"/>
      <c r="AL7" s="89" t="str">
        <f t="shared" si="15"/>
        <v/>
      </c>
      <c r="AM7" s="94" t="str">
        <f t="shared" si="16"/>
        <v/>
      </c>
      <c r="AN7" s="93">
        <f t="shared" si="17"/>
        <v>0</v>
      </c>
      <c r="AO7" s="94">
        <f t="shared" si="18"/>
        <v>0</v>
      </c>
      <c r="AP7" s="87"/>
      <c r="AQ7" s="87"/>
      <c r="AR7" s="89" t="str">
        <f t="shared" si="19"/>
        <v/>
      </c>
      <c r="AS7" s="90"/>
      <c r="AT7" s="89" t="str">
        <f t="shared" si="20"/>
        <v/>
      </c>
      <c r="AU7" s="95"/>
      <c r="AV7" s="87"/>
      <c r="AW7" s="87"/>
      <c r="AX7" s="89" t="str">
        <f t="shared" si="21"/>
        <v/>
      </c>
      <c r="AY7" s="90"/>
      <c r="AZ7" s="89" t="str">
        <f t="shared" si="22"/>
        <v/>
      </c>
      <c r="BA7" s="95"/>
      <c r="BB7" s="88" t="str">
        <f t="shared" si="26"/>
        <v/>
      </c>
      <c r="BC7" s="87"/>
      <c r="BD7" s="89" t="str">
        <f t="shared" si="23"/>
        <v/>
      </c>
      <c r="BE7" s="90"/>
      <c r="BF7" s="89" t="str">
        <f t="shared" si="24"/>
        <v/>
      </c>
      <c r="BG7" s="96"/>
    </row>
    <row r="8">
      <c r="A8" s="87"/>
      <c r="B8" s="87"/>
      <c r="C8" s="81"/>
      <c r="D8" s="81"/>
      <c r="E8" s="81"/>
      <c r="F8" s="87"/>
      <c r="G8" s="81"/>
      <c r="H8" s="88" t="str">
        <f t="shared" si="1"/>
        <v/>
      </c>
      <c r="I8" s="81"/>
      <c r="J8" s="89" t="str">
        <f t="shared" si="2"/>
        <v/>
      </c>
      <c r="K8" s="90"/>
      <c r="L8" s="89" t="str">
        <f t="shared" si="3"/>
        <v/>
      </c>
      <c r="M8" s="94" t="str">
        <f t="shared" si="4"/>
        <v/>
      </c>
      <c r="N8" s="93">
        <f t="shared" si="5"/>
        <v>0</v>
      </c>
      <c r="O8" s="94">
        <f t="shared" si="6"/>
        <v>0</v>
      </c>
      <c r="P8" s="87"/>
      <c r="Q8" s="87"/>
      <c r="R8" s="89" t="str">
        <f t="shared" si="7"/>
        <v/>
      </c>
      <c r="S8" s="90"/>
      <c r="T8" s="89" t="str">
        <f t="shared" si="8"/>
        <v/>
      </c>
      <c r="U8" s="95"/>
      <c r="V8" s="87"/>
      <c r="W8" s="87"/>
      <c r="X8" s="89" t="str">
        <f t="shared" si="9"/>
        <v/>
      </c>
      <c r="Y8" s="90"/>
      <c r="Z8" s="89" t="str">
        <f t="shared" si="10"/>
        <v/>
      </c>
      <c r="AA8" s="95"/>
      <c r="AB8" s="88" t="str">
        <f>AE3</f>
        <v/>
      </c>
      <c r="AC8" s="87"/>
      <c r="AD8" s="89" t="str">
        <f t="shared" si="11"/>
        <v/>
      </c>
      <c r="AE8" s="90"/>
      <c r="AF8" s="89" t="str">
        <f t="shared" si="12"/>
        <v/>
      </c>
      <c r="AG8" s="96"/>
      <c r="AH8" s="88" t="str">
        <f t="shared" si="13"/>
        <v/>
      </c>
      <c r="AI8" s="87"/>
      <c r="AJ8" s="89" t="str">
        <f t="shared" si="14"/>
        <v/>
      </c>
      <c r="AK8" s="90"/>
      <c r="AL8" s="89" t="str">
        <f t="shared" si="15"/>
        <v/>
      </c>
      <c r="AM8" s="94" t="str">
        <f t="shared" si="16"/>
        <v/>
      </c>
      <c r="AN8" s="93">
        <f t="shared" si="17"/>
        <v>0</v>
      </c>
      <c r="AO8" s="94">
        <f t="shared" si="18"/>
        <v>0</v>
      </c>
      <c r="AP8" s="87"/>
      <c r="AQ8" s="87"/>
      <c r="AR8" s="89" t="str">
        <f t="shared" si="19"/>
        <v/>
      </c>
      <c r="AS8" s="90"/>
      <c r="AT8" s="89" t="str">
        <f t="shared" si="20"/>
        <v/>
      </c>
      <c r="AU8" s="95"/>
      <c r="AV8" s="87"/>
      <c r="AW8" s="87"/>
      <c r="AX8" s="89" t="str">
        <f t="shared" si="21"/>
        <v/>
      </c>
      <c r="AY8" s="90"/>
      <c r="AZ8" s="89" t="str">
        <f t="shared" si="22"/>
        <v/>
      </c>
      <c r="BA8" s="95"/>
      <c r="BB8" s="88" t="str">
        <f>BE3</f>
        <v/>
      </c>
      <c r="BC8" s="87"/>
      <c r="BD8" s="89" t="str">
        <f t="shared" si="23"/>
        <v/>
      </c>
      <c r="BE8" s="90"/>
      <c r="BF8" s="89" t="str">
        <f t="shared" si="24"/>
        <v/>
      </c>
      <c r="BG8" s="96"/>
    </row>
    <row r="9">
      <c r="A9" s="87"/>
      <c r="B9" s="87"/>
      <c r="C9" s="81"/>
      <c r="D9" s="81"/>
      <c r="E9" s="81"/>
      <c r="F9" s="87"/>
      <c r="G9" s="81"/>
      <c r="H9" s="88" t="str">
        <f t="shared" si="1"/>
        <v/>
      </c>
      <c r="I9" s="81"/>
      <c r="J9" s="89" t="str">
        <f t="shared" si="2"/>
        <v/>
      </c>
      <c r="K9" s="90"/>
      <c r="L9" s="89" t="str">
        <f t="shared" si="3"/>
        <v/>
      </c>
      <c r="M9" s="94" t="str">
        <f t="shared" si="4"/>
        <v/>
      </c>
      <c r="N9" s="93">
        <f t="shared" si="5"/>
        <v>0</v>
      </c>
      <c r="O9" s="94">
        <f t="shared" si="6"/>
        <v>0</v>
      </c>
      <c r="P9" s="87"/>
      <c r="Q9" s="87"/>
      <c r="R9" s="89" t="str">
        <f t="shared" si="7"/>
        <v/>
      </c>
      <c r="S9" s="90"/>
      <c r="T9" s="89" t="str">
        <f t="shared" si="8"/>
        <v/>
      </c>
      <c r="U9" s="95"/>
      <c r="V9" s="87"/>
      <c r="W9" s="87"/>
      <c r="X9" s="89" t="str">
        <f t="shared" si="9"/>
        <v/>
      </c>
      <c r="Y9" s="90"/>
      <c r="Z9" s="89" t="str">
        <f t="shared" si="10"/>
        <v/>
      </c>
      <c r="AA9" s="95"/>
      <c r="AB9" s="88" t="str">
        <f t="shared" ref="AB9:AB399" si="27">AE9</f>
        <v/>
      </c>
      <c r="AC9" s="87"/>
      <c r="AD9" s="89" t="str">
        <f t="shared" si="11"/>
        <v/>
      </c>
      <c r="AE9" s="90"/>
      <c r="AF9" s="89" t="str">
        <f t="shared" si="12"/>
        <v/>
      </c>
      <c r="AG9" s="96"/>
      <c r="AH9" s="88" t="str">
        <f t="shared" si="13"/>
        <v/>
      </c>
      <c r="AI9" s="87"/>
      <c r="AJ9" s="89" t="str">
        <f t="shared" si="14"/>
        <v/>
      </c>
      <c r="AK9" s="90"/>
      <c r="AL9" s="89" t="str">
        <f t="shared" si="15"/>
        <v/>
      </c>
      <c r="AM9" s="94" t="str">
        <f t="shared" si="16"/>
        <v/>
      </c>
      <c r="AN9" s="93">
        <f t="shared" si="17"/>
        <v>0</v>
      </c>
      <c r="AO9" s="94">
        <f t="shared" si="18"/>
        <v>0</v>
      </c>
      <c r="AP9" s="87"/>
      <c r="AQ9" s="87"/>
      <c r="AR9" s="89" t="str">
        <f t="shared" si="19"/>
        <v/>
      </c>
      <c r="AS9" s="90"/>
      <c r="AT9" s="89" t="str">
        <f t="shared" si="20"/>
        <v/>
      </c>
      <c r="AU9" s="95"/>
      <c r="AV9" s="87"/>
      <c r="AW9" s="87"/>
      <c r="AX9" s="89" t="str">
        <f t="shared" si="21"/>
        <v/>
      </c>
      <c r="AY9" s="90"/>
      <c r="AZ9" s="89" t="str">
        <f t="shared" si="22"/>
        <v/>
      </c>
      <c r="BA9" s="95"/>
      <c r="BB9" s="88" t="str">
        <f t="shared" ref="BB9:BB399" si="28">BE9</f>
        <v/>
      </c>
      <c r="BC9" s="87"/>
      <c r="BD9" s="89" t="str">
        <f t="shared" si="23"/>
        <v/>
      </c>
      <c r="BE9" s="90"/>
      <c r="BF9" s="89" t="str">
        <f t="shared" si="24"/>
        <v/>
      </c>
      <c r="BG9" s="96"/>
    </row>
    <row r="10">
      <c r="A10" s="87"/>
      <c r="B10" s="87"/>
      <c r="C10" s="81"/>
      <c r="D10" s="81"/>
      <c r="E10" s="81"/>
      <c r="F10" s="87"/>
      <c r="G10" s="81"/>
      <c r="H10" s="88" t="str">
        <f t="shared" si="1"/>
        <v/>
      </c>
      <c r="I10" s="81"/>
      <c r="J10" s="89" t="str">
        <f t="shared" si="2"/>
        <v/>
      </c>
      <c r="K10" s="90"/>
      <c r="L10" s="89" t="str">
        <f t="shared" si="3"/>
        <v/>
      </c>
      <c r="M10" s="94" t="str">
        <f t="shared" si="4"/>
        <v/>
      </c>
      <c r="N10" s="93">
        <f t="shared" si="5"/>
        <v>0</v>
      </c>
      <c r="O10" s="94">
        <f t="shared" si="6"/>
        <v>0</v>
      </c>
      <c r="P10" s="87"/>
      <c r="Q10" s="87"/>
      <c r="R10" s="89" t="str">
        <f t="shared" si="7"/>
        <v/>
      </c>
      <c r="S10" s="90"/>
      <c r="T10" s="89" t="str">
        <f t="shared" si="8"/>
        <v/>
      </c>
      <c r="U10" s="95"/>
      <c r="V10" s="87"/>
      <c r="W10" s="87"/>
      <c r="X10" s="89" t="str">
        <f t="shared" si="9"/>
        <v/>
      </c>
      <c r="Y10" s="90"/>
      <c r="Z10" s="89" t="str">
        <f t="shared" si="10"/>
        <v/>
      </c>
      <c r="AA10" s="95"/>
      <c r="AB10" s="88" t="str">
        <f t="shared" si="27"/>
        <v/>
      </c>
      <c r="AC10" s="87"/>
      <c r="AD10" s="89" t="str">
        <f t="shared" si="11"/>
        <v/>
      </c>
      <c r="AE10" s="90"/>
      <c r="AF10" s="89" t="str">
        <f t="shared" si="12"/>
        <v/>
      </c>
      <c r="AG10" s="96"/>
      <c r="AH10" s="88" t="str">
        <f t="shared" si="13"/>
        <v/>
      </c>
      <c r="AI10" s="87"/>
      <c r="AJ10" s="89" t="str">
        <f t="shared" si="14"/>
        <v/>
      </c>
      <c r="AK10" s="90"/>
      <c r="AL10" s="89" t="str">
        <f t="shared" si="15"/>
        <v/>
      </c>
      <c r="AM10" s="94" t="str">
        <f t="shared" si="16"/>
        <v/>
      </c>
      <c r="AN10" s="93">
        <f t="shared" si="17"/>
        <v>0</v>
      </c>
      <c r="AO10" s="94">
        <f t="shared" si="18"/>
        <v>0</v>
      </c>
      <c r="AP10" s="87"/>
      <c r="AQ10" s="87"/>
      <c r="AR10" s="89" t="str">
        <f t="shared" si="19"/>
        <v/>
      </c>
      <c r="AS10" s="90"/>
      <c r="AT10" s="89" t="str">
        <f t="shared" si="20"/>
        <v/>
      </c>
      <c r="AU10" s="95"/>
      <c r="AV10" s="87"/>
      <c r="AW10" s="87"/>
      <c r="AX10" s="89" t="str">
        <f t="shared" si="21"/>
        <v/>
      </c>
      <c r="AY10" s="90"/>
      <c r="AZ10" s="89" t="str">
        <f t="shared" si="22"/>
        <v/>
      </c>
      <c r="BA10" s="95"/>
      <c r="BB10" s="88" t="str">
        <f t="shared" si="28"/>
        <v/>
      </c>
      <c r="BC10" s="87"/>
      <c r="BD10" s="89" t="str">
        <f t="shared" si="23"/>
        <v/>
      </c>
      <c r="BE10" s="90"/>
      <c r="BF10" s="89" t="str">
        <f t="shared" si="24"/>
        <v/>
      </c>
      <c r="BG10" s="96"/>
    </row>
    <row r="11">
      <c r="A11" s="87"/>
      <c r="B11" s="87"/>
      <c r="C11" s="81"/>
      <c r="D11" s="81"/>
      <c r="E11" s="81"/>
      <c r="F11" s="87"/>
      <c r="G11" s="81"/>
      <c r="H11" s="88" t="str">
        <f t="shared" si="1"/>
        <v/>
      </c>
      <c r="I11" s="81"/>
      <c r="J11" s="89" t="str">
        <f t="shared" si="2"/>
        <v/>
      </c>
      <c r="K11" s="90"/>
      <c r="L11" s="89" t="str">
        <f t="shared" si="3"/>
        <v/>
      </c>
      <c r="M11" s="94" t="str">
        <f t="shared" si="4"/>
        <v/>
      </c>
      <c r="N11" s="93">
        <f t="shared" si="5"/>
        <v>0</v>
      </c>
      <c r="O11" s="94">
        <f t="shared" si="6"/>
        <v>0</v>
      </c>
      <c r="P11" s="87"/>
      <c r="Q11" s="87"/>
      <c r="R11" s="89" t="str">
        <f t="shared" si="7"/>
        <v/>
      </c>
      <c r="S11" s="90"/>
      <c r="T11" s="89" t="str">
        <f t="shared" si="8"/>
        <v/>
      </c>
      <c r="U11" s="95"/>
      <c r="V11" s="87"/>
      <c r="W11" s="87"/>
      <c r="X11" s="89" t="str">
        <f t="shared" si="9"/>
        <v/>
      </c>
      <c r="Y11" s="90"/>
      <c r="Z11" s="89" t="str">
        <f t="shared" si="10"/>
        <v/>
      </c>
      <c r="AA11" s="95"/>
      <c r="AB11" s="88" t="str">
        <f t="shared" si="27"/>
        <v/>
      </c>
      <c r="AC11" s="87"/>
      <c r="AD11" s="89" t="str">
        <f t="shared" si="11"/>
        <v/>
      </c>
      <c r="AE11" s="90"/>
      <c r="AF11" s="89" t="str">
        <f t="shared" si="12"/>
        <v/>
      </c>
      <c r="AG11" s="96"/>
      <c r="AH11" s="88" t="str">
        <f t="shared" si="13"/>
        <v/>
      </c>
      <c r="AI11" s="87"/>
      <c r="AJ11" s="89" t="str">
        <f t="shared" si="14"/>
        <v/>
      </c>
      <c r="AK11" s="90"/>
      <c r="AL11" s="89" t="str">
        <f t="shared" si="15"/>
        <v/>
      </c>
      <c r="AM11" s="94" t="str">
        <f t="shared" si="16"/>
        <v/>
      </c>
      <c r="AN11" s="93">
        <f t="shared" si="17"/>
        <v>0</v>
      </c>
      <c r="AO11" s="94">
        <f t="shared" si="18"/>
        <v>0</v>
      </c>
      <c r="AP11" s="87"/>
      <c r="AQ11" s="87"/>
      <c r="AR11" s="89" t="str">
        <f t="shared" si="19"/>
        <v/>
      </c>
      <c r="AS11" s="90"/>
      <c r="AT11" s="89" t="str">
        <f t="shared" si="20"/>
        <v/>
      </c>
      <c r="AU11" s="95"/>
      <c r="AV11" s="87"/>
      <c r="AW11" s="87"/>
      <c r="AX11" s="89" t="str">
        <f t="shared" si="21"/>
        <v/>
      </c>
      <c r="AY11" s="90"/>
      <c r="AZ11" s="89" t="str">
        <f t="shared" si="22"/>
        <v/>
      </c>
      <c r="BA11" s="95"/>
      <c r="BB11" s="88" t="str">
        <f t="shared" si="28"/>
        <v/>
      </c>
      <c r="BC11" s="87"/>
      <c r="BD11" s="89" t="str">
        <f t="shared" si="23"/>
        <v/>
      </c>
      <c r="BE11" s="90"/>
      <c r="BF11" s="89" t="str">
        <f t="shared" si="24"/>
        <v/>
      </c>
      <c r="BG11" s="96"/>
    </row>
    <row r="12">
      <c r="A12" s="87"/>
      <c r="B12" s="87"/>
      <c r="C12" s="81"/>
      <c r="D12" s="81"/>
      <c r="E12" s="81"/>
      <c r="F12" s="87"/>
      <c r="G12" s="81"/>
      <c r="H12" s="88" t="str">
        <f t="shared" si="1"/>
        <v/>
      </c>
      <c r="I12" s="87"/>
      <c r="J12" s="89" t="str">
        <f t="shared" si="2"/>
        <v/>
      </c>
      <c r="K12" s="90"/>
      <c r="L12" s="89" t="str">
        <f t="shared" si="3"/>
        <v/>
      </c>
      <c r="M12" s="94" t="str">
        <f t="shared" si="4"/>
        <v/>
      </c>
      <c r="N12" s="93">
        <f t="shared" si="5"/>
        <v>0</v>
      </c>
      <c r="O12" s="94">
        <f t="shared" si="6"/>
        <v>0</v>
      </c>
      <c r="P12" s="87"/>
      <c r="Q12" s="87"/>
      <c r="R12" s="89" t="str">
        <f t="shared" si="7"/>
        <v/>
      </c>
      <c r="S12" s="90"/>
      <c r="T12" s="89" t="str">
        <f t="shared" si="8"/>
        <v/>
      </c>
      <c r="U12" s="95"/>
      <c r="V12" s="87"/>
      <c r="W12" s="87"/>
      <c r="X12" s="89" t="str">
        <f t="shared" si="9"/>
        <v/>
      </c>
      <c r="Y12" s="90"/>
      <c r="Z12" s="89" t="str">
        <f t="shared" si="10"/>
        <v/>
      </c>
      <c r="AA12" s="95"/>
      <c r="AB12" s="88" t="str">
        <f t="shared" si="27"/>
        <v/>
      </c>
      <c r="AC12" s="87"/>
      <c r="AD12" s="89" t="str">
        <f t="shared" si="11"/>
        <v/>
      </c>
      <c r="AE12" s="90"/>
      <c r="AF12" s="89" t="str">
        <f t="shared" si="12"/>
        <v/>
      </c>
      <c r="AG12" s="96"/>
      <c r="AH12" s="88" t="str">
        <f t="shared" si="13"/>
        <v/>
      </c>
      <c r="AI12" s="87"/>
      <c r="AJ12" s="89" t="str">
        <f t="shared" si="14"/>
        <v/>
      </c>
      <c r="AK12" s="90"/>
      <c r="AL12" s="89" t="str">
        <f t="shared" si="15"/>
        <v/>
      </c>
      <c r="AM12" s="94" t="str">
        <f t="shared" si="16"/>
        <v/>
      </c>
      <c r="AN12" s="93">
        <f t="shared" si="17"/>
        <v>0</v>
      </c>
      <c r="AO12" s="94">
        <f t="shared" si="18"/>
        <v>0</v>
      </c>
      <c r="AP12" s="87"/>
      <c r="AQ12" s="87"/>
      <c r="AR12" s="89" t="str">
        <f t="shared" si="19"/>
        <v/>
      </c>
      <c r="AS12" s="90"/>
      <c r="AT12" s="89" t="str">
        <f t="shared" si="20"/>
        <v/>
      </c>
      <c r="AU12" s="95"/>
      <c r="AV12" s="87"/>
      <c r="AW12" s="87"/>
      <c r="AX12" s="89" t="str">
        <f t="shared" si="21"/>
        <v/>
      </c>
      <c r="AY12" s="90"/>
      <c r="AZ12" s="89" t="str">
        <f t="shared" si="22"/>
        <v/>
      </c>
      <c r="BA12" s="95"/>
      <c r="BB12" s="88" t="str">
        <f t="shared" si="28"/>
        <v/>
      </c>
      <c r="BC12" s="87"/>
      <c r="BD12" s="89" t="str">
        <f t="shared" si="23"/>
        <v/>
      </c>
      <c r="BE12" s="90"/>
      <c r="BF12" s="89" t="str">
        <f t="shared" si="24"/>
        <v/>
      </c>
      <c r="BG12" s="96"/>
    </row>
    <row r="13">
      <c r="A13" s="87"/>
      <c r="B13" s="87"/>
      <c r="C13" s="81"/>
      <c r="D13" s="81"/>
      <c r="E13" s="81"/>
      <c r="F13" s="87"/>
      <c r="G13" s="81"/>
      <c r="H13" s="88" t="str">
        <f t="shared" si="1"/>
        <v/>
      </c>
      <c r="I13" s="81"/>
      <c r="J13" s="89" t="str">
        <f t="shared" si="2"/>
        <v/>
      </c>
      <c r="K13" s="90"/>
      <c r="L13" s="89" t="str">
        <f t="shared" si="3"/>
        <v/>
      </c>
      <c r="M13" s="94" t="str">
        <f t="shared" si="4"/>
        <v/>
      </c>
      <c r="N13" s="93">
        <f t="shared" si="5"/>
        <v>0</v>
      </c>
      <c r="O13" s="94">
        <f t="shared" si="6"/>
        <v>0</v>
      </c>
      <c r="P13" s="87"/>
      <c r="Q13" s="87"/>
      <c r="R13" s="89" t="str">
        <f t="shared" si="7"/>
        <v/>
      </c>
      <c r="S13" s="90"/>
      <c r="T13" s="89" t="str">
        <f t="shared" si="8"/>
        <v/>
      </c>
      <c r="U13" s="95"/>
      <c r="V13" s="87"/>
      <c r="W13" s="87"/>
      <c r="X13" s="89" t="str">
        <f t="shared" si="9"/>
        <v/>
      </c>
      <c r="Y13" s="90"/>
      <c r="Z13" s="89" t="str">
        <f t="shared" si="10"/>
        <v/>
      </c>
      <c r="AA13" s="95"/>
      <c r="AB13" s="88" t="str">
        <f t="shared" si="27"/>
        <v/>
      </c>
      <c r="AC13" s="87"/>
      <c r="AD13" s="89" t="str">
        <f t="shared" si="11"/>
        <v/>
      </c>
      <c r="AE13" s="90"/>
      <c r="AF13" s="89" t="str">
        <f t="shared" si="12"/>
        <v/>
      </c>
      <c r="AG13" s="96"/>
      <c r="AH13" s="88" t="str">
        <f t="shared" si="13"/>
        <v/>
      </c>
      <c r="AI13" s="87"/>
      <c r="AJ13" s="89" t="str">
        <f t="shared" si="14"/>
        <v/>
      </c>
      <c r="AK13" s="90"/>
      <c r="AL13" s="89" t="str">
        <f t="shared" si="15"/>
        <v/>
      </c>
      <c r="AM13" s="94" t="str">
        <f t="shared" si="16"/>
        <v/>
      </c>
      <c r="AN13" s="93">
        <f t="shared" si="17"/>
        <v>0</v>
      </c>
      <c r="AO13" s="94">
        <f t="shared" si="18"/>
        <v>0</v>
      </c>
      <c r="AP13" s="87"/>
      <c r="AQ13" s="87"/>
      <c r="AR13" s="89" t="str">
        <f t="shared" si="19"/>
        <v/>
      </c>
      <c r="AS13" s="90"/>
      <c r="AT13" s="89" t="str">
        <f t="shared" si="20"/>
        <v/>
      </c>
      <c r="AU13" s="95"/>
      <c r="AV13" s="87"/>
      <c r="AW13" s="87"/>
      <c r="AX13" s="89" t="str">
        <f t="shared" si="21"/>
        <v/>
      </c>
      <c r="AY13" s="90"/>
      <c r="AZ13" s="89" t="str">
        <f t="shared" si="22"/>
        <v/>
      </c>
      <c r="BA13" s="95"/>
      <c r="BB13" s="88" t="str">
        <f t="shared" si="28"/>
        <v/>
      </c>
      <c r="BC13" s="87"/>
      <c r="BD13" s="89" t="str">
        <f t="shared" si="23"/>
        <v/>
      </c>
      <c r="BE13" s="90"/>
      <c r="BF13" s="89" t="str">
        <f t="shared" si="24"/>
        <v/>
      </c>
      <c r="BG13" s="96"/>
    </row>
    <row r="14">
      <c r="A14" s="87"/>
      <c r="B14" s="87"/>
      <c r="C14" s="81"/>
      <c r="D14" s="81"/>
      <c r="E14" s="81"/>
      <c r="F14" s="87"/>
      <c r="G14" s="81"/>
      <c r="H14" s="88" t="str">
        <f t="shared" si="1"/>
        <v/>
      </c>
      <c r="I14" s="81"/>
      <c r="J14" s="89" t="str">
        <f t="shared" si="2"/>
        <v/>
      </c>
      <c r="K14" s="90"/>
      <c r="L14" s="89" t="str">
        <f t="shared" si="3"/>
        <v/>
      </c>
      <c r="M14" s="94" t="str">
        <f t="shared" si="4"/>
        <v/>
      </c>
      <c r="N14" s="93">
        <f t="shared" si="5"/>
        <v>0</v>
      </c>
      <c r="O14" s="94">
        <f t="shared" si="6"/>
        <v>0</v>
      </c>
      <c r="P14" s="87"/>
      <c r="Q14" s="87"/>
      <c r="R14" s="89" t="str">
        <f t="shared" si="7"/>
        <v/>
      </c>
      <c r="S14" s="90"/>
      <c r="T14" s="89" t="str">
        <f t="shared" si="8"/>
        <v/>
      </c>
      <c r="U14" s="95"/>
      <c r="V14" s="87"/>
      <c r="W14" s="87"/>
      <c r="X14" s="89" t="str">
        <f t="shared" si="9"/>
        <v/>
      </c>
      <c r="Y14" s="90"/>
      <c r="Z14" s="89" t="str">
        <f t="shared" si="10"/>
        <v/>
      </c>
      <c r="AA14" s="95"/>
      <c r="AB14" s="88" t="str">
        <f t="shared" si="27"/>
        <v/>
      </c>
      <c r="AC14" s="87"/>
      <c r="AD14" s="89" t="str">
        <f t="shared" si="11"/>
        <v/>
      </c>
      <c r="AE14" s="90"/>
      <c r="AF14" s="89" t="str">
        <f t="shared" si="12"/>
        <v/>
      </c>
      <c r="AG14" s="96"/>
      <c r="AH14" s="88" t="str">
        <f t="shared" si="13"/>
        <v/>
      </c>
      <c r="AI14" s="87"/>
      <c r="AJ14" s="89" t="str">
        <f t="shared" si="14"/>
        <v/>
      </c>
      <c r="AK14" s="90"/>
      <c r="AL14" s="89" t="str">
        <f t="shared" si="15"/>
        <v/>
      </c>
      <c r="AM14" s="94" t="str">
        <f t="shared" si="16"/>
        <v/>
      </c>
      <c r="AN14" s="93">
        <f t="shared" si="17"/>
        <v>0</v>
      </c>
      <c r="AO14" s="94">
        <f t="shared" si="18"/>
        <v>0</v>
      </c>
      <c r="AP14" s="87"/>
      <c r="AQ14" s="87"/>
      <c r="AR14" s="89" t="str">
        <f t="shared" si="19"/>
        <v/>
      </c>
      <c r="AS14" s="90"/>
      <c r="AT14" s="89" t="str">
        <f t="shared" si="20"/>
        <v/>
      </c>
      <c r="AU14" s="95"/>
      <c r="AV14" s="87"/>
      <c r="AW14" s="87"/>
      <c r="AX14" s="89" t="str">
        <f t="shared" si="21"/>
        <v/>
      </c>
      <c r="AY14" s="90"/>
      <c r="AZ14" s="89" t="str">
        <f t="shared" si="22"/>
        <v/>
      </c>
      <c r="BA14" s="95"/>
      <c r="BB14" s="88" t="str">
        <f t="shared" si="28"/>
        <v/>
      </c>
      <c r="BC14" s="87"/>
      <c r="BD14" s="89" t="str">
        <f t="shared" si="23"/>
        <v/>
      </c>
      <c r="BE14" s="90"/>
      <c r="BF14" s="89" t="str">
        <f t="shared" si="24"/>
        <v/>
      </c>
      <c r="BG14" s="96"/>
    </row>
    <row r="15">
      <c r="A15" s="87"/>
      <c r="B15" s="87"/>
      <c r="C15" s="81"/>
      <c r="D15" s="81"/>
      <c r="E15" s="81"/>
      <c r="F15" s="87"/>
      <c r="G15" s="81"/>
      <c r="H15" s="88" t="str">
        <f t="shared" si="1"/>
        <v/>
      </c>
      <c r="I15" s="81"/>
      <c r="J15" s="89" t="str">
        <f t="shared" si="2"/>
        <v/>
      </c>
      <c r="K15" s="90"/>
      <c r="L15" s="89" t="str">
        <f t="shared" si="3"/>
        <v/>
      </c>
      <c r="M15" s="94" t="str">
        <f t="shared" si="4"/>
        <v/>
      </c>
      <c r="N15" s="93">
        <f t="shared" si="5"/>
        <v>0</v>
      </c>
      <c r="O15" s="94">
        <f t="shared" si="6"/>
        <v>0</v>
      </c>
      <c r="P15" s="87"/>
      <c r="Q15" s="87"/>
      <c r="R15" s="89" t="str">
        <f t="shared" si="7"/>
        <v/>
      </c>
      <c r="S15" s="90"/>
      <c r="T15" s="89" t="str">
        <f t="shared" si="8"/>
        <v/>
      </c>
      <c r="U15" s="95"/>
      <c r="V15" s="87"/>
      <c r="W15" s="87"/>
      <c r="X15" s="89" t="str">
        <f t="shared" si="9"/>
        <v/>
      </c>
      <c r="Y15" s="90"/>
      <c r="Z15" s="89" t="str">
        <f t="shared" si="10"/>
        <v/>
      </c>
      <c r="AA15" s="95"/>
      <c r="AB15" s="88" t="str">
        <f t="shared" si="27"/>
        <v/>
      </c>
      <c r="AC15" s="87"/>
      <c r="AD15" s="89" t="str">
        <f t="shared" si="11"/>
        <v/>
      </c>
      <c r="AE15" s="90"/>
      <c r="AF15" s="89" t="str">
        <f t="shared" si="12"/>
        <v/>
      </c>
      <c r="AG15" s="96"/>
      <c r="AH15" s="88" t="str">
        <f t="shared" si="13"/>
        <v/>
      </c>
      <c r="AI15" s="87"/>
      <c r="AJ15" s="89" t="str">
        <f t="shared" si="14"/>
        <v/>
      </c>
      <c r="AK15" s="90"/>
      <c r="AL15" s="89" t="str">
        <f t="shared" si="15"/>
        <v/>
      </c>
      <c r="AM15" s="94" t="str">
        <f t="shared" si="16"/>
        <v/>
      </c>
      <c r="AN15" s="93">
        <f t="shared" si="17"/>
        <v>0</v>
      </c>
      <c r="AO15" s="94">
        <f t="shared" si="18"/>
        <v>0</v>
      </c>
      <c r="AP15" s="87"/>
      <c r="AQ15" s="87"/>
      <c r="AR15" s="89" t="str">
        <f t="shared" si="19"/>
        <v/>
      </c>
      <c r="AS15" s="90"/>
      <c r="AT15" s="89" t="str">
        <f t="shared" si="20"/>
        <v/>
      </c>
      <c r="AU15" s="95"/>
      <c r="AV15" s="87"/>
      <c r="AW15" s="87"/>
      <c r="AX15" s="89" t="str">
        <f t="shared" si="21"/>
        <v/>
      </c>
      <c r="AY15" s="90"/>
      <c r="AZ15" s="89" t="str">
        <f t="shared" si="22"/>
        <v/>
      </c>
      <c r="BA15" s="95"/>
      <c r="BB15" s="88" t="str">
        <f t="shared" si="28"/>
        <v/>
      </c>
      <c r="BC15" s="87"/>
      <c r="BD15" s="89" t="str">
        <f t="shared" si="23"/>
        <v/>
      </c>
      <c r="BE15" s="90"/>
      <c r="BF15" s="89" t="str">
        <f t="shared" si="24"/>
        <v/>
      </c>
      <c r="BG15" s="96"/>
    </row>
    <row r="16">
      <c r="A16" s="87"/>
      <c r="B16" s="87"/>
      <c r="C16" s="81"/>
      <c r="D16" s="81"/>
      <c r="E16" s="81"/>
      <c r="F16" s="87"/>
      <c r="G16" s="81"/>
      <c r="H16" s="88" t="str">
        <f t="shared" si="1"/>
        <v/>
      </c>
      <c r="I16" s="81"/>
      <c r="J16" s="89" t="str">
        <f t="shared" si="2"/>
        <v/>
      </c>
      <c r="K16" s="90"/>
      <c r="L16" s="89" t="str">
        <f t="shared" si="3"/>
        <v/>
      </c>
      <c r="M16" s="94" t="str">
        <f t="shared" si="4"/>
        <v/>
      </c>
      <c r="N16" s="93">
        <f t="shared" si="5"/>
        <v>0</v>
      </c>
      <c r="O16" s="94">
        <f t="shared" si="6"/>
        <v>0</v>
      </c>
      <c r="P16" s="87"/>
      <c r="Q16" s="87"/>
      <c r="R16" s="89" t="str">
        <f t="shared" si="7"/>
        <v/>
      </c>
      <c r="S16" s="90"/>
      <c r="T16" s="89" t="str">
        <f t="shared" si="8"/>
        <v/>
      </c>
      <c r="U16" s="95"/>
      <c r="V16" s="87"/>
      <c r="W16" s="87"/>
      <c r="X16" s="89" t="str">
        <f t="shared" si="9"/>
        <v/>
      </c>
      <c r="Y16" s="90"/>
      <c r="Z16" s="89" t="str">
        <f t="shared" si="10"/>
        <v/>
      </c>
      <c r="AA16" s="95"/>
      <c r="AB16" s="88" t="str">
        <f t="shared" si="27"/>
        <v/>
      </c>
      <c r="AC16" s="87"/>
      <c r="AD16" s="89" t="str">
        <f t="shared" si="11"/>
        <v/>
      </c>
      <c r="AE16" s="90"/>
      <c r="AF16" s="89" t="str">
        <f t="shared" si="12"/>
        <v/>
      </c>
      <c r="AG16" s="96"/>
      <c r="AH16" s="88" t="str">
        <f t="shared" si="13"/>
        <v/>
      </c>
      <c r="AI16" s="87"/>
      <c r="AJ16" s="89" t="str">
        <f t="shared" si="14"/>
        <v/>
      </c>
      <c r="AK16" s="90"/>
      <c r="AL16" s="89" t="str">
        <f t="shared" si="15"/>
        <v/>
      </c>
      <c r="AM16" s="94" t="str">
        <f t="shared" si="16"/>
        <v/>
      </c>
      <c r="AN16" s="93">
        <f t="shared" si="17"/>
        <v>0</v>
      </c>
      <c r="AO16" s="94">
        <f t="shared" si="18"/>
        <v>0</v>
      </c>
      <c r="AP16" s="87"/>
      <c r="AQ16" s="87"/>
      <c r="AR16" s="89" t="str">
        <f t="shared" si="19"/>
        <v/>
      </c>
      <c r="AS16" s="90"/>
      <c r="AT16" s="89" t="str">
        <f t="shared" si="20"/>
        <v/>
      </c>
      <c r="AU16" s="95"/>
      <c r="AV16" s="87"/>
      <c r="AW16" s="87"/>
      <c r="AX16" s="89" t="str">
        <f t="shared" si="21"/>
        <v/>
      </c>
      <c r="AY16" s="90"/>
      <c r="AZ16" s="89" t="str">
        <f t="shared" si="22"/>
        <v/>
      </c>
      <c r="BA16" s="95"/>
      <c r="BB16" s="88" t="str">
        <f t="shared" si="28"/>
        <v/>
      </c>
      <c r="BC16" s="87"/>
      <c r="BD16" s="89" t="str">
        <f t="shared" si="23"/>
        <v/>
      </c>
      <c r="BE16" s="90"/>
      <c r="BF16" s="89" t="str">
        <f t="shared" si="24"/>
        <v/>
      </c>
      <c r="BG16" s="96"/>
    </row>
    <row r="17">
      <c r="A17" s="87"/>
      <c r="B17" s="87"/>
      <c r="C17" s="81"/>
      <c r="D17" s="81"/>
      <c r="E17" s="81"/>
      <c r="F17" s="87"/>
      <c r="G17" s="81"/>
      <c r="H17" s="88" t="str">
        <f t="shared" si="1"/>
        <v/>
      </c>
      <c r="I17" s="81"/>
      <c r="J17" s="89" t="str">
        <f t="shared" si="2"/>
        <v/>
      </c>
      <c r="K17" s="90"/>
      <c r="L17" s="89" t="str">
        <f t="shared" si="3"/>
        <v/>
      </c>
      <c r="M17" s="94" t="str">
        <f t="shared" si="4"/>
        <v/>
      </c>
      <c r="N17" s="93">
        <f t="shared" si="5"/>
        <v>0</v>
      </c>
      <c r="O17" s="94">
        <f t="shared" si="6"/>
        <v>0</v>
      </c>
      <c r="P17" s="87"/>
      <c r="Q17" s="87"/>
      <c r="R17" s="89" t="str">
        <f t="shared" si="7"/>
        <v/>
      </c>
      <c r="S17" s="90"/>
      <c r="T17" s="89" t="str">
        <f t="shared" si="8"/>
        <v/>
      </c>
      <c r="U17" s="95"/>
      <c r="V17" s="87"/>
      <c r="W17" s="87"/>
      <c r="X17" s="89" t="str">
        <f t="shared" si="9"/>
        <v/>
      </c>
      <c r="Y17" s="90"/>
      <c r="Z17" s="89" t="str">
        <f t="shared" si="10"/>
        <v/>
      </c>
      <c r="AA17" s="95"/>
      <c r="AB17" s="88" t="str">
        <f t="shared" si="27"/>
        <v/>
      </c>
      <c r="AC17" s="87"/>
      <c r="AD17" s="89" t="str">
        <f t="shared" si="11"/>
        <v/>
      </c>
      <c r="AE17" s="90"/>
      <c r="AF17" s="89" t="str">
        <f t="shared" si="12"/>
        <v/>
      </c>
      <c r="AG17" s="96"/>
      <c r="AH17" s="88" t="str">
        <f t="shared" si="13"/>
        <v/>
      </c>
      <c r="AI17" s="87"/>
      <c r="AJ17" s="89" t="str">
        <f t="shared" si="14"/>
        <v/>
      </c>
      <c r="AK17" s="90"/>
      <c r="AL17" s="89" t="str">
        <f t="shared" si="15"/>
        <v/>
      </c>
      <c r="AM17" s="94" t="str">
        <f t="shared" si="16"/>
        <v/>
      </c>
      <c r="AN17" s="93">
        <f t="shared" si="17"/>
        <v>0</v>
      </c>
      <c r="AO17" s="94">
        <f t="shared" si="18"/>
        <v>0</v>
      </c>
      <c r="AP17" s="87"/>
      <c r="AQ17" s="87"/>
      <c r="AR17" s="89" t="str">
        <f t="shared" si="19"/>
        <v/>
      </c>
      <c r="AS17" s="90"/>
      <c r="AT17" s="89" t="str">
        <f t="shared" si="20"/>
        <v/>
      </c>
      <c r="AU17" s="95"/>
      <c r="AV17" s="87"/>
      <c r="AW17" s="87"/>
      <c r="AX17" s="89" t="str">
        <f t="shared" si="21"/>
        <v/>
      </c>
      <c r="AY17" s="90"/>
      <c r="AZ17" s="89" t="str">
        <f t="shared" si="22"/>
        <v/>
      </c>
      <c r="BA17" s="95"/>
      <c r="BB17" s="88" t="str">
        <f t="shared" si="28"/>
        <v/>
      </c>
      <c r="BC17" s="87"/>
      <c r="BD17" s="89" t="str">
        <f t="shared" si="23"/>
        <v/>
      </c>
      <c r="BE17" s="90"/>
      <c r="BF17" s="89" t="str">
        <f t="shared" si="24"/>
        <v/>
      </c>
      <c r="BG17" s="96"/>
    </row>
    <row r="18">
      <c r="A18" s="87"/>
      <c r="B18" s="87"/>
      <c r="C18" s="81"/>
      <c r="D18" s="87"/>
      <c r="E18" s="87"/>
      <c r="F18" s="87"/>
      <c r="G18" s="87"/>
      <c r="H18" s="88" t="str">
        <f t="shared" si="1"/>
        <v/>
      </c>
      <c r="I18" s="81"/>
      <c r="J18" s="89" t="str">
        <f t="shared" si="2"/>
        <v/>
      </c>
      <c r="K18" s="90"/>
      <c r="L18" s="89" t="str">
        <f t="shared" si="3"/>
        <v/>
      </c>
      <c r="M18" s="94" t="str">
        <f t="shared" si="4"/>
        <v/>
      </c>
      <c r="N18" s="93">
        <f t="shared" si="5"/>
        <v>0</v>
      </c>
      <c r="O18" s="94">
        <f t="shared" si="6"/>
        <v>0</v>
      </c>
      <c r="P18" s="87"/>
      <c r="Q18" s="87"/>
      <c r="R18" s="89" t="str">
        <f t="shared" si="7"/>
        <v/>
      </c>
      <c r="S18" s="90"/>
      <c r="T18" s="89" t="str">
        <f t="shared" si="8"/>
        <v/>
      </c>
      <c r="U18" s="95"/>
      <c r="V18" s="87"/>
      <c r="W18" s="87"/>
      <c r="X18" s="89" t="str">
        <f t="shared" si="9"/>
        <v/>
      </c>
      <c r="Y18" s="90"/>
      <c r="Z18" s="89" t="str">
        <f t="shared" si="10"/>
        <v/>
      </c>
      <c r="AA18" s="95"/>
      <c r="AB18" s="88" t="str">
        <f t="shared" si="27"/>
        <v/>
      </c>
      <c r="AC18" s="87"/>
      <c r="AD18" s="89" t="str">
        <f t="shared" si="11"/>
        <v/>
      </c>
      <c r="AE18" s="90"/>
      <c r="AF18" s="89" t="str">
        <f t="shared" si="12"/>
        <v/>
      </c>
      <c r="AG18" s="96"/>
      <c r="AH18" s="88" t="str">
        <f t="shared" si="13"/>
        <v/>
      </c>
      <c r="AI18" s="87"/>
      <c r="AJ18" s="89" t="str">
        <f t="shared" si="14"/>
        <v/>
      </c>
      <c r="AK18" s="90"/>
      <c r="AL18" s="89" t="str">
        <f t="shared" si="15"/>
        <v/>
      </c>
      <c r="AM18" s="94" t="str">
        <f t="shared" si="16"/>
        <v/>
      </c>
      <c r="AN18" s="93">
        <f t="shared" si="17"/>
        <v>0</v>
      </c>
      <c r="AO18" s="94">
        <f t="shared" si="18"/>
        <v>0</v>
      </c>
      <c r="AP18" s="87"/>
      <c r="AQ18" s="87"/>
      <c r="AR18" s="89" t="str">
        <f t="shared" si="19"/>
        <v/>
      </c>
      <c r="AS18" s="90"/>
      <c r="AT18" s="89" t="str">
        <f t="shared" si="20"/>
        <v/>
      </c>
      <c r="AU18" s="95"/>
      <c r="AV18" s="87"/>
      <c r="AW18" s="87"/>
      <c r="AX18" s="89" t="str">
        <f t="shared" si="21"/>
        <v/>
      </c>
      <c r="AY18" s="90"/>
      <c r="AZ18" s="89" t="str">
        <f t="shared" si="22"/>
        <v/>
      </c>
      <c r="BA18" s="95"/>
      <c r="BB18" s="88" t="str">
        <f t="shared" si="28"/>
        <v/>
      </c>
      <c r="BC18" s="87"/>
      <c r="BD18" s="89" t="str">
        <f t="shared" si="23"/>
        <v/>
      </c>
      <c r="BE18" s="90"/>
      <c r="BF18" s="89" t="str">
        <f t="shared" si="24"/>
        <v/>
      </c>
      <c r="BG18" s="96"/>
    </row>
    <row r="19">
      <c r="A19" s="87"/>
      <c r="B19" s="87"/>
      <c r="C19" s="87"/>
      <c r="D19" s="87"/>
      <c r="E19" s="87"/>
      <c r="F19" s="87"/>
      <c r="G19" s="87"/>
      <c r="H19" s="88" t="str">
        <f t="shared" si="1"/>
        <v/>
      </c>
      <c r="I19" s="87"/>
      <c r="J19" s="89" t="str">
        <f t="shared" si="2"/>
        <v/>
      </c>
      <c r="K19" s="90"/>
      <c r="L19" s="89" t="str">
        <f t="shared" si="3"/>
        <v/>
      </c>
      <c r="M19" s="94" t="str">
        <f t="shared" si="4"/>
        <v/>
      </c>
      <c r="N19" s="93">
        <f t="shared" si="5"/>
        <v>0</v>
      </c>
      <c r="O19" s="94">
        <f t="shared" si="6"/>
        <v>0</v>
      </c>
      <c r="P19" s="87"/>
      <c r="Q19" s="87"/>
      <c r="R19" s="89" t="str">
        <f t="shared" si="7"/>
        <v/>
      </c>
      <c r="S19" s="90"/>
      <c r="T19" s="89" t="str">
        <f t="shared" si="8"/>
        <v/>
      </c>
      <c r="U19" s="95"/>
      <c r="V19" s="87"/>
      <c r="W19" s="87"/>
      <c r="X19" s="89" t="str">
        <f t="shared" si="9"/>
        <v/>
      </c>
      <c r="Y19" s="90"/>
      <c r="Z19" s="89" t="str">
        <f t="shared" si="10"/>
        <v/>
      </c>
      <c r="AA19" s="95"/>
      <c r="AB19" s="88" t="str">
        <f t="shared" si="27"/>
        <v/>
      </c>
      <c r="AC19" s="87"/>
      <c r="AD19" s="89" t="str">
        <f t="shared" si="11"/>
        <v/>
      </c>
      <c r="AE19" s="90"/>
      <c r="AF19" s="89" t="str">
        <f t="shared" si="12"/>
        <v/>
      </c>
      <c r="AG19" s="96"/>
      <c r="AH19" s="88" t="str">
        <f t="shared" si="13"/>
        <v/>
      </c>
      <c r="AI19" s="87"/>
      <c r="AJ19" s="89" t="str">
        <f t="shared" si="14"/>
        <v/>
      </c>
      <c r="AK19" s="90"/>
      <c r="AL19" s="89" t="str">
        <f t="shared" si="15"/>
        <v/>
      </c>
      <c r="AM19" s="94" t="str">
        <f t="shared" si="16"/>
        <v/>
      </c>
      <c r="AN19" s="93">
        <f t="shared" si="17"/>
        <v>0</v>
      </c>
      <c r="AO19" s="94">
        <f t="shared" si="18"/>
        <v>0</v>
      </c>
      <c r="AP19" s="87"/>
      <c r="AQ19" s="87"/>
      <c r="AR19" s="89" t="str">
        <f t="shared" si="19"/>
        <v/>
      </c>
      <c r="AS19" s="90"/>
      <c r="AT19" s="89" t="str">
        <f t="shared" si="20"/>
        <v/>
      </c>
      <c r="AU19" s="95"/>
      <c r="AV19" s="87"/>
      <c r="AW19" s="87"/>
      <c r="AX19" s="89" t="str">
        <f t="shared" si="21"/>
        <v/>
      </c>
      <c r="AY19" s="90"/>
      <c r="AZ19" s="89" t="str">
        <f t="shared" si="22"/>
        <v/>
      </c>
      <c r="BA19" s="95"/>
      <c r="BB19" s="88" t="str">
        <f t="shared" si="28"/>
        <v/>
      </c>
      <c r="BC19" s="87"/>
      <c r="BD19" s="89" t="str">
        <f t="shared" si="23"/>
        <v/>
      </c>
      <c r="BE19" s="90"/>
      <c r="BF19" s="89" t="str">
        <f t="shared" si="24"/>
        <v/>
      </c>
      <c r="BG19" s="96"/>
    </row>
    <row r="20">
      <c r="A20" s="87"/>
      <c r="B20" s="87"/>
      <c r="C20" s="87"/>
      <c r="D20" s="87"/>
      <c r="E20" s="87"/>
      <c r="F20" s="87"/>
      <c r="G20" s="87"/>
      <c r="H20" s="88" t="str">
        <f t="shared" si="1"/>
        <v/>
      </c>
      <c r="I20" s="87"/>
      <c r="J20" s="89" t="str">
        <f t="shared" si="2"/>
        <v/>
      </c>
      <c r="K20" s="90"/>
      <c r="L20" s="89" t="str">
        <f t="shared" si="3"/>
        <v/>
      </c>
      <c r="M20" s="94" t="str">
        <f t="shared" si="4"/>
        <v/>
      </c>
      <c r="N20" s="93">
        <f t="shared" si="5"/>
        <v>0</v>
      </c>
      <c r="O20" s="94">
        <f t="shared" si="6"/>
        <v>0</v>
      </c>
      <c r="P20" s="87"/>
      <c r="Q20" s="87"/>
      <c r="R20" s="89" t="str">
        <f t="shared" si="7"/>
        <v/>
      </c>
      <c r="S20" s="90"/>
      <c r="T20" s="89" t="str">
        <f t="shared" si="8"/>
        <v/>
      </c>
      <c r="U20" s="95"/>
      <c r="V20" s="87"/>
      <c r="W20" s="87"/>
      <c r="X20" s="89" t="str">
        <f t="shared" si="9"/>
        <v/>
      </c>
      <c r="Y20" s="90"/>
      <c r="Z20" s="89" t="str">
        <f t="shared" si="10"/>
        <v/>
      </c>
      <c r="AA20" s="95"/>
      <c r="AB20" s="88" t="str">
        <f t="shared" si="27"/>
        <v/>
      </c>
      <c r="AC20" s="87"/>
      <c r="AD20" s="89" t="str">
        <f t="shared" si="11"/>
        <v/>
      </c>
      <c r="AE20" s="90"/>
      <c r="AF20" s="89" t="str">
        <f t="shared" si="12"/>
        <v/>
      </c>
      <c r="AG20" s="96"/>
      <c r="AH20" s="88" t="str">
        <f t="shared" si="13"/>
        <v/>
      </c>
      <c r="AI20" s="87"/>
      <c r="AJ20" s="89" t="str">
        <f t="shared" si="14"/>
        <v/>
      </c>
      <c r="AK20" s="90"/>
      <c r="AL20" s="89" t="str">
        <f t="shared" si="15"/>
        <v/>
      </c>
      <c r="AM20" s="94" t="str">
        <f t="shared" si="16"/>
        <v/>
      </c>
      <c r="AN20" s="93">
        <f t="shared" si="17"/>
        <v>0</v>
      </c>
      <c r="AO20" s="94">
        <f t="shared" si="18"/>
        <v>0</v>
      </c>
      <c r="AP20" s="87"/>
      <c r="AQ20" s="87"/>
      <c r="AR20" s="89" t="str">
        <f t="shared" si="19"/>
        <v/>
      </c>
      <c r="AS20" s="90"/>
      <c r="AT20" s="89" t="str">
        <f t="shared" si="20"/>
        <v/>
      </c>
      <c r="AU20" s="95"/>
      <c r="AV20" s="87"/>
      <c r="AW20" s="87"/>
      <c r="AX20" s="89" t="str">
        <f t="shared" si="21"/>
        <v/>
      </c>
      <c r="AY20" s="90"/>
      <c r="AZ20" s="89" t="str">
        <f t="shared" si="22"/>
        <v/>
      </c>
      <c r="BA20" s="95"/>
      <c r="BB20" s="88" t="str">
        <f t="shared" si="28"/>
        <v/>
      </c>
      <c r="BC20" s="87"/>
      <c r="BD20" s="89" t="str">
        <f t="shared" si="23"/>
        <v/>
      </c>
      <c r="BE20" s="90"/>
      <c r="BF20" s="89" t="str">
        <f t="shared" si="24"/>
        <v/>
      </c>
      <c r="BG20" s="96"/>
    </row>
    <row r="21">
      <c r="A21" s="87"/>
      <c r="B21" s="87"/>
      <c r="C21" s="87"/>
      <c r="D21" s="87"/>
      <c r="E21" s="87"/>
      <c r="F21" s="87"/>
      <c r="G21" s="87"/>
      <c r="H21" s="88" t="str">
        <f t="shared" si="1"/>
        <v/>
      </c>
      <c r="I21" s="87"/>
      <c r="J21" s="89" t="str">
        <f t="shared" si="2"/>
        <v/>
      </c>
      <c r="K21" s="90"/>
      <c r="L21" s="89" t="str">
        <f t="shared" si="3"/>
        <v/>
      </c>
      <c r="M21" s="94" t="str">
        <f t="shared" si="4"/>
        <v/>
      </c>
      <c r="N21" s="93">
        <f t="shared" si="5"/>
        <v>0</v>
      </c>
      <c r="O21" s="94">
        <f t="shared" si="6"/>
        <v>0</v>
      </c>
      <c r="P21" s="87"/>
      <c r="Q21" s="87"/>
      <c r="R21" s="89" t="str">
        <f t="shared" si="7"/>
        <v/>
      </c>
      <c r="S21" s="90"/>
      <c r="T21" s="89" t="str">
        <f t="shared" si="8"/>
        <v/>
      </c>
      <c r="U21" s="95"/>
      <c r="V21" s="87"/>
      <c r="W21" s="87"/>
      <c r="X21" s="89" t="str">
        <f t="shared" si="9"/>
        <v/>
      </c>
      <c r="Y21" s="90"/>
      <c r="Z21" s="89" t="str">
        <f t="shared" si="10"/>
        <v/>
      </c>
      <c r="AA21" s="95"/>
      <c r="AB21" s="88" t="str">
        <f t="shared" si="27"/>
        <v/>
      </c>
      <c r="AC21" s="87"/>
      <c r="AD21" s="89" t="str">
        <f t="shared" si="11"/>
        <v/>
      </c>
      <c r="AE21" s="90"/>
      <c r="AF21" s="89" t="str">
        <f t="shared" si="12"/>
        <v/>
      </c>
      <c r="AG21" s="96"/>
      <c r="AH21" s="88" t="str">
        <f t="shared" si="13"/>
        <v/>
      </c>
      <c r="AI21" s="87"/>
      <c r="AJ21" s="89" t="str">
        <f t="shared" si="14"/>
        <v/>
      </c>
      <c r="AK21" s="90"/>
      <c r="AL21" s="89" t="str">
        <f t="shared" si="15"/>
        <v/>
      </c>
      <c r="AM21" s="94" t="str">
        <f t="shared" si="16"/>
        <v/>
      </c>
      <c r="AN21" s="93">
        <f t="shared" si="17"/>
        <v>0</v>
      </c>
      <c r="AO21" s="94">
        <f t="shared" si="18"/>
        <v>0</v>
      </c>
      <c r="AP21" s="87"/>
      <c r="AQ21" s="87"/>
      <c r="AR21" s="89" t="str">
        <f t="shared" si="19"/>
        <v/>
      </c>
      <c r="AS21" s="90"/>
      <c r="AT21" s="89" t="str">
        <f t="shared" si="20"/>
        <v/>
      </c>
      <c r="AU21" s="95"/>
      <c r="AV21" s="87"/>
      <c r="AW21" s="87"/>
      <c r="AX21" s="89" t="str">
        <f t="shared" si="21"/>
        <v/>
      </c>
      <c r="AY21" s="90"/>
      <c r="AZ21" s="89" t="str">
        <f t="shared" si="22"/>
        <v/>
      </c>
      <c r="BA21" s="95"/>
      <c r="BB21" s="88" t="str">
        <f t="shared" si="28"/>
        <v/>
      </c>
      <c r="BC21" s="87"/>
      <c r="BD21" s="89" t="str">
        <f t="shared" si="23"/>
        <v/>
      </c>
      <c r="BE21" s="90"/>
      <c r="BF21" s="89" t="str">
        <f t="shared" si="24"/>
        <v/>
      </c>
      <c r="BG21" s="96"/>
    </row>
    <row r="22">
      <c r="A22" s="87"/>
      <c r="B22" s="87"/>
      <c r="C22" s="87"/>
      <c r="D22" s="87"/>
      <c r="E22" s="87"/>
      <c r="F22" s="87"/>
      <c r="G22" s="87"/>
      <c r="H22" s="88" t="str">
        <f t="shared" si="1"/>
        <v/>
      </c>
      <c r="I22" s="87"/>
      <c r="J22" s="89" t="str">
        <f t="shared" si="2"/>
        <v/>
      </c>
      <c r="K22" s="90"/>
      <c r="L22" s="89" t="str">
        <f t="shared" si="3"/>
        <v/>
      </c>
      <c r="M22" s="94" t="str">
        <f t="shared" si="4"/>
        <v/>
      </c>
      <c r="N22" s="93">
        <f t="shared" si="5"/>
        <v>0</v>
      </c>
      <c r="O22" s="94">
        <f t="shared" si="6"/>
        <v>0</v>
      </c>
      <c r="P22" s="87"/>
      <c r="Q22" s="87"/>
      <c r="R22" s="89" t="str">
        <f t="shared" si="7"/>
        <v/>
      </c>
      <c r="S22" s="90"/>
      <c r="T22" s="89" t="str">
        <f t="shared" si="8"/>
        <v/>
      </c>
      <c r="U22" s="95"/>
      <c r="V22" s="87"/>
      <c r="W22" s="87"/>
      <c r="X22" s="89" t="str">
        <f t="shared" si="9"/>
        <v/>
      </c>
      <c r="Y22" s="90"/>
      <c r="Z22" s="89" t="str">
        <f t="shared" si="10"/>
        <v/>
      </c>
      <c r="AA22" s="95"/>
      <c r="AB22" s="88" t="str">
        <f t="shared" si="27"/>
        <v/>
      </c>
      <c r="AC22" s="87"/>
      <c r="AD22" s="89" t="str">
        <f t="shared" si="11"/>
        <v/>
      </c>
      <c r="AE22" s="90"/>
      <c r="AF22" s="89" t="str">
        <f t="shared" si="12"/>
        <v/>
      </c>
      <c r="AG22" s="96"/>
      <c r="AH22" s="88" t="str">
        <f t="shared" si="13"/>
        <v/>
      </c>
      <c r="AI22" s="87"/>
      <c r="AJ22" s="89" t="str">
        <f t="shared" si="14"/>
        <v/>
      </c>
      <c r="AK22" s="90"/>
      <c r="AL22" s="89" t="str">
        <f t="shared" si="15"/>
        <v/>
      </c>
      <c r="AM22" s="94" t="str">
        <f t="shared" si="16"/>
        <v/>
      </c>
      <c r="AN22" s="93">
        <f t="shared" si="17"/>
        <v>0</v>
      </c>
      <c r="AO22" s="94">
        <f t="shared" si="18"/>
        <v>0</v>
      </c>
      <c r="AP22" s="87"/>
      <c r="AQ22" s="87"/>
      <c r="AR22" s="89" t="str">
        <f t="shared" si="19"/>
        <v/>
      </c>
      <c r="AS22" s="90"/>
      <c r="AT22" s="89" t="str">
        <f t="shared" si="20"/>
        <v/>
      </c>
      <c r="AU22" s="95"/>
      <c r="AV22" s="87"/>
      <c r="AW22" s="87"/>
      <c r="AX22" s="89" t="str">
        <f t="shared" si="21"/>
        <v/>
      </c>
      <c r="AY22" s="90"/>
      <c r="AZ22" s="89" t="str">
        <f t="shared" si="22"/>
        <v/>
      </c>
      <c r="BA22" s="95"/>
      <c r="BB22" s="88" t="str">
        <f t="shared" si="28"/>
        <v/>
      </c>
      <c r="BC22" s="87"/>
      <c r="BD22" s="89" t="str">
        <f t="shared" si="23"/>
        <v/>
      </c>
      <c r="BE22" s="90"/>
      <c r="BF22" s="89" t="str">
        <f t="shared" si="24"/>
        <v/>
      </c>
      <c r="BG22" s="96"/>
    </row>
    <row r="23">
      <c r="A23" s="87"/>
      <c r="B23" s="87"/>
      <c r="C23" s="87"/>
      <c r="D23" s="87"/>
      <c r="E23" s="87"/>
      <c r="F23" s="87"/>
      <c r="G23" s="87"/>
      <c r="H23" s="88" t="str">
        <f t="shared" si="1"/>
        <v/>
      </c>
      <c r="I23" s="87"/>
      <c r="J23" s="89" t="str">
        <f t="shared" si="2"/>
        <v/>
      </c>
      <c r="K23" s="90"/>
      <c r="L23" s="89" t="str">
        <f t="shared" si="3"/>
        <v/>
      </c>
      <c r="M23" s="94" t="str">
        <f t="shared" si="4"/>
        <v/>
      </c>
      <c r="N23" s="93">
        <f t="shared" si="5"/>
        <v>0</v>
      </c>
      <c r="O23" s="94">
        <f t="shared" si="6"/>
        <v>0</v>
      </c>
      <c r="P23" s="87"/>
      <c r="Q23" s="87"/>
      <c r="R23" s="89" t="str">
        <f t="shared" si="7"/>
        <v/>
      </c>
      <c r="S23" s="90"/>
      <c r="T23" s="89" t="str">
        <f t="shared" si="8"/>
        <v/>
      </c>
      <c r="U23" s="95"/>
      <c r="V23" s="87"/>
      <c r="W23" s="87"/>
      <c r="X23" s="89" t="str">
        <f t="shared" si="9"/>
        <v/>
      </c>
      <c r="Y23" s="90"/>
      <c r="Z23" s="89" t="str">
        <f t="shared" si="10"/>
        <v/>
      </c>
      <c r="AA23" s="95"/>
      <c r="AB23" s="88" t="str">
        <f t="shared" si="27"/>
        <v/>
      </c>
      <c r="AC23" s="87"/>
      <c r="AD23" s="89" t="str">
        <f t="shared" si="11"/>
        <v/>
      </c>
      <c r="AE23" s="90"/>
      <c r="AF23" s="89" t="str">
        <f t="shared" si="12"/>
        <v/>
      </c>
      <c r="AG23" s="96"/>
      <c r="AH23" s="88" t="str">
        <f t="shared" si="13"/>
        <v/>
      </c>
      <c r="AI23" s="87"/>
      <c r="AJ23" s="89" t="str">
        <f t="shared" si="14"/>
        <v/>
      </c>
      <c r="AK23" s="90"/>
      <c r="AL23" s="89" t="str">
        <f t="shared" si="15"/>
        <v/>
      </c>
      <c r="AM23" s="94" t="str">
        <f t="shared" si="16"/>
        <v/>
      </c>
      <c r="AN23" s="93">
        <f t="shared" si="17"/>
        <v>0</v>
      </c>
      <c r="AO23" s="94">
        <f t="shared" si="18"/>
        <v>0</v>
      </c>
      <c r="AP23" s="87"/>
      <c r="AQ23" s="87"/>
      <c r="AR23" s="89" t="str">
        <f t="shared" si="19"/>
        <v/>
      </c>
      <c r="AS23" s="90"/>
      <c r="AT23" s="89" t="str">
        <f t="shared" si="20"/>
        <v/>
      </c>
      <c r="AU23" s="95"/>
      <c r="AV23" s="87"/>
      <c r="AW23" s="87"/>
      <c r="AX23" s="89" t="str">
        <f t="shared" si="21"/>
        <v/>
      </c>
      <c r="AY23" s="90"/>
      <c r="AZ23" s="89" t="str">
        <f t="shared" si="22"/>
        <v/>
      </c>
      <c r="BA23" s="95"/>
      <c r="BB23" s="88" t="str">
        <f t="shared" si="28"/>
        <v/>
      </c>
      <c r="BC23" s="87"/>
      <c r="BD23" s="89" t="str">
        <f t="shared" si="23"/>
        <v/>
      </c>
      <c r="BE23" s="90"/>
      <c r="BF23" s="89" t="str">
        <f t="shared" si="24"/>
        <v/>
      </c>
      <c r="BG23" s="96"/>
    </row>
    <row r="24">
      <c r="A24" s="87"/>
      <c r="B24" s="87"/>
      <c r="C24" s="87"/>
      <c r="D24" s="87"/>
      <c r="E24" s="87"/>
      <c r="F24" s="87"/>
      <c r="G24" s="87"/>
      <c r="H24" s="88" t="str">
        <f t="shared" si="1"/>
        <v/>
      </c>
      <c r="I24" s="87"/>
      <c r="J24" s="89" t="str">
        <f t="shared" si="2"/>
        <v/>
      </c>
      <c r="K24" s="90"/>
      <c r="L24" s="89" t="str">
        <f t="shared" si="3"/>
        <v/>
      </c>
      <c r="M24" s="94" t="str">
        <f t="shared" si="4"/>
        <v/>
      </c>
      <c r="N24" s="93">
        <f t="shared" si="5"/>
        <v>0</v>
      </c>
      <c r="O24" s="94">
        <f t="shared" si="6"/>
        <v>0</v>
      </c>
      <c r="P24" s="87"/>
      <c r="Q24" s="87"/>
      <c r="R24" s="89" t="str">
        <f t="shared" si="7"/>
        <v/>
      </c>
      <c r="S24" s="90"/>
      <c r="T24" s="89" t="str">
        <f t="shared" si="8"/>
        <v/>
      </c>
      <c r="U24" s="95"/>
      <c r="V24" s="87"/>
      <c r="W24" s="87"/>
      <c r="X24" s="89" t="str">
        <f t="shared" si="9"/>
        <v/>
      </c>
      <c r="Y24" s="90"/>
      <c r="Z24" s="89" t="str">
        <f t="shared" si="10"/>
        <v/>
      </c>
      <c r="AA24" s="95"/>
      <c r="AB24" s="88" t="str">
        <f t="shared" si="27"/>
        <v/>
      </c>
      <c r="AC24" s="87"/>
      <c r="AD24" s="89" t="str">
        <f t="shared" si="11"/>
        <v/>
      </c>
      <c r="AE24" s="90"/>
      <c r="AF24" s="89" t="str">
        <f t="shared" si="12"/>
        <v/>
      </c>
      <c r="AG24" s="96"/>
      <c r="AH24" s="88" t="str">
        <f t="shared" si="13"/>
        <v/>
      </c>
      <c r="AI24" s="87"/>
      <c r="AJ24" s="89" t="str">
        <f t="shared" si="14"/>
        <v/>
      </c>
      <c r="AK24" s="90"/>
      <c r="AL24" s="89" t="str">
        <f t="shared" si="15"/>
        <v/>
      </c>
      <c r="AM24" s="94" t="str">
        <f t="shared" si="16"/>
        <v/>
      </c>
      <c r="AN24" s="93">
        <f t="shared" si="17"/>
        <v>0</v>
      </c>
      <c r="AO24" s="94">
        <f t="shared" si="18"/>
        <v>0</v>
      </c>
      <c r="AP24" s="87"/>
      <c r="AQ24" s="87"/>
      <c r="AR24" s="89" t="str">
        <f t="shared" si="19"/>
        <v/>
      </c>
      <c r="AS24" s="90"/>
      <c r="AT24" s="89" t="str">
        <f t="shared" si="20"/>
        <v/>
      </c>
      <c r="AU24" s="95"/>
      <c r="AV24" s="87"/>
      <c r="AW24" s="87"/>
      <c r="AX24" s="89" t="str">
        <f t="shared" si="21"/>
        <v/>
      </c>
      <c r="AY24" s="90"/>
      <c r="AZ24" s="89" t="str">
        <f t="shared" si="22"/>
        <v/>
      </c>
      <c r="BA24" s="95"/>
      <c r="BB24" s="88" t="str">
        <f t="shared" si="28"/>
        <v/>
      </c>
      <c r="BC24" s="87"/>
      <c r="BD24" s="89" t="str">
        <f t="shared" si="23"/>
        <v/>
      </c>
      <c r="BE24" s="90"/>
      <c r="BF24" s="89" t="str">
        <f t="shared" si="24"/>
        <v/>
      </c>
      <c r="BG24" s="96"/>
    </row>
    <row r="25">
      <c r="A25" s="87"/>
      <c r="B25" s="87"/>
      <c r="C25" s="87"/>
      <c r="D25" s="87"/>
      <c r="E25" s="87"/>
      <c r="F25" s="87"/>
      <c r="G25" s="87"/>
      <c r="H25" s="88" t="str">
        <f t="shared" si="1"/>
        <v/>
      </c>
      <c r="I25" s="87"/>
      <c r="J25" s="89" t="str">
        <f t="shared" si="2"/>
        <v/>
      </c>
      <c r="K25" s="90"/>
      <c r="L25" s="89" t="str">
        <f t="shared" si="3"/>
        <v/>
      </c>
      <c r="M25" s="94" t="str">
        <f t="shared" si="4"/>
        <v/>
      </c>
      <c r="N25" s="93">
        <f t="shared" si="5"/>
        <v>0</v>
      </c>
      <c r="O25" s="94">
        <f t="shared" si="6"/>
        <v>0</v>
      </c>
      <c r="P25" s="87"/>
      <c r="Q25" s="87"/>
      <c r="R25" s="89" t="str">
        <f t="shared" si="7"/>
        <v/>
      </c>
      <c r="S25" s="90"/>
      <c r="T25" s="89" t="str">
        <f t="shared" si="8"/>
        <v/>
      </c>
      <c r="U25" s="95"/>
      <c r="V25" s="87"/>
      <c r="W25" s="87"/>
      <c r="X25" s="89" t="str">
        <f t="shared" si="9"/>
        <v/>
      </c>
      <c r="Y25" s="90"/>
      <c r="Z25" s="89" t="str">
        <f t="shared" si="10"/>
        <v/>
      </c>
      <c r="AA25" s="95"/>
      <c r="AB25" s="88" t="str">
        <f t="shared" si="27"/>
        <v/>
      </c>
      <c r="AC25" s="87"/>
      <c r="AD25" s="89" t="str">
        <f t="shared" si="11"/>
        <v/>
      </c>
      <c r="AE25" s="90"/>
      <c r="AF25" s="89" t="str">
        <f t="shared" si="12"/>
        <v/>
      </c>
      <c r="AG25" s="96"/>
      <c r="AH25" s="88" t="str">
        <f t="shared" si="13"/>
        <v/>
      </c>
      <c r="AI25" s="87"/>
      <c r="AJ25" s="89" t="str">
        <f t="shared" si="14"/>
        <v/>
      </c>
      <c r="AK25" s="90"/>
      <c r="AL25" s="89" t="str">
        <f t="shared" si="15"/>
        <v/>
      </c>
      <c r="AM25" s="94" t="str">
        <f t="shared" si="16"/>
        <v/>
      </c>
      <c r="AN25" s="93">
        <f t="shared" si="17"/>
        <v>0</v>
      </c>
      <c r="AO25" s="94">
        <f t="shared" si="18"/>
        <v>0</v>
      </c>
      <c r="AP25" s="87"/>
      <c r="AQ25" s="87"/>
      <c r="AR25" s="89" t="str">
        <f t="shared" si="19"/>
        <v/>
      </c>
      <c r="AS25" s="90"/>
      <c r="AT25" s="89" t="str">
        <f t="shared" si="20"/>
        <v/>
      </c>
      <c r="AU25" s="95"/>
      <c r="AV25" s="87"/>
      <c r="AW25" s="87"/>
      <c r="AX25" s="89" t="str">
        <f t="shared" si="21"/>
        <v/>
      </c>
      <c r="AY25" s="90"/>
      <c r="AZ25" s="89" t="str">
        <f t="shared" si="22"/>
        <v/>
      </c>
      <c r="BA25" s="95"/>
      <c r="BB25" s="88" t="str">
        <f t="shared" si="28"/>
        <v/>
      </c>
      <c r="BC25" s="87"/>
      <c r="BD25" s="89" t="str">
        <f t="shared" si="23"/>
        <v/>
      </c>
      <c r="BE25" s="90"/>
      <c r="BF25" s="89" t="str">
        <f t="shared" si="24"/>
        <v/>
      </c>
      <c r="BG25" s="96"/>
    </row>
    <row r="26">
      <c r="A26" s="87"/>
      <c r="B26" s="87"/>
      <c r="C26" s="87"/>
      <c r="D26" s="87"/>
      <c r="E26" s="87"/>
      <c r="F26" s="87"/>
      <c r="G26" s="87"/>
      <c r="H26" s="88" t="str">
        <f t="shared" si="1"/>
        <v/>
      </c>
      <c r="I26" s="87"/>
      <c r="J26" s="89" t="str">
        <f t="shared" si="2"/>
        <v/>
      </c>
      <c r="K26" s="90"/>
      <c r="L26" s="89" t="str">
        <f t="shared" si="3"/>
        <v/>
      </c>
      <c r="M26" s="94" t="str">
        <f t="shared" si="4"/>
        <v/>
      </c>
      <c r="N26" s="93">
        <f t="shared" si="5"/>
        <v>0</v>
      </c>
      <c r="O26" s="94">
        <f t="shared" si="6"/>
        <v>0</v>
      </c>
      <c r="P26" s="87"/>
      <c r="Q26" s="87"/>
      <c r="R26" s="89" t="str">
        <f t="shared" si="7"/>
        <v/>
      </c>
      <c r="S26" s="90"/>
      <c r="T26" s="89" t="str">
        <f t="shared" si="8"/>
        <v/>
      </c>
      <c r="U26" s="95"/>
      <c r="V26" s="87"/>
      <c r="W26" s="87"/>
      <c r="X26" s="89" t="str">
        <f t="shared" si="9"/>
        <v/>
      </c>
      <c r="Y26" s="90"/>
      <c r="Z26" s="89" t="str">
        <f t="shared" si="10"/>
        <v/>
      </c>
      <c r="AA26" s="95"/>
      <c r="AB26" s="88" t="str">
        <f t="shared" si="27"/>
        <v/>
      </c>
      <c r="AC26" s="87"/>
      <c r="AD26" s="89" t="str">
        <f t="shared" si="11"/>
        <v/>
      </c>
      <c r="AE26" s="90"/>
      <c r="AF26" s="89" t="str">
        <f t="shared" si="12"/>
        <v/>
      </c>
      <c r="AG26" s="96"/>
      <c r="AH26" s="88" t="str">
        <f t="shared" si="13"/>
        <v/>
      </c>
      <c r="AI26" s="87"/>
      <c r="AJ26" s="89" t="str">
        <f t="shared" si="14"/>
        <v/>
      </c>
      <c r="AK26" s="90"/>
      <c r="AL26" s="89" t="str">
        <f t="shared" si="15"/>
        <v/>
      </c>
      <c r="AM26" s="94" t="str">
        <f t="shared" si="16"/>
        <v/>
      </c>
      <c r="AN26" s="93">
        <f t="shared" si="17"/>
        <v>0</v>
      </c>
      <c r="AO26" s="94">
        <f t="shared" si="18"/>
        <v>0</v>
      </c>
      <c r="AP26" s="87"/>
      <c r="AQ26" s="87"/>
      <c r="AR26" s="89" t="str">
        <f t="shared" si="19"/>
        <v/>
      </c>
      <c r="AS26" s="90"/>
      <c r="AT26" s="89" t="str">
        <f t="shared" si="20"/>
        <v/>
      </c>
      <c r="AU26" s="95"/>
      <c r="AV26" s="87"/>
      <c r="AW26" s="87"/>
      <c r="AX26" s="89" t="str">
        <f t="shared" si="21"/>
        <v/>
      </c>
      <c r="AY26" s="90"/>
      <c r="AZ26" s="89" t="str">
        <f t="shared" si="22"/>
        <v/>
      </c>
      <c r="BA26" s="95"/>
      <c r="BB26" s="88" t="str">
        <f t="shared" si="28"/>
        <v/>
      </c>
      <c r="BC26" s="87"/>
      <c r="BD26" s="89" t="str">
        <f t="shared" si="23"/>
        <v/>
      </c>
      <c r="BE26" s="90"/>
      <c r="BF26" s="89" t="str">
        <f t="shared" si="24"/>
        <v/>
      </c>
      <c r="BG26" s="96"/>
    </row>
    <row r="27">
      <c r="A27" s="87"/>
      <c r="B27" s="87"/>
      <c r="C27" s="87"/>
      <c r="D27" s="87"/>
      <c r="E27" s="87"/>
      <c r="F27" s="87"/>
      <c r="G27" s="87"/>
      <c r="H27" s="88" t="str">
        <f t="shared" si="1"/>
        <v/>
      </c>
      <c r="I27" s="87"/>
      <c r="J27" s="89" t="str">
        <f t="shared" si="2"/>
        <v/>
      </c>
      <c r="K27" s="90"/>
      <c r="L27" s="89" t="str">
        <f t="shared" si="3"/>
        <v/>
      </c>
      <c r="M27" s="94" t="str">
        <f t="shared" si="4"/>
        <v/>
      </c>
      <c r="N27" s="93">
        <f t="shared" si="5"/>
        <v>0</v>
      </c>
      <c r="O27" s="94">
        <f t="shared" si="6"/>
        <v>0</v>
      </c>
      <c r="P27" s="87"/>
      <c r="Q27" s="87"/>
      <c r="R27" s="89" t="str">
        <f t="shared" si="7"/>
        <v/>
      </c>
      <c r="S27" s="90"/>
      <c r="T27" s="89" t="str">
        <f t="shared" si="8"/>
        <v/>
      </c>
      <c r="U27" s="95"/>
      <c r="V27" s="87"/>
      <c r="W27" s="87"/>
      <c r="X27" s="89" t="str">
        <f t="shared" si="9"/>
        <v/>
      </c>
      <c r="Y27" s="90"/>
      <c r="Z27" s="89" t="str">
        <f t="shared" si="10"/>
        <v/>
      </c>
      <c r="AA27" s="95"/>
      <c r="AB27" s="88" t="str">
        <f t="shared" si="27"/>
        <v/>
      </c>
      <c r="AC27" s="87"/>
      <c r="AD27" s="89" t="str">
        <f t="shared" si="11"/>
        <v/>
      </c>
      <c r="AE27" s="90"/>
      <c r="AF27" s="89" t="str">
        <f t="shared" si="12"/>
        <v/>
      </c>
      <c r="AG27" s="96"/>
      <c r="AH27" s="88" t="str">
        <f t="shared" si="13"/>
        <v/>
      </c>
      <c r="AI27" s="87"/>
      <c r="AJ27" s="89" t="str">
        <f t="shared" si="14"/>
        <v/>
      </c>
      <c r="AK27" s="90"/>
      <c r="AL27" s="89" t="str">
        <f t="shared" si="15"/>
        <v/>
      </c>
      <c r="AM27" s="94" t="str">
        <f t="shared" si="16"/>
        <v/>
      </c>
      <c r="AN27" s="93">
        <f t="shared" si="17"/>
        <v>0</v>
      </c>
      <c r="AO27" s="94">
        <f t="shared" si="18"/>
        <v>0</v>
      </c>
      <c r="AP27" s="87"/>
      <c r="AQ27" s="87"/>
      <c r="AR27" s="89" t="str">
        <f t="shared" si="19"/>
        <v/>
      </c>
      <c r="AS27" s="90"/>
      <c r="AT27" s="89" t="str">
        <f t="shared" si="20"/>
        <v/>
      </c>
      <c r="AU27" s="95"/>
      <c r="AV27" s="87"/>
      <c r="AW27" s="87"/>
      <c r="AX27" s="89" t="str">
        <f t="shared" si="21"/>
        <v/>
      </c>
      <c r="AY27" s="90"/>
      <c r="AZ27" s="89" t="str">
        <f t="shared" si="22"/>
        <v/>
      </c>
      <c r="BA27" s="95"/>
      <c r="BB27" s="88" t="str">
        <f t="shared" si="28"/>
        <v/>
      </c>
      <c r="BC27" s="87"/>
      <c r="BD27" s="89" t="str">
        <f t="shared" si="23"/>
        <v/>
      </c>
      <c r="BE27" s="90"/>
      <c r="BF27" s="89" t="str">
        <f t="shared" si="24"/>
        <v/>
      </c>
      <c r="BG27" s="96"/>
    </row>
    <row r="28">
      <c r="A28" s="87"/>
      <c r="B28" s="87"/>
      <c r="C28" s="87"/>
      <c r="D28" s="87"/>
      <c r="E28" s="87"/>
      <c r="F28" s="87"/>
      <c r="G28" s="87"/>
      <c r="H28" s="88" t="str">
        <f t="shared" si="1"/>
        <v/>
      </c>
      <c r="I28" s="87"/>
      <c r="J28" s="89" t="str">
        <f t="shared" si="2"/>
        <v/>
      </c>
      <c r="K28" s="90"/>
      <c r="L28" s="89" t="str">
        <f t="shared" si="3"/>
        <v/>
      </c>
      <c r="M28" s="94" t="str">
        <f t="shared" si="4"/>
        <v/>
      </c>
      <c r="N28" s="93">
        <f t="shared" si="5"/>
        <v>0</v>
      </c>
      <c r="O28" s="94">
        <f t="shared" si="6"/>
        <v>0</v>
      </c>
      <c r="P28" s="87"/>
      <c r="Q28" s="87"/>
      <c r="R28" s="89" t="str">
        <f t="shared" si="7"/>
        <v/>
      </c>
      <c r="S28" s="90"/>
      <c r="T28" s="89" t="str">
        <f t="shared" si="8"/>
        <v/>
      </c>
      <c r="U28" s="95"/>
      <c r="V28" s="87"/>
      <c r="W28" s="87"/>
      <c r="X28" s="89" t="str">
        <f t="shared" si="9"/>
        <v/>
      </c>
      <c r="Y28" s="90"/>
      <c r="Z28" s="89" t="str">
        <f t="shared" si="10"/>
        <v/>
      </c>
      <c r="AA28" s="95"/>
      <c r="AB28" s="88" t="str">
        <f t="shared" si="27"/>
        <v/>
      </c>
      <c r="AC28" s="87"/>
      <c r="AD28" s="89" t="str">
        <f t="shared" si="11"/>
        <v/>
      </c>
      <c r="AE28" s="90"/>
      <c r="AF28" s="89" t="str">
        <f t="shared" si="12"/>
        <v/>
      </c>
      <c r="AG28" s="96"/>
      <c r="AH28" s="88" t="str">
        <f t="shared" si="13"/>
        <v/>
      </c>
      <c r="AI28" s="87"/>
      <c r="AJ28" s="89" t="str">
        <f t="shared" si="14"/>
        <v/>
      </c>
      <c r="AK28" s="90"/>
      <c r="AL28" s="89" t="str">
        <f t="shared" si="15"/>
        <v/>
      </c>
      <c r="AM28" s="94" t="str">
        <f t="shared" si="16"/>
        <v/>
      </c>
      <c r="AN28" s="93">
        <f t="shared" si="17"/>
        <v>0</v>
      </c>
      <c r="AO28" s="94">
        <f t="shared" si="18"/>
        <v>0</v>
      </c>
      <c r="AP28" s="87"/>
      <c r="AQ28" s="87"/>
      <c r="AR28" s="89" t="str">
        <f t="shared" si="19"/>
        <v/>
      </c>
      <c r="AS28" s="90"/>
      <c r="AT28" s="89" t="str">
        <f t="shared" si="20"/>
        <v/>
      </c>
      <c r="AU28" s="95"/>
      <c r="AV28" s="87"/>
      <c r="AW28" s="87"/>
      <c r="AX28" s="89" t="str">
        <f t="shared" si="21"/>
        <v/>
      </c>
      <c r="AY28" s="90"/>
      <c r="AZ28" s="89" t="str">
        <f t="shared" si="22"/>
        <v/>
      </c>
      <c r="BA28" s="95"/>
      <c r="BB28" s="88" t="str">
        <f t="shared" si="28"/>
        <v/>
      </c>
      <c r="BC28" s="87"/>
      <c r="BD28" s="89" t="str">
        <f t="shared" si="23"/>
        <v/>
      </c>
      <c r="BE28" s="90"/>
      <c r="BF28" s="89" t="str">
        <f t="shared" si="24"/>
        <v/>
      </c>
      <c r="BG28" s="96"/>
    </row>
    <row r="29">
      <c r="A29" s="87"/>
      <c r="B29" s="87"/>
      <c r="C29" s="87"/>
      <c r="D29" s="87"/>
      <c r="E29" s="87"/>
      <c r="F29" s="87"/>
      <c r="G29" s="87"/>
      <c r="H29" s="88" t="str">
        <f t="shared" si="1"/>
        <v/>
      </c>
      <c r="I29" s="87"/>
      <c r="J29" s="89" t="str">
        <f t="shared" si="2"/>
        <v/>
      </c>
      <c r="K29" s="90"/>
      <c r="L29" s="89" t="str">
        <f t="shared" si="3"/>
        <v/>
      </c>
      <c r="M29" s="94" t="str">
        <f t="shared" si="4"/>
        <v/>
      </c>
      <c r="N29" s="93">
        <f t="shared" si="5"/>
        <v>0</v>
      </c>
      <c r="O29" s="94">
        <f t="shared" si="6"/>
        <v>0</v>
      </c>
      <c r="P29" s="87"/>
      <c r="Q29" s="87"/>
      <c r="R29" s="89" t="str">
        <f t="shared" si="7"/>
        <v/>
      </c>
      <c r="S29" s="90"/>
      <c r="T29" s="89" t="str">
        <f t="shared" si="8"/>
        <v/>
      </c>
      <c r="U29" s="95"/>
      <c r="V29" s="87"/>
      <c r="W29" s="87"/>
      <c r="X29" s="89" t="str">
        <f t="shared" si="9"/>
        <v/>
      </c>
      <c r="Y29" s="90"/>
      <c r="Z29" s="89" t="str">
        <f t="shared" si="10"/>
        <v/>
      </c>
      <c r="AA29" s="95"/>
      <c r="AB29" s="88" t="str">
        <f t="shared" si="27"/>
        <v/>
      </c>
      <c r="AC29" s="87"/>
      <c r="AD29" s="89" t="str">
        <f t="shared" si="11"/>
        <v/>
      </c>
      <c r="AE29" s="90"/>
      <c r="AF29" s="89" t="str">
        <f t="shared" si="12"/>
        <v/>
      </c>
      <c r="AG29" s="96"/>
      <c r="AH29" s="88" t="str">
        <f t="shared" si="13"/>
        <v/>
      </c>
      <c r="AI29" s="87"/>
      <c r="AJ29" s="89" t="str">
        <f t="shared" si="14"/>
        <v/>
      </c>
      <c r="AK29" s="90"/>
      <c r="AL29" s="89" t="str">
        <f t="shared" si="15"/>
        <v/>
      </c>
      <c r="AM29" s="94" t="str">
        <f t="shared" si="16"/>
        <v/>
      </c>
      <c r="AN29" s="93">
        <f t="shared" si="17"/>
        <v>0</v>
      </c>
      <c r="AO29" s="94">
        <f t="shared" si="18"/>
        <v>0</v>
      </c>
      <c r="AP29" s="87"/>
      <c r="AQ29" s="87"/>
      <c r="AR29" s="89" t="str">
        <f t="shared" si="19"/>
        <v/>
      </c>
      <c r="AS29" s="90"/>
      <c r="AT29" s="89" t="str">
        <f t="shared" si="20"/>
        <v/>
      </c>
      <c r="AU29" s="95"/>
      <c r="AV29" s="87"/>
      <c r="AW29" s="87"/>
      <c r="AX29" s="89" t="str">
        <f t="shared" si="21"/>
        <v/>
      </c>
      <c r="AY29" s="90"/>
      <c r="AZ29" s="89" t="str">
        <f t="shared" si="22"/>
        <v/>
      </c>
      <c r="BA29" s="95"/>
      <c r="BB29" s="88" t="str">
        <f t="shared" si="28"/>
        <v/>
      </c>
      <c r="BC29" s="87"/>
      <c r="BD29" s="89" t="str">
        <f t="shared" si="23"/>
        <v/>
      </c>
      <c r="BE29" s="90"/>
      <c r="BF29" s="89" t="str">
        <f t="shared" si="24"/>
        <v/>
      </c>
      <c r="BG29" s="96"/>
    </row>
    <row r="30">
      <c r="A30" s="87"/>
      <c r="B30" s="87"/>
      <c r="C30" s="87"/>
      <c r="D30" s="87"/>
      <c r="E30" s="87"/>
      <c r="F30" s="87"/>
      <c r="G30" s="87"/>
      <c r="H30" s="88" t="str">
        <f t="shared" si="1"/>
        <v/>
      </c>
      <c r="I30" s="87"/>
      <c r="J30" s="89" t="str">
        <f t="shared" si="2"/>
        <v/>
      </c>
      <c r="K30" s="90"/>
      <c r="L30" s="89" t="str">
        <f t="shared" si="3"/>
        <v/>
      </c>
      <c r="M30" s="94" t="str">
        <f t="shared" si="4"/>
        <v/>
      </c>
      <c r="N30" s="93">
        <f t="shared" si="5"/>
        <v>0</v>
      </c>
      <c r="O30" s="94">
        <f t="shared" si="6"/>
        <v>0</v>
      </c>
      <c r="P30" s="87"/>
      <c r="Q30" s="87"/>
      <c r="R30" s="89" t="str">
        <f t="shared" si="7"/>
        <v/>
      </c>
      <c r="S30" s="90"/>
      <c r="T30" s="89" t="str">
        <f t="shared" si="8"/>
        <v/>
      </c>
      <c r="U30" s="95"/>
      <c r="V30" s="87"/>
      <c r="W30" s="87"/>
      <c r="X30" s="89" t="str">
        <f t="shared" si="9"/>
        <v/>
      </c>
      <c r="Y30" s="90"/>
      <c r="Z30" s="89" t="str">
        <f t="shared" si="10"/>
        <v/>
      </c>
      <c r="AA30" s="95"/>
      <c r="AB30" s="88" t="str">
        <f t="shared" si="27"/>
        <v/>
      </c>
      <c r="AC30" s="87"/>
      <c r="AD30" s="89" t="str">
        <f t="shared" si="11"/>
        <v/>
      </c>
      <c r="AE30" s="90"/>
      <c r="AF30" s="89" t="str">
        <f t="shared" si="12"/>
        <v/>
      </c>
      <c r="AG30" s="96"/>
      <c r="AH30" s="88" t="str">
        <f t="shared" si="13"/>
        <v/>
      </c>
      <c r="AI30" s="87"/>
      <c r="AJ30" s="89" t="str">
        <f t="shared" si="14"/>
        <v/>
      </c>
      <c r="AK30" s="90"/>
      <c r="AL30" s="89" t="str">
        <f t="shared" si="15"/>
        <v/>
      </c>
      <c r="AM30" s="94" t="str">
        <f t="shared" si="16"/>
        <v/>
      </c>
      <c r="AN30" s="93">
        <f t="shared" si="17"/>
        <v>0</v>
      </c>
      <c r="AO30" s="94">
        <f t="shared" si="18"/>
        <v>0</v>
      </c>
      <c r="AP30" s="87"/>
      <c r="AQ30" s="87"/>
      <c r="AR30" s="89" t="str">
        <f t="shared" si="19"/>
        <v/>
      </c>
      <c r="AS30" s="90"/>
      <c r="AT30" s="89" t="str">
        <f t="shared" si="20"/>
        <v/>
      </c>
      <c r="AU30" s="95"/>
      <c r="AV30" s="87"/>
      <c r="AW30" s="87"/>
      <c r="AX30" s="89" t="str">
        <f t="shared" si="21"/>
        <v/>
      </c>
      <c r="AY30" s="90"/>
      <c r="AZ30" s="89" t="str">
        <f t="shared" si="22"/>
        <v/>
      </c>
      <c r="BA30" s="95"/>
      <c r="BB30" s="88" t="str">
        <f t="shared" si="28"/>
        <v/>
      </c>
      <c r="BC30" s="87"/>
      <c r="BD30" s="89" t="str">
        <f t="shared" si="23"/>
        <v/>
      </c>
      <c r="BE30" s="90"/>
      <c r="BF30" s="89" t="str">
        <f t="shared" si="24"/>
        <v/>
      </c>
      <c r="BG30" s="96"/>
    </row>
    <row r="31">
      <c r="A31" s="87"/>
      <c r="B31" s="87"/>
      <c r="C31" s="87"/>
      <c r="D31" s="87"/>
      <c r="E31" s="87"/>
      <c r="F31" s="87"/>
      <c r="G31" s="87"/>
      <c r="H31" s="88" t="str">
        <f t="shared" si="1"/>
        <v/>
      </c>
      <c r="I31" s="87"/>
      <c r="J31" s="89" t="str">
        <f t="shared" si="2"/>
        <v/>
      </c>
      <c r="K31" s="90"/>
      <c r="L31" s="89" t="str">
        <f t="shared" si="3"/>
        <v/>
      </c>
      <c r="M31" s="94" t="str">
        <f t="shared" si="4"/>
        <v/>
      </c>
      <c r="N31" s="93">
        <f t="shared" si="5"/>
        <v>0</v>
      </c>
      <c r="O31" s="94">
        <f t="shared" si="6"/>
        <v>0</v>
      </c>
      <c r="P31" s="87"/>
      <c r="Q31" s="87"/>
      <c r="R31" s="89" t="str">
        <f t="shared" si="7"/>
        <v/>
      </c>
      <c r="S31" s="90"/>
      <c r="T31" s="89" t="str">
        <f t="shared" si="8"/>
        <v/>
      </c>
      <c r="U31" s="95"/>
      <c r="V31" s="87"/>
      <c r="W31" s="87"/>
      <c r="X31" s="89" t="str">
        <f t="shared" si="9"/>
        <v/>
      </c>
      <c r="Y31" s="90"/>
      <c r="Z31" s="89" t="str">
        <f t="shared" si="10"/>
        <v/>
      </c>
      <c r="AA31" s="95"/>
      <c r="AB31" s="88" t="str">
        <f t="shared" si="27"/>
        <v/>
      </c>
      <c r="AC31" s="87"/>
      <c r="AD31" s="89" t="str">
        <f t="shared" si="11"/>
        <v/>
      </c>
      <c r="AE31" s="90"/>
      <c r="AF31" s="89" t="str">
        <f t="shared" si="12"/>
        <v/>
      </c>
      <c r="AG31" s="96"/>
      <c r="AH31" s="88" t="str">
        <f t="shared" si="13"/>
        <v/>
      </c>
      <c r="AI31" s="87"/>
      <c r="AJ31" s="89" t="str">
        <f t="shared" si="14"/>
        <v/>
      </c>
      <c r="AK31" s="90"/>
      <c r="AL31" s="89" t="str">
        <f t="shared" si="15"/>
        <v/>
      </c>
      <c r="AM31" s="94" t="str">
        <f t="shared" si="16"/>
        <v/>
      </c>
      <c r="AN31" s="93">
        <f t="shared" si="17"/>
        <v>0</v>
      </c>
      <c r="AO31" s="94">
        <f t="shared" si="18"/>
        <v>0</v>
      </c>
      <c r="AP31" s="87"/>
      <c r="AQ31" s="87"/>
      <c r="AR31" s="89" t="str">
        <f t="shared" si="19"/>
        <v/>
      </c>
      <c r="AS31" s="90"/>
      <c r="AT31" s="89" t="str">
        <f t="shared" si="20"/>
        <v/>
      </c>
      <c r="AU31" s="95"/>
      <c r="AV31" s="87"/>
      <c r="AW31" s="87"/>
      <c r="AX31" s="89" t="str">
        <f t="shared" si="21"/>
        <v/>
      </c>
      <c r="AY31" s="90"/>
      <c r="AZ31" s="89" t="str">
        <f t="shared" si="22"/>
        <v/>
      </c>
      <c r="BA31" s="95"/>
      <c r="BB31" s="88" t="str">
        <f t="shared" si="28"/>
        <v/>
      </c>
      <c r="BC31" s="87"/>
      <c r="BD31" s="89" t="str">
        <f t="shared" si="23"/>
        <v/>
      </c>
      <c r="BE31" s="90"/>
      <c r="BF31" s="89" t="str">
        <f t="shared" si="24"/>
        <v/>
      </c>
      <c r="BG31" s="96"/>
    </row>
    <row r="32">
      <c r="A32" s="87"/>
      <c r="B32" s="87"/>
      <c r="C32" s="87"/>
      <c r="D32" s="87"/>
      <c r="E32" s="87"/>
      <c r="F32" s="87"/>
      <c r="G32" s="87"/>
      <c r="H32" s="88" t="str">
        <f t="shared" si="1"/>
        <v/>
      </c>
      <c r="I32" s="87"/>
      <c r="J32" s="89" t="str">
        <f t="shared" si="2"/>
        <v/>
      </c>
      <c r="K32" s="90"/>
      <c r="L32" s="89" t="str">
        <f t="shared" si="3"/>
        <v/>
      </c>
      <c r="M32" s="94" t="str">
        <f t="shared" si="4"/>
        <v/>
      </c>
      <c r="N32" s="93">
        <f t="shared" si="5"/>
        <v>0</v>
      </c>
      <c r="O32" s="94">
        <f t="shared" si="6"/>
        <v>0</v>
      </c>
      <c r="P32" s="87"/>
      <c r="Q32" s="87"/>
      <c r="R32" s="89" t="str">
        <f t="shared" si="7"/>
        <v/>
      </c>
      <c r="S32" s="90"/>
      <c r="T32" s="89" t="str">
        <f t="shared" si="8"/>
        <v/>
      </c>
      <c r="U32" s="95"/>
      <c r="V32" s="87"/>
      <c r="W32" s="87"/>
      <c r="X32" s="89" t="str">
        <f t="shared" si="9"/>
        <v/>
      </c>
      <c r="Y32" s="90"/>
      <c r="Z32" s="89" t="str">
        <f t="shared" si="10"/>
        <v/>
      </c>
      <c r="AA32" s="95"/>
      <c r="AB32" s="88" t="str">
        <f t="shared" si="27"/>
        <v/>
      </c>
      <c r="AC32" s="87"/>
      <c r="AD32" s="89" t="str">
        <f t="shared" si="11"/>
        <v/>
      </c>
      <c r="AE32" s="90"/>
      <c r="AF32" s="89" t="str">
        <f t="shared" si="12"/>
        <v/>
      </c>
      <c r="AG32" s="96"/>
      <c r="AH32" s="88" t="str">
        <f t="shared" si="13"/>
        <v/>
      </c>
      <c r="AI32" s="87"/>
      <c r="AJ32" s="89" t="str">
        <f t="shared" si="14"/>
        <v/>
      </c>
      <c r="AK32" s="90"/>
      <c r="AL32" s="89" t="str">
        <f t="shared" si="15"/>
        <v/>
      </c>
      <c r="AM32" s="94" t="str">
        <f t="shared" si="16"/>
        <v/>
      </c>
      <c r="AN32" s="93">
        <f t="shared" si="17"/>
        <v>0</v>
      </c>
      <c r="AO32" s="94">
        <f t="shared" si="18"/>
        <v>0</v>
      </c>
      <c r="AP32" s="87"/>
      <c r="AQ32" s="87"/>
      <c r="AR32" s="89" t="str">
        <f t="shared" si="19"/>
        <v/>
      </c>
      <c r="AS32" s="90"/>
      <c r="AT32" s="89" t="str">
        <f t="shared" si="20"/>
        <v/>
      </c>
      <c r="AU32" s="95"/>
      <c r="AV32" s="87"/>
      <c r="AW32" s="87"/>
      <c r="AX32" s="89" t="str">
        <f t="shared" si="21"/>
        <v/>
      </c>
      <c r="AY32" s="90"/>
      <c r="AZ32" s="89" t="str">
        <f t="shared" si="22"/>
        <v/>
      </c>
      <c r="BA32" s="95"/>
      <c r="BB32" s="88" t="str">
        <f t="shared" si="28"/>
        <v/>
      </c>
      <c r="BC32" s="87"/>
      <c r="BD32" s="89" t="str">
        <f t="shared" si="23"/>
        <v/>
      </c>
      <c r="BE32" s="90"/>
      <c r="BF32" s="89" t="str">
        <f t="shared" si="24"/>
        <v/>
      </c>
      <c r="BG32" s="96"/>
    </row>
    <row r="33">
      <c r="A33" s="87"/>
      <c r="B33" s="87"/>
      <c r="C33" s="87"/>
      <c r="D33" s="87"/>
      <c r="E33" s="87"/>
      <c r="F33" s="87"/>
      <c r="G33" s="87"/>
      <c r="H33" s="88" t="str">
        <f t="shared" si="1"/>
        <v/>
      </c>
      <c r="I33" s="87"/>
      <c r="J33" s="89" t="str">
        <f t="shared" si="2"/>
        <v/>
      </c>
      <c r="K33" s="90"/>
      <c r="L33" s="89" t="str">
        <f t="shared" si="3"/>
        <v/>
      </c>
      <c r="M33" s="94" t="str">
        <f t="shared" si="4"/>
        <v/>
      </c>
      <c r="N33" s="93">
        <f t="shared" si="5"/>
        <v>0</v>
      </c>
      <c r="O33" s="94">
        <f t="shared" si="6"/>
        <v>0</v>
      </c>
      <c r="P33" s="87"/>
      <c r="Q33" s="87"/>
      <c r="R33" s="89" t="str">
        <f t="shared" si="7"/>
        <v/>
      </c>
      <c r="S33" s="90"/>
      <c r="T33" s="89" t="str">
        <f t="shared" si="8"/>
        <v/>
      </c>
      <c r="U33" s="95"/>
      <c r="V33" s="87"/>
      <c r="W33" s="87"/>
      <c r="X33" s="89" t="str">
        <f t="shared" si="9"/>
        <v/>
      </c>
      <c r="Y33" s="90"/>
      <c r="Z33" s="89" t="str">
        <f t="shared" si="10"/>
        <v/>
      </c>
      <c r="AA33" s="95"/>
      <c r="AB33" s="88" t="str">
        <f t="shared" si="27"/>
        <v/>
      </c>
      <c r="AC33" s="87"/>
      <c r="AD33" s="89" t="str">
        <f t="shared" si="11"/>
        <v/>
      </c>
      <c r="AE33" s="90"/>
      <c r="AF33" s="89" t="str">
        <f t="shared" si="12"/>
        <v/>
      </c>
      <c r="AG33" s="96"/>
      <c r="AH33" s="88" t="str">
        <f t="shared" si="13"/>
        <v/>
      </c>
      <c r="AI33" s="87"/>
      <c r="AJ33" s="89" t="str">
        <f t="shared" si="14"/>
        <v/>
      </c>
      <c r="AK33" s="90"/>
      <c r="AL33" s="89" t="str">
        <f t="shared" si="15"/>
        <v/>
      </c>
      <c r="AM33" s="94" t="str">
        <f t="shared" si="16"/>
        <v/>
      </c>
      <c r="AN33" s="93">
        <f t="shared" si="17"/>
        <v>0</v>
      </c>
      <c r="AO33" s="94">
        <f t="shared" si="18"/>
        <v>0</v>
      </c>
      <c r="AP33" s="87"/>
      <c r="AQ33" s="87"/>
      <c r="AR33" s="89" t="str">
        <f t="shared" si="19"/>
        <v/>
      </c>
      <c r="AS33" s="90"/>
      <c r="AT33" s="89" t="str">
        <f t="shared" si="20"/>
        <v/>
      </c>
      <c r="AU33" s="95"/>
      <c r="AV33" s="87"/>
      <c r="AW33" s="87"/>
      <c r="AX33" s="89" t="str">
        <f t="shared" si="21"/>
        <v/>
      </c>
      <c r="AY33" s="90"/>
      <c r="AZ33" s="89" t="str">
        <f t="shared" si="22"/>
        <v/>
      </c>
      <c r="BA33" s="95"/>
      <c r="BB33" s="88" t="str">
        <f t="shared" si="28"/>
        <v/>
      </c>
      <c r="BC33" s="87"/>
      <c r="BD33" s="89" t="str">
        <f t="shared" si="23"/>
        <v/>
      </c>
      <c r="BE33" s="90"/>
      <c r="BF33" s="89" t="str">
        <f t="shared" si="24"/>
        <v/>
      </c>
      <c r="BG33" s="96"/>
    </row>
    <row r="34">
      <c r="A34" s="87"/>
      <c r="B34" s="87"/>
      <c r="C34" s="87"/>
      <c r="D34" s="87"/>
      <c r="E34" s="87"/>
      <c r="F34" s="87"/>
      <c r="G34" s="87"/>
      <c r="H34" s="88" t="str">
        <f t="shared" si="1"/>
        <v/>
      </c>
      <c r="I34" s="87"/>
      <c r="J34" s="89" t="str">
        <f t="shared" si="2"/>
        <v/>
      </c>
      <c r="K34" s="90"/>
      <c r="L34" s="89" t="str">
        <f t="shared" si="3"/>
        <v/>
      </c>
      <c r="M34" s="94" t="str">
        <f t="shared" si="4"/>
        <v/>
      </c>
      <c r="N34" s="93">
        <f t="shared" si="5"/>
        <v>0</v>
      </c>
      <c r="O34" s="94">
        <f t="shared" si="6"/>
        <v>0</v>
      </c>
      <c r="P34" s="87"/>
      <c r="Q34" s="87"/>
      <c r="R34" s="89" t="str">
        <f t="shared" si="7"/>
        <v/>
      </c>
      <c r="S34" s="90"/>
      <c r="T34" s="89" t="str">
        <f t="shared" si="8"/>
        <v/>
      </c>
      <c r="U34" s="95"/>
      <c r="V34" s="87"/>
      <c r="W34" s="87"/>
      <c r="X34" s="89" t="str">
        <f t="shared" si="9"/>
        <v/>
      </c>
      <c r="Y34" s="90"/>
      <c r="Z34" s="89" t="str">
        <f t="shared" si="10"/>
        <v/>
      </c>
      <c r="AA34" s="95"/>
      <c r="AB34" s="88" t="str">
        <f t="shared" si="27"/>
        <v/>
      </c>
      <c r="AC34" s="87"/>
      <c r="AD34" s="89" t="str">
        <f t="shared" si="11"/>
        <v/>
      </c>
      <c r="AE34" s="90"/>
      <c r="AF34" s="89" t="str">
        <f t="shared" si="12"/>
        <v/>
      </c>
      <c r="AG34" s="96"/>
      <c r="AH34" s="88" t="str">
        <f t="shared" si="13"/>
        <v/>
      </c>
      <c r="AI34" s="87"/>
      <c r="AJ34" s="89" t="str">
        <f t="shared" si="14"/>
        <v/>
      </c>
      <c r="AK34" s="90"/>
      <c r="AL34" s="89" t="str">
        <f t="shared" si="15"/>
        <v/>
      </c>
      <c r="AM34" s="94" t="str">
        <f t="shared" si="16"/>
        <v/>
      </c>
      <c r="AN34" s="93">
        <f t="shared" si="17"/>
        <v>0</v>
      </c>
      <c r="AO34" s="94">
        <f t="shared" si="18"/>
        <v>0</v>
      </c>
      <c r="AP34" s="87"/>
      <c r="AQ34" s="87"/>
      <c r="AR34" s="89" t="str">
        <f t="shared" si="19"/>
        <v/>
      </c>
      <c r="AS34" s="90"/>
      <c r="AT34" s="89" t="str">
        <f t="shared" si="20"/>
        <v/>
      </c>
      <c r="AU34" s="95"/>
      <c r="AV34" s="87"/>
      <c r="AW34" s="87"/>
      <c r="AX34" s="89" t="str">
        <f t="shared" si="21"/>
        <v/>
      </c>
      <c r="AY34" s="90"/>
      <c r="AZ34" s="89" t="str">
        <f t="shared" si="22"/>
        <v/>
      </c>
      <c r="BA34" s="95"/>
      <c r="BB34" s="88" t="str">
        <f t="shared" si="28"/>
        <v/>
      </c>
      <c r="BC34" s="87"/>
      <c r="BD34" s="89" t="str">
        <f t="shared" si="23"/>
        <v/>
      </c>
      <c r="BE34" s="90"/>
      <c r="BF34" s="89" t="str">
        <f t="shared" si="24"/>
        <v/>
      </c>
      <c r="BG34" s="96"/>
    </row>
    <row r="35">
      <c r="A35" s="87"/>
      <c r="B35" s="87"/>
      <c r="C35" s="87"/>
      <c r="D35" s="87"/>
      <c r="E35" s="87"/>
      <c r="F35" s="87"/>
      <c r="G35" s="87"/>
      <c r="H35" s="88" t="str">
        <f t="shared" si="1"/>
        <v/>
      </c>
      <c r="I35" s="87"/>
      <c r="J35" s="89" t="str">
        <f t="shared" si="2"/>
        <v/>
      </c>
      <c r="K35" s="90"/>
      <c r="L35" s="89" t="str">
        <f t="shared" si="3"/>
        <v/>
      </c>
      <c r="M35" s="94" t="str">
        <f t="shared" si="4"/>
        <v/>
      </c>
      <c r="N35" s="93">
        <f t="shared" si="5"/>
        <v>0</v>
      </c>
      <c r="O35" s="94">
        <f t="shared" si="6"/>
        <v>0</v>
      </c>
      <c r="P35" s="87"/>
      <c r="Q35" s="87"/>
      <c r="R35" s="89" t="str">
        <f t="shared" si="7"/>
        <v/>
      </c>
      <c r="S35" s="90"/>
      <c r="T35" s="89" t="str">
        <f t="shared" si="8"/>
        <v/>
      </c>
      <c r="U35" s="95"/>
      <c r="V35" s="87"/>
      <c r="W35" s="87"/>
      <c r="X35" s="89" t="str">
        <f t="shared" si="9"/>
        <v/>
      </c>
      <c r="Y35" s="90"/>
      <c r="Z35" s="89" t="str">
        <f t="shared" si="10"/>
        <v/>
      </c>
      <c r="AA35" s="95"/>
      <c r="AB35" s="88" t="str">
        <f t="shared" si="27"/>
        <v/>
      </c>
      <c r="AC35" s="87"/>
      <c r="AD35" s="89" t="str">
        <f t="shared" si="11"/>
        <v/>
      </c>
      <c r="AE35" s="90"/>
      <c r="AF35" s="89" t="str">
        <f t="shared" si="12"/>
        <v/>
      </c>
      <c r="AG35" s="96"/>
      <c r="AH35" s="88" t="str">
        <f t="shared" si="13"/>
        <v/>
      </c>
      <c r="AI35" s="87"/>
      <c r="AJ35" s="89" t="str">
        <f t="shared" si="14"/>
        <v/>
      </c>
      <c r="AK35" s="90"/>
      <c r="AL35" s="89" t="str">
        <f t="shared" si="15"/>
        <v/>
      </c>
      <c r="AM35" s="94" t="str">
        <f t="shared" si="16"/>
        <v/>
      </c>
      <c r="AN35" s="93">
        <f t="shared" si="17"/>
        <v>0</v>
      </c>
      <c r="AO35" s="94">
        <f t="shared" si="18"/>
        <v>0</v>
      </c>
      <c r="AP35" s="87"/>
      <c r="AQ35" s="87"/>
      <c r="AR35" s="89" t="str">
        <f t="shared" si="19"/>
        <v/>
      </c>
      <c r="AS35" s="90"/>
      <c r="AT35" s="89" t="str">
        <f t="shared" si="20"/>
        <v/>
      </c>
      <c r="AU35" s="95"/>
      <c r="AV35" s="87"/>
      <c r="AW35" s="87"/>
      <c r="AX35" s="89" t="str">
        <f t="shared" si="21"/>
        <v/>
      </c>
      <c r="AY35" s="90"/>
      <c r="AZ35" s="89" t="str">
        <f t="shared" si="22"/>
        <v/>
      </c>
      <c r="BA35" s="95"/>
      <c r="BB35" s="88" t="str">
        <f t="shared" si="28"/>
        <v/>
      </c>
      <c r="BC35" s="87"/>
      <c r="BD35" s="89" t="str">
        <f t="shared" si="23"/>
        <v/>
      </c>
      <c r="BE35" s="90"/>
      <c r="BF35" s="89" t="str">
        <f t="shared" si="24"/>
        <v/>
      </c>
      <c r="BG35" s="96"/>
    </row>
    <row r="36">
      <c r="A36" s="87"/>
      <c r="B36" s="87"/>
      <c r="C36" s="87"/>
      <c r="D36" s="87"/>
      <c r="E36" s="87"/>
      <c r="F36" s="87"/>
      <c r="G36" s="87"/>
      <c r="H36" s="88" t="str">
        <f t="shared" si="1"/>
        <v/>
      </c>
      <c r="I36" s="87"/>
      <c r="J36" s="89" t="str">
        <f t="shared" si="2"/>
        <v/>
      </c>
      <c r="K36" s="90"/>
      <c r="L36" s="89" t="str">
        <f t="shared" si="3"/>
        <v/>
      </c>
      <c r="M36" s="94" t="str">
        <f t="shared" si="4"/>
        <v/>
      </c>
      <c r="N36" s="93">
        <f t="shared" si="5"/>
        <v>0</v>
      </c>
      <c r="O36" s="94">
        <f t="shared" si="6"/>
        <v>0</v>
      </c>
      <c r="P36" s="87"/>
      <c r="Q36" s="87"/>
      <c r="R36" s="89" t="str">
        <f t="shared" si="7"/>
        <v/>
      </c>
      <c r="S36" s="90"/>
      <c r="T36" s="89" t="str">
        <f t="shared" si="8"/>
        <v/>
      </c>
      <c r="U36" s="95"/>
      <c r="V36" s="87"/>
      <c r="W36" s="87"/>
      <c r="X36" s="89" t="str">
        <f t="shared" si="9"/>
        <v/>
      </c>
      <c r="Y36" s="90"/>
      <c r="Z36" s="89" t="str">
        <f t="shared" si="10"/>
        <v/>
      </c>
      <c r="AA36" s="95"/>
      <c r="AB36" s="88" t="str">
        <f t="shared" si="27"/>
        <v/>
      </c>
      <c r="AC36" s="87"/>
      <c r="AD36" s="89" t="str">
        <f t="shared" si="11"/>
        <v/>
      </c>
      <c r="AE36" s="90"/>
      <c r="AF36" s="89" t="str">
        <f t="shared" si="12"/>
        <v/>
      </c>
      <c r="AG36" s="96"/>
      <c r="AH36" s="88" t="str">
        <f t="shared" si="13"/>
        <v/>
      </c>
      <c r="AI36" s="87"/>
      <c r="AJ36" s="89" t="str">
        <f t="shared" si="14"/>
        <v/>
      </c>
      <c r="AK36" s="90"/>
      <c r="AL36" s="89" t="str">
        <f t="shared" si="15"/>
        <v/>
      </c>
      <c r="AM36" s="94" t="str">
        <f t="shared" si="16"/>
        <v/>
      </c>
      <c r="AN36" s="93">
        <f t="shared" si="17"/>
        <v>0</v>
      </c>
      <c r="AO36" s="94">
        <f t="shared" si="18"/>
        <v>0</v>
      </c>
      <c r="AP36" s="87"/>
      <c r="AQ36" s="87"/>
      <c r="AR36" s="89" t="str">
        <f t="shared" si="19"/>
        <v/>
      </c>
      <c r="AS36" s="90"/>
      <c r="AT36" s="89" t="str">
        <f t="shared" si="20"/>
        <v/>
      </c>
      <c r="AU36" s="95"/>
      <c r="AV36" s="87"/>
      <c r="AW36" s="87"/>
      <c r="AX36" s="89" t="str">
        <f t="shared" si="21"/>
        <v/>
      </c>
      <c r="AY36" s="90"/>
      <c r="AZ36" s="89" t="str">
        <f t="shared" si="22"/>
        <v/>
      </c>
      <c r="BA36" s="95"/>
      <c r="BB36" s="88" t="str">
        <f t="shared" si="28"/>
        <v/>
      </c>
      <c r="BC36" s="87"/>
      <c r="BD36" s="89" t="str">
        <f t="shared" si="23"/>
        <v/>
      </c>
      <c r="BE36" s="90"/>
      <c r="BF36" s="89" t="str">
        <f t="shared" si="24"/>
        <v/>
      </c>
      <c r="BG36" s="96"/>
    </row>
    <row r="37">
      <c r="A37" s="87"/>
      <c r="B37" s="87"/>
      <c r="C37" s="87"/>
      <c r="D37" s="87"/>
      <c r="E37" s="87"/>
      <c r="F37" s="87"/>
      <c r="G37" s="87"/>
      <c r="H37" s="88" t="str">
        <f t="shared" si="1"/>
        <v/>
      </c>
      <c r="I37" s="87"/>
      <c r="J37" s="89" t="str">
        <f t="shared" si="2"/>
        <v/>
      </c>
      <c r="K37" s="90"/>
      <c r="L37" s="89" t="str">
        <f t="shared" si="3"/>
        <v/>
      </c>
      <c r="M37" s="94" t="str">
        <f t="shared" si="4"/>
        <v/>
      </c>
      <c r="N37" s="93">
        <f t="shared" si="5"/>
        <v>0</v>
      </c>
      <c r="O37" s="94">
        <f t="shared" si="6"/>
        <v>0</v>
      </c>
      <c r="P37" s="87"/>
      <c r="Q37" s="87"/>
      <c r="R37" s="89" t="str">
        <f t="shared" si="7"/>
        <v/>
      </c>
      <c r="S37" s="90"/>
      <c r="T37" s="89" t="str">
        <f t="shared" si="8"/>
        <v/>
      </c>
      <c r="U37" s="95"/>
      <c r="V37" s="87"/>
      <c r="W37" s="87"/>
      <c r="X37" s="89" t="str">
        <f t="shared" si="9"/>
        <v/>
      </c>
      <c r="Y37" s="90"/>
      <c r="Z37" s="89" t="str">
        <f t="shared" si="10"/>
        <v/>
      </c>
      <c r="AA37" s="95"/>
      <c r="AB37" s="88" t="str">
        <f t="shared" si="27"/>
        <v/>
      </c>
      <c r="AC37" s="87"/>
      <c r="AD37" s="89" t="str">
        <f t="shared" si="11"/>
        <v/>
      </c>
      <c r="AE37" s="90"/>
      <c r="AF37" s="89" t="str">
        <f t="shared" si="12"/>
        <v/>
      </c>
      <c r="AG37" s="96"/>
      <c r="AH37" s="88" t="str">
        <f t="shared" si="13"/>
        <v/>
      </c>
      <c r="AI37" s="87"/>
      <c r="AJ37" s="89" t="str">
        <f t="shared" si="14"/>
        <v/>
      </c>
      <c r="AK37" s="90"/>
      <c r="AL37" s="89" t="str">
        <f t="shared" si="15"/>
        <v/>
      </c>
      <c r="AM37" s="94" t="str">
        <f t="shared" si="16"/>
        <v/>
      </c>
      <c r="AN37" s="93">
        <f t="shared" si="17"/>
        <v>0</v>
      </c>
      <c r="AO37" s="94">
        <f t="shared" si="18"/>
        <v>0</v>
      </c>
      <c r="AP37" s="87"/>
      <c r="AQ37" s="87"/>
      <c r="AR37" s="89" t="str">
        <f t="shared" si="19"/>
        <v/>
      </c>
      <c r="AS37" s="90"/>
      <c r="AT37" s="89" t="str">
        <f t="shared" si="20"/>
        <v/>
      </c>
      <c r="AU37" s="95"/>
      <c r="AV37" s="87"/>
      <c r="AW37" s="87"/>
      <c r="AX37" s="89" t="str">
        <f t="shared" si="21"/>
        <v/>
      </c>
      <c r="AY37" s="90"/>
      <c r="AZ37" s="89" t="str">
        <f t="shared" si="22"/>
        <v/>
      </c>
      <c r="BA37" s="95"/>
      <c r="BB37" s="88" t="str">
        <f t="shared" si="28"/>
        <v/>
      </c>
      <c r="BC37" s="87"/>
      <c r="BD37" s="89" t="str">
        <f t="shared" si="23"/>
        <v/>
      </c>
      <c r="BE37" s="90"/>
      <c r="BF37" s="89" t="str">
        <f t="shared" si="24"/>
        <v/>
      </c>
      <c r="BG37" s="96"/>
    </row>
    <row r="38">
      <c r="A38" s="87"/>
      <c r="B38" s="87"/>
      <c r="C38" s="87"/>
      <c r="D38" s="87"/>
      <c r="E38" s="87"/>
      <c r="F38" s="87"/>
      <c r="G38" s="87"/>
      <c r="H38" s="88" t="str">
        <f t="shared" si="1"/>
        <v/>
      </c>
      <c r="I38" s="87"/>
      <c r="J38" s="89" t="str">
        <f t="shared" si="2"/>
        <v/>
      </c>
      <c r="K38" s="90"/>
      <c r="L38" s="89" t="str">
        <f t="shared" si="3"/>
        <v/>
      </c>
      <c r="M38" s="94" t="str">
        <f t="shared" si="4"/>
        <v/>
      </c>
      <c r="N38" s="93">
        <f t="shared" si="5"/>
        <v>0</v>
      </c>
      <c r="O38" s="94">
        <f t="shared" si="6"/>
        <v>0</v>
      </c>
      <c r="P38" s="87"/>
      <c r="Q38" s="87"/>
      <c r="R38" s="89" t="str">
        <f t="shared" si="7"/>
        <v/>
      </c>
      <c r="S38" s="90"/>
      <c r="T38" s="89" t="str">
        <f t="shared" si="8"/>
        <v/>
      </c>
      <c r="U38" s="95"/>
      <c r="V38" s="87"/>
      <c r="W38" s="87"/>
      <c r="X38" s="89" t="str">
        <f t="shared" si="9"/>
        <v/>
      </c>
      <c r="Y38" s="90"/>
      <c r="Z38" s="89" t="str">
        <f t="shared" si="10"/>
        <v/>
      </c>
      <c r="AA38" s="95"/>
      <c r="AB38" s="88" t="str">
        <f t="shared" si="27"/>
        <v/>
      </c>
      <c r="AC38" s="87"/>
      <c r="AD38" s="89" t="str">
        <f t="shared" si="11"/>
        <v/>
      </c>
      <c r="AE38" s="90"/>
      <c r="AF38" s="89" t="str">
        <f t="shared" si="12"/>
        <v/>
      </c>
      <c r="AG38" s="96"/>
      <c r="AH38" s="88" t="str">
        <f t="shared" si="13"/>
        <v/>
      </c>
      <c r="AI38" s="87"/>
      <c r="AJ38" s="89" t="str">
        <f t="shared" si="14"/>
        <v/>
      </c>
      <c r="AK38" s="90"/>
      <c r="AL38" s="89" t="str">
        <f t="shared" si="15"/>
        <v/>
      </c>
      <c r="AM38" s="94" t="str">
        <f t="shared" si="16"/>
        <v/>
      </c>
      <c r="AN38" s="93">
        <f t="shared" si="17"/>
        <v>0</v>
      </c>
      <c r="AO38" s="94">
        <f t="shared" si="18"/>
        <v>0</v>
      </c>
      <c r="AP38" s="87"/>
      <c r="AQ38" s="87"/>
      <c r="AR38" s="89" t="str">
        <f t="shared" si="19"/>
        <v/>
      </c>
      <c r="AS38" s="90"/>
      <c r="AT38" s="89" t="str">
        <f t="shared" si="20"/>
        <v/>
      </c>
      <c r="AU38" s="95"/>
      <c r="AV38" s="87"/>
      <c r="AW38" s="87"/>
      <c r="AX38" s="89" t="str">
        <f t="shared" si="21"/>
        <v/>
      </c>
      <c r="AY38" s="90"/>
      <c r="AZ38" s="89" t="str">
        <f t="shared" si="22"/>
        <v/>
      </c>
      <c r="BA38" s="95"/>
      <c r="BB38" s="88" t="str">
        <f t="shared" si="28"/>
        <v/>
      </c>
      <c r="BC38" s="87"/>
      <c r="BD38" s="89" t="str">
        <f t="shared" si="23"/>
        <v/>
      </c>
      <c r="BE38" s="90"/>
      <c r="BF38" s="89" t="str">
        <f t="shared" si="24"/>
        <v/>
      </c>
      <c r="BG38" s="96"/>
    </row>
    <row r="39">
      <c r="A39" s="87"/>
      <c r="B39" s="87"/>
      <c r="C39" s="87"/>
      <c r="D39" s="87"/>
      <c r="E39" s="87"/>
      <c r="F39" s="87"/>
      <c r="G39" s="87"/>
      <c r="H39" s="88" t="str">
        <f t="shared" si="1"/>
        <v/>
      </c>
      <c r="I39" s="87"/>
      <c r="J39" s="89" t="str">
        <f t="shared" si="2"/>
        <v/>
      </c>
      <c r="K39" s="90"/>
      <c r="L39" s="89" t="str">
        <f t="shared" si="3"/>
        <v/>
      </c>
      <c r="M39" s="94" t="str">
        <f t="shared" si="4"/>
        <v/>
      </c>
      <c r="N39" s="93">
        <f t="shared" si="5"/>
        <v>0</v>
      </c>
      <c r="O39" s="94">
        <f t="shared" si="6"/>
        <v>0</v>
      </c>
      <c r="P39" s="87"/>
      <c r="Q39" s="87"/>
      <c r="R39" s="89" t="str">
        <f t="shared" si="7"/>
        <v/>
      </c>
      <c r="S39" s="90"/>
      <c r="T39" s="89" t="str">
        <f t="shared" si="8"/>
        <v/>
      </c>
      <c r="U39" s="95"/>
      <c r="V39" s="87"/>
      <c r="W39" s="87"/>
      <c r="X39" s="89" t="str">
        <f t="shared" si="9"/>
        <v/>
      </c>
      <c r="Y39" s="90"/>
      <c r="Z39" s="89" t="str">
        <f t="shared" si="10"/>
        <v/>
      </c>
      <c r="AA39" s="95"/>
      <c r="AB39" s="88" t="str">
        <f t="shared" si="27"/>
        <v/>
      </c>
      <c r="AC39" s="87"/>
      <c r="AD39" s="89" t="str">
        <f t="shared" si="11"/>
        <v/>
      </c>
      <c r="AE39" s="90"/>
      <c r="AF39" s="89" t="str">
        <f t="shared" si="12"/>
        <v/>
      </c>
      <c r="AG39" s="96"/>
      <c r="AH39" s="88" t="str">
        <f t="shared" si="13"/>
        <v/>
      </c>
      <c r="AI39" s="87"/>
      <c r="AJ39" s="89" t="str">
        <f t="shared" si="14"/>
        <v/>
      </c>
      <c r="AK39" s="90"/>
      <c r="AL39" s="89" t="str">
        <f t="shared" si="15"/>
        <v/>
      </c>
      <c r="AM39" s="94" t="str">
        <f t="shared" si="16"/>
        <v/>
      </c>
      <c r="AN39" s="93">
        <f t="shared" si="17"/>
        <v>0</v>
      </c>
      <c r="AO39" s="94">
        <f t="shared" si="18"/>
        <v>0</v>
      </c>
      <c r="AP39" s="87"/>
      <c r="AQ39" s="87"/>
      <c r="AR39" s="89" t="str">
        <f t="shared" si="19"/>
        <v/>
      </c>
      <c r="AS39" s="90"/>
      <c r="AT39" s="89" t="str">
        <f t="shared" si="20"/>
        <v/>
      </c>
      <c r="AU39" s="95"/>
      <c r="AV39" s="87"/>
      <c r="AW39" s="87"/>
      <c r="AX39" s="89" t="str">
        <f t="shared" si="21"/>
        <v/>
      </c>
      <c r="AY39" s="90"/>
      <c r="AZ39" s="89" t="str">
        <f t="shared" si="22"/>
        <v/>
      </c>
      <c r="BA39" s="95"/>
      <c r="BB39" s="88" t="str">
        <f t="shared" si="28"/>
        <v/>
      </c>
      <c r="BC39" s="87"/>
      <c r="BD39" s="89" t="str">
        <f t="shared" si="23"/>
        <v/>
      </c>
      <c r="BE39" s="90"/>
      <c r="BF39" s="89" t="str">
        <f t="shared" si="24"/>
        <v/>
      </c>
      <c r="BG39" s="96"/>
    </row>
    <row r="40">
      <c r="A40" s="87"/>
      <c r="B40" s="87"/>
      <c r="C40" s="87"/>
      <c r="D40" s="87"/>
      <c r="E40" s="87"/>
      <c r="F40" s="87"/>
      <c r="G40" s="87"/>
      <c r="H40" s="88" t="str">
        <f t="shared" si="1"/>
        <v/>
      </c>
      <c r="I40" s="87"/>
      <c r="J40" s="89" t="str">
        <f t="shared" si="2"/>
        <v/>
      </c>
      <c r="K40" s="90"/>
      <c r="L40" s="89" t="str">
        <f t="shared" si="3"/>
        <v/>
      </c>
      <c r="M40" s="94" t="str">
        <f t="shared" si="4"/>
        <v/>
      </c>
      <c r="N40" s="93">
        <f t="shared" si="5"/>
        <v>0</v>
      </c>
      <c r="O40" s="94">
        <f t="shared" si="6"/>
        <v>0</v>
      </c>
      <c r="P40" s="87"/>
      <c r="Q40" s="87"/>
      <c r="R40" s="89" t="str">
        <f t="shared" si="7"/>
        <v/>
      </c>
      <c r="S40" s="90"/>
      <c r="T40" s="89" t="str">
        <f t="shared" si="8"/>
        <v/>
      </c>
      <c r="U40" s="95"/>
      <c r="V40" s="87"/>
      <c r="W40" s="87"/>
      <c r="X40" s="89" t="str">
        <f t="shared" si="9"/>
        <v/>
      </c>
      <c r="Y40" s="90"/>
      <c r="Z40" s="89" t="str">
        <f t="shared" si="10"/>
        <v/>
      </c>
      <c r="AA40" s="95"/>
      <c r="AB40" s="88" t="str">
        <f t="shared" si="27"/>
        <v/>
      </c>
      <c r="AC40" s="87"/>
      <c r="AD40" s="89" t="str">
        <f t="shared" si="11"/>
        <v/>
      </c>
      <c r="AE40" s="90"/>
      <c r="AF40" s="89" t="str">
        <f t="shared" si="12"/>
        <v/>
      </c>
      <c r="AG40" s="96"/>
      <c r="AH40" s="88" t="str">
        <f t="shared" si="13"/>
        <v/>
      </c>
      <c r="AI40" s="87"/>
      <c r="AJ40" s="89" t="str">
        <f t="shared" si="14"/>
        <v/>
      </c>
      <c r="AK40" s="90"/>
      <c r="AL40" s="89" t="str">
        <f t="shared" si="15"/>
        <v/>
      </c>
      <c r="AM40" s="94" t="str">
        <f t="shared" si="16"/>
        <v/>
      </c>
      <c r="AN40" s="93">
        <f t="shared" si="17"/>
        <v>0</v>
      </c>
      <c r="AO40" s="94">
        <f t="shared" si="18"/>
        <v>0</v>
      </c>
      <c r="AP40" s="87"/>
      <c r="AQ40" s="87"/>
      <c r="AR40" s="89" t="str">
        <f t="shared" si="19"/>
        <v/>
      </c>
      <c r="AS40" s="90"/>
      <c r="AT40" s="89" t="str">
        <f t="shared" si="20"/>
        <v/>
      </c>
      <c r="AU40" s="95"/>
      <c r="AV40" s="87"/>
      <c r="AW40" s="87"/>
      <c r="AX40" s="89" t="str">
        <f t="shared" si="21"/>
        <v/>
      </c>
      <c r="AY40" s="90"/>
      <c r="AZ40" s="89" t="str">
        <f t="shared" si="22"/>
        <v/>
      </c>
      <c r="BA40" s="95"/>
      <c r="BB40" s="88" t="str">
        <f t="shared" si="28"/>
        <v/>
      </c>
      <c r="BC40" s="87"/>
      <c r="BD40" s="89" t="str">
        <f t="shared" si="23"/>
        <v/>
      </c>
      <c r="BE40" s="90"/>
      <c r="BF40" s="89" t="str">
        <f t="shared" si="24"/>
        <v/>
      </c>
      <c r="BG40" s="96"/>
    </row>
    <row r="41">
      <c r="A41" s="87"/>
      <c r="B41" s="87"/>
      <c r="C41" s="87"/>
      <c r="D41" s="87"/>
      <c r="E41" s="87"/>
      <c r="F41" s="87"/>
      <c r="G41" s="87"/>
      <c r="H41" s="88" t="str">
        <f t="shared" si="1"/>
        <v/>
      </c>
      <c r="I41" s="87"/>
      <c r="J41" s="89" t="str">
        <f t="shared" si="2"/>
        <v/>
      </c>
      <c r="K41" s="90"/>
      <c r="L41" s="89" t="str">
        <f t="shared" si="3"/>
        <v/>
      </c>
      <c r="M41" s="94" t="str">
        <f t="shared" si="4"/>
        <v/>
      </c>
      <c r="N41" s="93">
        <f t="shared" si="5"/>
        <v>0</v>
      </c>
      <c r="O41" s="94">
        <f t="shared" si="6"/>
        <v>0</v>
      </c>
      <c r="P41" s="87"/>
      <c r="Q41" s="87"/>
      <c r="R41" s="89" t="str">
        <f t="shared" si="7"/>
        <v/>
      </c>
      <c r="S41" s="90"/>
      <c r="T41" s="89" t="str">
        <f t="shared" si="8"/>
        <v/>
      </c>
      <c r="U41" s="95"/>
      <c r="V41" s="87"/>
      <c r="W41" s="87"/>
      <c r="X41" s="89" t="str">
        <f t="shared" si="9"/>
        <v/>
      </c>
      <c r="Y41" s="90"/>
      <c r="Z41" s="89" t="str">
        <f t="shared" si="10"/>
        <v/>
      </c>
      <c r="AA41" s="95"/>
      <c r="AB41" s="88" t="str">
        <f t="shared" si="27"/>
        <v/>
      </c>
      <c r="AC41" s="87"/>
      <c r="AD41" s="89" t="str">
        <f t="shared" si="11"/>
        <v/>
      </c>
      <c r="AE41" s="90"/>
      <c r="AF41" s="89" t="str">
        <f t="shared" si="12"/>
        <v/>
      </c>
      <c r="AG41" s="96"/>
      <c r="AH41" s="88" t="str">
        <f t="shared" si="13"/>
        <v/>
      </c>
      <c r="AI41" s="87"/>
      <c r="AJ41" s="89" t="str">
        <f t="shared" si="14"/>
        <v/>
      </c>
      <c r="AK41" s="90"/>
      <c r="AL41" s="89" t="str">
        <f t="shared" si="15"/>
        <v/>
      </c>
      <c r="AM41" s="94" t="str">
        <f t="shared" si="16"/>
        <v/>
      </c>
      <c r="AN41" s="93">
        <f t="shared" si="17"/>
        <v>0</v>
      </c>
      <c r="AO41" s="94">
        <f t="shared" si="18"/>
        <v>0</v>
      </c>
      <c r="AP41" s="87"/>
      <c r="AQ41" s="87"/>
      <c r="AR41" s="89" t="str">
        <f t="shared" si="19"/>
        <v/>
      </c>
      <c r="AS41" s="90"/>
      <c r="AT41" s="89" t="str">
        <f t="shared" si="20"/>
        <v/>
      </c>
      <c r="AU41" s="95"/>
      <c r="AV41" s="87"/>
      <c r="AW41" s="87"/>
      <c r="AX41" s="89" t="str">
        <f t="shared" si="21"/>
        <v/>
      </c>
      <c r="AY41" s="90"/>
      <c r="AZ41" s="89" t="str">
        <f t="shared" si="22"/>
        <v/>
      </c>
      <c r="BA41" s="95"/>
      <c r="BB41" s="88" t="str">
        <f t="shared" si="28"/>
        <v/>
      </c>
      <c r="BC41" s="87"/>
      <c r="BD41" s="89" t="str">
        <f t="shared" si="23"/>
        <v/>
      </c>
      <c r="BE41" s="90"/>
      <c r="BF41" s="89" t="str">
        <f t="shared" si="24"/>
        <v/>
      </c>
      <c r="BG41" s="96"/>
    </row>
    <row r="42">
      <c r="A42" s="87"/>
      <c r="B42" s="87"/>
      <c r="C42" s="87"/>
      <c r="D42" s="87"/>
      <c r="E42" s="87"/>
      <c r="F42" s="87"/>
      <c r="G42" s="87"/>
      <c r="H42" s="88" t="str">
        <f t="shared" si="1"/>
        <v/>
      </c>
      <c r="I42" s="87"/>
      <c r="J42" s="89" t="str">
        <f t="shared" si="2"/>
        <v/>
      </c>
      <c r="K42" s="90"/>
      <c r="L42" s="89" t="str">
        <f t="shared" si="3"/>
        <v/>
      </c>
      <c r="M42" s="89"/>
      <c r="N42" s="93">
        <f t="shared" si="5"/>
        <v>0</v>
      </c>
      <c r="O42" s="94">
        <f t="shared" si="6"/>
        <v>0</v>
      </c>
      <c r="P42" s="87"/>
      <c r="Q42" s="87"/>
      <c r="R42" s="89" t="str">
        <f t="shared" si="7"/>
        <v/>
      </c>
      <c r="S42" s="90"/>
      <c r="T42" s="89" t="str">
        <f t="shared" si="8"/>
        <v/>
      </c>
      <c r="U42" s="95"/>
      <c r="V42" s="87"/>
      <c r="W42" s="87"/>
      <c r="X42" s="89" t="str">
        <f t="shared" si="9"/>
        <v/>
      </c>
      <c r="Y42" s="90"/>
      <c r="Z42" s="89" t="str">
        <f t="shared" si="10"/>
        <v/>
      </c>
      <c r="AA42" s="95"/>
      <c r="AB42" s="88" t="str">
        <f t="shared" si="27"/>
        <v/>
      </c>
      <c r="AC42" s="87"/>
      <c r="AD42" s="89" t="str">
        <f t="shared" si="11"/>
        <v/>
      </c>
      <c r="AE42" s="90"/>
      <c r="AF42" s="89" t="str">
        <f t="shared" si="12"/>
        <v/>
      </c>
      <c r="AG42" s="96"/>
      <c r="AH42" s="88" t="str">
        <f t="shared" si="13"/>
        <v/>
      </c>
      <c r="AI42" s="87"/>
      <c r="AJ42" s="89" t="str">
        <f t="shared" si="14"/>
        <v/>
      </c>
      <c r="AK42" s="90"/>
      <c r="AL42" s="89" t="str">
        <f t="shared" si="15"/>
        <v/>
      </c>
      <c r="AM42" s="89"/>
      <c r="AN42" s="93">
        <f t="shared" si="17"/>
        <v>0</v>
      </c>
      <c r="AO42" s="94">
        <f t="shared" si="18"/>
        <v>0</v>
      </c>
      <c r="AP42" s="87"/>
      <c r="AQ42" s="87"/>
      <c r="AR42" s="89" t="str">
        <f t="shared" si="19"/>
        <v/>
      </c>
      <c r="AS42" s="90"/>
      <c r="AT42" s="89" t="str">
        <f t="shared" si="20"/>
        <v/>
      </c>
      <c r="AU42" s="95"/>
      <c r="AV42" s="87"/>
      <c r="AW42" s="87"/>
      <c r="AX42" s="89" t="str">
        <f t="shared" si="21"/>
        <v/>
      </c>
      <c r="AY42" s="90"/>
      <c r="AZ42" s="89" t="str">
        <f t="shared" si="22"/>
        <v/>
      </c>
      <c r="BA42" s="95"/>
      <c r="BB42" s="88" t="str">
        <f t="shared" si="28"/>
        <v/>
      </c>
      <c r="BC42" s="87"/>
      <c r="BD42" s="89" t="str">
        <f t="shared" si="23"/>
        <v/>
      </c>
      <c r="BE42" s="90"/>
      <c r="BF42" s="89" t="str">
        <f t="shared" si="24"/>
        <v/>
      </c>
      <c r="BG42" s="96"/>
    </row>
    <row r="43">
      <c r="A43" s="87"/>
      <c r="B43" s="87"/>
      <c r="C43" s="87"/>
      <c r="D43" s="87"/>
      <c r="E43" s="87"/>
      <c r="F43" s="87"/>
      <c r="G43" s="87"/>
      <c r="H43" s="88" t="str">
        <f t="shared" si="1"/>
        <v/>
      </c>
      <c r="I43" s="87"/>
      <c r="J43" s="89" t="str">
        <f t="shared" si="2"/>
        <v/>
      </c>
      <c r="K43" s="90"/>
      <c r="L43" s="89" t="str">
        <f t="shared" si="3"/>
        <v/>
      </c>
      <c r="M43" s="89"/>
      <c r="N43" s="93">
        <f t="shared" si="5"/>
        <v>0</v>
      </c>
      <c r="O43" s="94">
        <f t="shared" si="6"/>
        <v>0</v>
      </c>
      <c r="P43" s="87"/>
      <c r="Q43" s="87"/>
      <c r="R43" s="89" t="str">
        <f t="shared" si="7"/>
        <v/>
      </c>
      <c r="S43" s="90"/>
      <c r="T43" s="89" t="str">
        <f t="shared" si="8"/>
        <v/>
      </c>
      <c r="U43" s="95"/>
      <c r="V43" s="87"/>
      <c r="W43" s="87"/>
      <c r="X43" s="89" t="str">
        <f t="shared" si="9"/>
        <v/>
      </c>
      <c r="Y43" s="90"/>
      <c r="Z43" s="89" t="str">
        <f t="shared" si="10"/>
        <v/>
      </c>
      <c r="AA43" s="95"/>
      <c r="AB43" s="88" t="str">
        <f t="shared" si="27"/>
        <v/>
      </c>
      <c r="AC43" s="87"/>
      <c r="AD43" s="89" t="str">
        <f t="shared" si="11"/>
        <v/>
      </c>
      <c r="AE43" s="90"/>
      <c r="AF43" s="89" t="str">
        <f t="shared" si="12"/>
        <v/>
      </c>
      <c r="AG43" s="96"/>
      <c r="AH43" s="88" t="str">
        <f t="shared" si="13"/>
        <v/>
      </c>
      <c r="AI43" s="87"/>
      <c r="AJ43" s="89" t="str">
        <f t="shared" si="14"/>
        <v/>
      </c>
      <c r="AK43" s="90"/>
      <c r="AL43" s="89" t="str">
        <f t="shared" si="15"/>
        <v/>
      </c>
      <c r="AM43" s="89"/>
      <c r="AN43" s="93">
        <f t="shared" si="17"/>
        <v>0</v>
      </c>
      <c r="AO43" s="94">
        <f t="shared" si="18"/>
        <v>0</v>
      </c>
      <c r="AP43" s="87"/>
      <c r="AQ43" s="87"/>
      <c r="AR43" s="89" t="str">
        <f t="shared" si="19"/>
        <v/>
      </c>
      <c r="AS43" s="90"/>
      <c r="AT43" s="89" t="str">
        <f t="shared" si="20"/>
        <v/>
      </c>
      <c r="AU43" s="95"/>
      <c r="AV43" s="87"/>
      <c r="AW43" s="87"/>
      <c r="AX43" s="89" t="str">
        <f t="shared" si="21"/>
        <v/>
      </c>
      <c r="AY43" s="90"/>
      <c r="AZ43" s="89" t="str">
        <f t="shared" si="22"/>
        <v/>
      </c>
      <c r="BA43" s="95"/>
      <c r="BB43" s="88" t="str">
        <f t="shared" si="28"/>
        <v/>
      </c>
      <c r="BC43" s="87"/>
      <c r="BD43" s="89" t="str">
        <f t="shared" si="23"/>
        <v/>
      </c>
      <c r="BE43" s="90"/>
      <c r="BF43" s="89" t="str">
        <f t="shared" si="24"/>
        <v/>
      </c>
      <c r="BG43" s="96"/>
    </row>
    <row r="44">
      <c r="A44" s="87"/>
      <c r="B44" s="87"/>
      <c r="C44" s="87"/>
      <c r="D44" s="87"/>
      <c r="E44" s="87"/>
      <c r="F44" s="87"/>
      <c r="G44" s="87"/>
      <c r="H44" s="88" t="str">
        <f t="shared" si="1"/>
        <v/>
      </c>
      <c r="I44" s="87"/>
      <c r="J44" s="89" t="str">
        <f t="shared" si="2"/>
        <v/>
      </c>
      <c r="K44" s="90"/>
      <c r="L44" s="89" t="str">
        <f t="shared" si="3"/>
        <v/>
      </c>
      <c r="M44" s="89"/>
      <c r="N44" s="93">
        <f t="shared" si="5"/>
        <v>0</v>
      </c>
      <c r="O44" s="94">
        <f t="shared" si="6"/>
        <v>0</v>
      </c>
      <c r="P44" s="87"/>
      <c r="Q44" s="87"/>
      <c r="R44" s="89" t="str">
        <f t="shared" si="7"/>
        <v/>
      </c>
      <c r="S44" s="90"/>
      <c r="T44" s="89" t="str">
        <f t="shared" si="8"/>
        <v/>
      </c>
      <c r="U44" s="95"/>
      <c r="V44" s="87"/>
      <c r="W44" s="87"/>
      <c r="X44" s="89" t="str">
        <f t="shared" si="9"/>
        <v/>
      </c>
      <c r="Y44" s="90"/>
      <c r="Z44" s="89" t="str">
        <f t="shared" si="10"/>
        <v/>
      </c>
      <c r="AA44" s="95"/>
      <c r="AB44" s="88" t="str">
        <f t="shared" si="27"/>
        <v/>
      </c>
      <c r="AC44" s="87"/>
      <c r="AD44" s="89" t="str">
        <f t="shared" si="11"/>
        <v/>
      </c>
      <c r="AE44" s="90"/>
      <c r="AF44" s="89" t="str">
        <f t="shared" si="12"/>
        <v/>
      </c>
      <c r="AG44" s="96"/>
      <c r="AH44" s="88" t="str">
        <f t="shared" si="13"/>
        <v/>
      </c>
      <c r="AI44" s="87"/>
      <c r="AJ44" s="89" t="str">
        <f t="shared" si="14"/>
        <v/>
      </c>
      <c r="AK44" s="90"/>
      <c r="AL44" s="89" t="str">
        <f t="shared" si="15"/>
        <v/>
      </c>
      <c r="AM44" s="89"/>
      <c r="AN44" s="93">
        <f t="shared" si="17"/>
        <v>0</v>
      </c>
      <c r="AO44" s="94">
        <f t="shared" si="18"/>
        <v>0</v>
      </c>
      <c r="AP44" s="87"/>
      <c r="AQ44" s="87"/>
      <c r="AR44" s="89" t="str">
        <f t="shared" si="19"/>
        <v/>
      </c>
      <c r="AS44" s="90"/>
      <c r="AT44" s="89" t="str">
        <f t="shared" si="20"/>
        <v/>
      </c>
      <c r="AU44" s="95"/>
      <c r="AV44" s="87"/>
      <c r="AW44" s="87"/>
      <c r="AX44" s="89" t="str">
        <f t="shared" si="21"/>
        <v/>
      </c>
      <c r="AY44" s="90"/>
      <c r="AZ44" s="89" t="str">
        <f t="shared" si="22"/>
        <v/>
      </c>
      <c r="BA44" s="95"/>
      <c r="BB44" s="88" t="str">
        <f t="shared" si="28"/>
        <v/>
      </c>
      <c r="BC44" s="87"/>
      <c r="BD44" s="89" t="str">
        <f t="shared" si="23"/>
        <v/>
      </c>
      <c r="BE44" s="90"/>
      <c r="BF44" s="89" t="str">
        <f t="shared" si="24"/>
        <v/>
      </c>
      <c r="BG44" s="96"/>
    </row>
    <row r="45">
      <c r="A45" s="87"/>
      <c r="B45" s="87"/>
      <c r="C45" s="87"/>
      <c r="D45" s="87"/>
      <c r="E45" s="87"/>
      <c r="F45" s="87"/>
      <c r="G45" s="87"/>
      <c r="H45" s="88" t="str">
        <f t="shared" si="1"/>
        <v/>
      </c>
      <c r="I45" s="87"/>
      <c r="J45" s="89" t="str">
        <f t="shared" si="2"/>
        <v/>
      </c>
      <c r="K45" s="90"/>
      <c r="L45" s="89" t="str">
        <f t="shared" si="3"/>
        <v/>
      </c>
      <c r="M45" s="89"/>
      <c r="N45" s="93">
        <f t="shared" si="5"/>
        <v>0</v>
      </c>
      <c r="O45" s="94">
        <f t="shared" si="6"/>
        <v>0</v>
      </c>
      <c r="P45" s="87"/>
      <c r="Q45" s="87"/>
      <c r="R45" s="89" t="str">
        <f t="shared" si="7"/>
        <v/>
      </c>
      <c r="S45" s="90"/>
      <c r="T45" s="89" t="str">
        <f t="shared" si="8"/>
        <v/>
      </c>
      <c r="U45" s="95"/>
      <c r="V45" s="87"/>
      <c r="W45" s="87"/>
      <c r="X45" s="89" t="str">
        <f t="shared" si="9"/>
        <v/>
      </c>
      <c r="Y45" s="90"/>
      <c r="Z45" s="89" t="str">
        <f t="shared" si="10"/>
        <v/>
      </c>
      <c r="AA45" s="95"/>
      <c r="AB45" s="88" t="str">
        <f t="shared" si="27"/>
        <v/>
      </c>
      <c r="AC45" s="87"/>
      <c r="AD45" s="89" t="str">
        <f t="shared" si="11"/>
        <v/>
      </c>
      <c r="AE45" s="90"/>
      <c r="AF45" s="89" t="str">
        <f t="shared" si="12"/>
        <v/>
      </c>
      <c r="AG45" s="96"/>
      <c r="AH45" s="88" t="str">
        <f t="shared" si="13"/>
        <v/>
      </c>
      <c r="AI45" s="87"/>
      <c r="AJ45" s="89" t="str">
        <f t="shared" si="14"/>
        <v/>
      </c>
      <c r="AK45" s="90"/>
      <c r="AL45" s="89" t="str">
        <f t="shared" si="15"/>
        <v/>
      </c>
      <c r="AM45" s="89"/>
      <c r="AN45" s="93">
        <f t="shared" si="17"/>
        <v>0</v>
      </c>
      <c r="AO45" s="94">
        <f t="shared" si="18"/>
        <v>0</v>
      </c>
      <c r="AP45" s="87"/>
      <c r="AQ45" s="87"/>
      <c r="AR45" s="89" t="str">
        <f t="shared" si="19"/>
        <v/>
      </c>
      <c r="AS45" s="90"/>
      <c r="AT45" s="89" t="str">
        <f t="shared" si="20"/>
        <v/>
      </c>
      <c r="AU45" s="95"/>
      <c r="AV45" s="87"/>
      <c r="AW45" s="87"/>
      <c r="AX45" s="89" t="str">
        <f t="shared" si="21"/>
        <v/>
      </c>
      <c r="AY45" s="90"/>
      <c r="AZ45" s="89" t="str">
        <f t="shared" si="22"/>
        <v/>
      </c>
      <c r="BA45" s="95"/>
      <c r="BB45" s="88" t="str">
        <f t="shared" si="28"/>
        <v/>
      </c>
      <c r="BC45" s="87"/>
      <c r="BD45" s="89" t="str">
        <f t="shared" si="23"/>
        <v/>
      </c>
      <c r="BE45" s="90"/>
      <c r="BF45" s="89" t="str">
        <f t="shared" si="24"/>
        <v/>
      </c>
      <c r="BG45" s="96"/>
    </row>
    <row r="46">
      <c r="A46" s="87"/>
      <c r="B46" s="87"/>
      <c r="C46" s="87"/>
      <c r="D46" s="87"/>
      <c r="E46" s="87"/>
      <c r="F46" s="87"/>
      <c r="G46" s="87"/>
      <c r="H46" s="88" t="str">
        <f t="shared" si="1"/>
        <v/>
      </c>
      <c r="I46" s="87"/>
      <c r="J46" s="89" t="str">
        <f t="shared" si="2"/>
        <v/>
      </c>
      <c r="K46" s="90"/>
      <c r="L46" s="89" t="str">
        <f t="shared" si="3"/>
        <v/>
      </c>
      <c r="M46" s="89"/>
      <c r="N46" s="93">
        <f t="shared" si="5"/>
        <v>0</v>
      </c>
      <c r="O46" s="94">
        <f t="shared" si="6"/>
        <v>0</v>
      </c>
      <c r="P46" s="87"/>
      <c r="Q46" s="87"/>
      <c r="R46" s="89" t="str">
        <f t="shared" si="7"/>
        <v/>
      </c>
      <c r="S46" s="90"/>
      <c r="T46" s="89" t="str">
        <f t="shared" si="8"/>
        <v/>
      </c>
      <c r="U46" s="95"/>
      <c r="V46" s="87"/>
      <c r="W46" s="87"/>
      <c r="X46" s="89" t="str">
        <f t="shared" si="9"/>
        <v/>
      </c>
      <c r="Y46" s="90"/>
      <c r="Z46" s="89" t="str">
        <f t="shared" si="10"/>
        <v/>
      </c>
      <c r="AA46" s="95"/>
      <c r="AB46" s="88" t="str">
        <f t="shared" si="27"/>
        <v/>
      </c>
      <c r="AC46" s="87"/>
      <c r="AD46" s="89" t="str">
        <f t="shared" si="11"/>
        <v/>
      </c>
      <c r="AE46" s="90"/>
      <c r="AF46" s="89" t="str">
        <f t="shared" si="12"/>
        <v/>
      </c>
      <c r="AG46" s="96"/>
      <c r="AH46" s="88" t="str">
        <f t="shared" si="13"/>
        <v/>
      </c>
      <c r="AI46" s="87"/>
      <c r="AJ46" s="89" t="str">
        <f t="shared" si="14"/>
        <v/>
      </c>
      <c r="AK46" s="90"/>
      <c r="AL46" s="89" t="str">
        <f t="shared" si="15"/>
        <v/>
      </c>
      <c r="AM46" s="89"/>
      <c r="AN46" s="93">
        <f t="shared" si="17"/>
        <v>0</v>
      </c>
      <c r="AO46" s="94">
        <f t="shared" si="18"/>
        <v>0</v>
      </c>
      <c r="AP46" s="87"/>
      <c r="AQ46" s="87"/>
      <c r="AR46" s="89" t="str">
        <f t="shared" si="19"/>
        <v/>
      </c>
      <c r="AS46" s="90"/>
      <c r="AT46" s="89" t="str">
        <f t="shared" si="20"/>
        <v/>
      </c>
      <c r="AU46" s="95"/>
      <c r="AV46" s="87"/>
      <c r="AW46" s="87"/>
      <c r="AX46" s="89" t="str">
        <f t="shared" si="21"/>
        <v/>
      </c>
      <c r="AY46" s="90"/>
      <c r="AZ46" s="89" t="str">
        <f t="shared" si="22"/>
        <v/>
      </c>
      <c r="BA46" s="95"/>
      <c r="BB46" s="88" t="str">
        <f t="shared" si="28"/>
        <v/>
      </c>
      <c r="BC46" s="87"/>
      <c r="BD46" s="89" t="str">
        <f t="shared" si="23"/>
        <v/>
      </c>
      <c r="BE46" s="90"/>
      <c r="BF46" s="89" t="str">
        <f t="shared" si="24"/>
        <v/>
      </c>
      <c r="BG46" s="96"/>
    </row>
    <row r="47">
      <c r="A47" s="87"/>
      <c r="B47" s="87"/>
      <c r="C47" s="87"/>
      <c r="D47" s="87"/>
      <c r="E47" s="87"/>
      <c r="F47" s="87"/>
      <c r="G47" s="87"/>
      <c r="H47" s="88" t="str">
        <f t="shared" si="1"/>
        <v/>
      </c>
      <c r="I47" s="87"/>
      <c r="J47" s="89" t="str">
        <f t="shared" si="2"/>
        <v/>
      </c>
      <c r="K47" s="90"/>
      <c r="L47" s="89" t="str">
        <f t="shared" si="3"/>
        <v/>
      </c>
      <c r="M47" s="89"/>
      <c r="N47" s="93">
        <f t="shared" si="5"/>
        <v>0</v>
      </c>
      <c r="O47" s="94">
        <f t="shared" si="6"/>
        <v>0</v>
      </c>
      <c r="P47" s="87"/>
      <c r="Q47" s="87"/>
      <c r="R47" s="89" t="str">
        <f t="shared" si="7"/>
        <v/>
      </c>
      <c r="S47" s="90"/>
      <c r="T47" s="89" t="str">
        <f t="shared" si="8"/>
        <v/>
      </c>
      <c r="U47" s="95"/>
      <c r="V47" s="87"/>
      <c r="W47" s="87"/>
      <c r="X47" s="89" t="str">
        <f t="shared" si="9"/>
        <v/>
      </c>
      <c r="Y47" s="90"/>
      <c r="Z47" s="89" t="str">
        <f t="shared" si="10"/>
        <v/>
      </c>
      <c r="AA47" s="95"/>
      <c r="AB47" s="88" t="str">
        <f t="shared" si="27"/>
        <v/>
      </c>
      <c r="AC47" s="87"/>
      <c r="AD47" s="89" t="str">
        <f t="shared" si="11"/>
        <v/>
      </c>
      <c r="AE47" s="90"/>
      <c r="AF47" s="89" t="str">
        <f t="shared" si="12"/>
        <v/>
      </c>
      <c r="AG47" s="96"/>
      <c r="AH47" s="88" t="str">
        <f t="shared" si="13"/>
        <v/>
      </c>
      <c r="AI47" s="87"/>
      <c r="AJ47" s="89" t="str">
        <f t="shared" si="14"/>
        <v/>
      </c>
      <c r="AK47" s="90"/>
      <c r="AL47" s="89" t="str">
        <f t="shared" si="15"/>
        <v/>
      </c>
      <c r="AM47" s="89"/>
      <c r="AN47" s="93">
        <f t="shared" si="17"/>
        <v>0</v>
      </c>
      <c r="AO47" s="94">
        <f t="shared" si="18"/>
        <v>0</v>
      </c>
      <c r="AP47" s="87"/>
      <c r="AQ47" s="87"/>
      <c r="AR47" s="89" t="str">
        <f t="shared" si="19"/>
        <v/>
      </c>
      <c r="AS47" s="90"/>
      <c r="AT47" s="89" t="str">
        <f t="shared" si="20"/>
        <v/>
      </c>
      <c r="AU47" s="95"/>
      <c r="AV47" s="87"/>
      <c r="AW47" s="87"/>
      <c r="AX47" s="89" t="str">
        <f t="shared" si="21"/>
        <v/>
      </c>
      <c r="AY47" s="90"/>
      <c r="AZ47" s="89" t="str">
        <f t="shared" si="22"/>
        <v/>
      </c>
      <c r="BA47" s="95"/>
      <c r="BB47" s="88" t="str">
        <f t="shared" si="28"/>
        <v/>
      </c>
      <c r="BC47" s="87"/>
      <c r="BD47" s="89" t="str">
        <f t="shared" si="23"/>
        <v/>
      </c>
      <c r="BE47" s="90"/>
      <c r="BF47" s="89" t="str">
        <f t="shared" si="24"/>
        <v/>
      </c>
      <c r="BG47" s="96"/>
    </row>
    <row r="48">
      <c r="A48" s="87"/>
      <c r="B48" s="87"/>
      <c r="C48" s="87"/>
      <c r="D48" s="87"/>
      <c r="E48" s="87"/>
      <c r="F48" s="87"/>
      <c r="G48" s="87"/>
      <c r="H48" s="88" t="str">
        <f t="shared" si="1"/>
        <v/>
      </c>
      <c r="I48" s="87"/>
      <c r="J48" s="89" t="str">
        <f t="shared" si="2"/>
        <v/>
      </c>
      <c r="K48" s="90"/>
      <c r="L48" s="89" t="str">
        <f t="shared" si="3"/>
        <v/>
      </c>
      <c r="M48" s="89"/>
      <c r="N48" s="93">
        <f t="shared" si="5"/>
        <v>0</v>
      </c>
      <c r="O48" s="94">
        <f t="shared" si="6"/>
        <v>0</v>
      </c>
      <c r="P48" s="87"/>
      <c r="Q48" s="87"/>
      <c r="R48" s="89" t="str">
        <f t="shared" si="7"/>
        <v/>
      </c>
      <c r="S48" s="90"/>
      <c r="T48" s="89" t="str">
        <f t="shared" si="8"/>
        <v/>
      </c>
      <c r="U48" s="95"/>
      <c r="V48" s="87"/>
      <c r="W48" s="87"/>
      <c r="X48" s="89" t="str">
        <f t="shared" si="9"/>
        <v/>
      </c>
      <c r="Y48" s="90"/>
      <c r="Z48" s="89" t="str">
        <f t="shared" si="10"/>
        <v/>
      </c>
      <c r="AA48" s="95"/>
      <c r="AB48" s="88" t="str">
        <f t="shared" si="27"/>
        <v/>
      </c>
      <c r="AC48" s="87"/>
      <c r="AD48" s="89" t="str">
        <f t="shared" si="11"/>
        <v/>
      </c>
      <c r="AE48" s="90"/>
      <c r="AF48" s="89" t="str">
        <f t="shared" si="12"/>
        <v/>
      </c>
      <c r="AG48" s="96"/>
      <c r="AH48" s="88" t="str">
        <f t="shared" si="13"/>
        <v/>
      </c>
      <c r="AI48" s="87"/>
      <c r="AJ48" s="89" t="str">
        <f t="shared" si="14"/>
        <v/>
      </c>
      <c r="AK48" s="90"/>
      <c r="AL48" s="89" t="str">
        <f t="shared" si="15"/>
        <v/>
      </c>
      <c r="AM48" s="89"/>
      <c r="AN48" s="93">
        <f t="shared" si="17"/>
        <v>0</v>
      </c>
      <c r="AO48" s="94">
        <f t="shared" si="18"/>
        <v>0</v>
      </c>
      <c r="AP48" s="87"/>
      <c r="AQ48" s="87"/>
      <c r="AR48" s="89" t="str">
        <f t="shared" si="19"/>
        <v/>
      </c>
      <c r="AS48" s="90"/>
      <c r="AT48" s="89" t="str">
        <f t="shared" si="20"/>
        <v/>
      </c>
      <c r="AU48" s="95"/>
      <c r="AV48" s="87"/>
      <c r="AW48" s="87"/>
      <c r="AX48" s="89" t="str">
        <f t="shared" si="21"/>
        <v/>
      </c>
      <c r="AY48" s="90"/>
      <c r="AZ48" s="89" t="str">
        <f t="shared" si="22"/>
        <v/>
      </c>
      <c r="BA48" s="95"/>
      <c r="BB48" s="88" t="str">
        <f t="shared" si="28"/>
        <v/>
      </c>
      <c r="BC48" s="87"/>
      <c r="BD48" s="89" t="str">
        <f t="shared" si="23"/>
        <v/>
      </c>
      <c r="BE48" s="90"/>
      <c r="BF48" s="89" t="str">
        <f t="shared" si="24"/>
        <v/>
      </c>
      <c r="BG48" s="96"/>
    </row>
    <row r="49">
      <c r="A49" s="87"/>
      <c r="B49" s="87"/>
      <c r="C49" s="87"/>
      <c r="D49" s="87"/>
      <c r="E49" s="87"/>
      <c r="F49" s="87"/>
      <c r="G49" s="87"/>
      <c r="H49" s="88" t="str">
        <f t="shared" si="1"/>
        <v/>
      </c>
      <c r="I49" s="87"/>
      <c r="J49" s="89" t="str">
        <f t="shared" si="2"/>
        <v/>
      </c>
      <c r="K49" s="90"/>
      <c r="L49" s="89" t="str">
        <f t="shared" si="3"/>
        <v/>
      </c>
      <c r="M49" s="89"/>
      <c r="N49" s="93">
        <f t="shared" si="5"/>
        <v>0</v>
      </c>
      <c r="O49" s="94">
        <f t="shared" si="6"/>
        <v>0</v>
      </c>
      <c r="P49" s="87"/>
      <c r="Q49" s="87"/>
      <c r="R49" s="89" t="str">
        <f t="shared" si="7"/>
        <v/>
      </c>
      <c r="S49" s="90"/>
      <c r="T49" s="89" t="str">
        <f t="shared" si="8"/>
        <v/>
      </c>
      <c r="U49" s="95"/>
      <c r="V49" s="87"/>
      <c r="W49" s="87"/>
      <c r="X49" s="89" t="str">
        <f t="shared" si="9"/>
        <v/>
      </c>
      <c r="Y49" s="90"/>
      <c r="Z49" s="89" t="str">
        <f t="shared" si="10"/>
        <v/>
      </c>
      <c r="AA49" s="95"/>
      <c r="AB49" s="88" t="str">
        <f t="shared" si="27"/>
        <v/>
      </c>
      <c r="AC49" s="87"/>
      <c r="AD49" s="89" t="str">
        <f t="shared" si="11"/>
        <v/>
      </c>
      <c r="AE49" s="90"/>
      <c r="AF49" s="89" t="str">
        <f t="shared" si="12"/>
        <v/>
      </c>
      <c r="AG49" s="96"/>
      <c r="AH49" s="88" t="str">
        <f t="shared" si="13"/>
        <v/>
      </c>
      <c r="AI49" s="87"/>
      <c r="AJ49" s="89" t="str">
        <f t="shared" si="14"/>
        <v/>
      </c>
      <c r="AK49" s="90"/>
      <c r="AL49" s="89" t="str">
        <f t="shared" si="15"/>
        <v/>
      </c>
      <c r="AM49" s="89"/>
      <c r="AN49" s="93">
        <f t="shared" si="17"/>
        <v>0</v>
      </c>
      <c r="AO49" s="94">
        <f t="shared" si="18"/>
        <v>0</v>
      </c>
      <c r="AP49" s="87"/>
      <c r="AQ49" s="87"/>
      <c r="AR49" s="89" t="str">
        <f t="shared" si="19"/>
        <v/>
      </c>
      <c r="AS49" s="90"/>
      <c r="AT49" s="89" t="str">
        <f t="shared" si="20"/>
        <v/>
      </c>
      <c r="AU49" s="95"/>
      <c r="AV49" s="87"/>
      <c r="AW49" s="87"/>
      <c r="AX49" s="89" t="str">
        <f t="shared" si="21"/>
        <v/>
      </c>
      <c r="AY49" s="90"/>
      <c r="AZ49" s="89" t="str">
        <f t="shared" si="22"/>
        <v/>
      </c>
      <c r="BA49" s="95"/>
      <c r="BB49" s="88" t="str">
        <f t="shared" si="28"/>
        <v/>
      </c>
      <c r="BC49" s="87"/>
      <c r="BD49" s="89" t="str">
        <f t="shared" si="23"/>
        <v/>
      </c>
      <c r="BE49" s="90"/>
      <c r="BF49" s="89" t="str">
        <f t="shared" si="24"/>
        <v/>
      </c>
      <c r="BG49" s="96"/>
    </row>
    <row r="50">
      <c r="A50" s="87"/>
      <c r="B50" s="87"/>
      <c r="C50" s="87"/>
      <c r="D50" s="87"/>
      <c r="E50" s="87"/>
      <c r="F50" s="87"/>
      <c r="G50" s="87"/>
      <c r="H50" s="88" t="str">
        <f t="shared" si="1"/>
        <v/>
      </c>
      <c r="I50" s="87"/>
      <c r="J50" s="89" t="str">
        <f t="shared" si="2"/>
        <v/>
      </c>
      <c r="K50" s="90"/>
      <c r="L50" s="89" t="str">
        <f t="shared" si="3"/>
        <v/>
      </c>
      <c r="M50" s="89"/>
      <c r="N50" s="93">
        <f t="shared" si="5"/>
        <v>0</v>
      </c>
      <c r="O50" s="94">
        <f t="shared" si="6"/>
        <v>0</v>
      </c>
      <c r="P50" s="87"/>
      <c r="Q50" s="87"/>
      <c r="R50" s="89" t="str">
        <f t="shared" si="7"/>
        <v/>
      </c>
      <c r="S50" s="90"/>
      <c r="T50" s="89" t="str">
        <f t="shared" si="8"/>
        <v/>
      </c>
      <c r="U50" s="95"/>
      <c r="V50" s="87"/>
      <c r="W50" s="87"/>
      <c r="X50" s="89" t="str">
        <f t="shared" si="9"/>
        <v/>
      </c>
      <c r="Y50" s="90"/>
      <c r="Z50" s="89" t="str">
        <f t="shared" si="10"/>
        <v/>
      </c>
      <c r="AA50" s="95"/>
      <c r="AB50" s="88" t="str">
        <f t="shared" si="27"/>
        <v/>
      </c>
      <c r="AC50" s="87"/>
      <c r="AD50" s="89" t="str">
        <f t="shared" si="11"/>
        <v/>
      </c>
      <c r="AE50" s="90"/>
      <c r="AF50" s="89" t="str">
        <f t="shared" si="12"/>
        <v/>
      </c>
      <c r="AG50" s="96"/>
      <c r="AH50" s="88" t="str">
        <f t="shared" si="13"/>
        <v/>
      </c>
      <c r="AI50" s="87"/>
      <c r="AJ50" s="89" t="str">
        <f t="shared" si="14"/>
        <v/>
      </c>
      <c r="AK50" s="90"/>
      <c r="AL50" s="89" t="str">
        <f t="shared" si="15"/>
        <v/>
      </c>
      <c r="AM50" s="89"/>
      <c r="AN50" s="93">
        <f t="shared" si="17"/>
        <v>0</v>
      </c>
      <c r="AO50" s="94">
        <f t="shared" si="18"/>
        <v>0</v>
      </c>
      <c r="AP50" s="87"/>
      <c r="AQ50" s="87"/>
      <c r="AR50" s="89" t="str">
        <f t="shared" si="19"/>
        <v/>
      </c>
      <c r="AS50" s="90"/>
      <c r="AT50" s="89" t="str">
        <f t="shared" si="20"/>
        <v/>
      </c>
      <c r="AU50" s="95"/>
      <c r="AV50" s="87"/>
      <c r="AW50" s="87"/>
      <c r="AX50" s="89" t="str">
        <f t="shared" si="21"/>
        <v/>
      </c>
      <c r="AY50" s="90"/>
      <c r="AZ50" s="89" t="str">
        <f t="shared" si="22"/>
        <v/>
      </c>
      <c r="BA50" s="95"/>
      <c r="BB50" s="88" t="str">
        <f t="shared" si="28"/>
        <v/>
      </c>
      <c r="BC50" s="87"/>
      <c r="BD50" s="89" t="str">
        <f t="shared" si="23"/>
        <v/>
      </c>
      <c r="BE50" s="90"/>
      <c r="BF50" s="89" t="str">
        <f t="shared" si="24"/>
        <v/>
      </c>
      <c r="BG50" s="96"/>
    </row>
    <row r="51">
      <c r="A51" s="87"/>
      <c r="B51" s="87"/>
      <c r="C51" s="87"/>
      <c r="D51" s="87"/>
      <c r="E51" s="87"/>
      <c r="F51" s="87"/>
      <c r="G51" s="87"/>
      <c r="H51" s="88" t="str">
        <f t="shared" si="1"/>
        <v/>
      </c>
      <c r="I51" s="87"/>
      <c r="J51" s="89" t="str">
        <f t="shared" si="2"/>
        <v/>
      </c>
      <c r="K51" s="90"/>
      <c r="L51" s="89" t="str">
        <f t="shared" si="3"/>
        <v/>
      </c>
      <c r="M51" s="89"/>
      <c r="N51" s="93">
        <f t="shared" si="5"/>
        <v>0</v>
      </c>
      <c r="O51" s="94">
        <f t="shared" si="6"/>
        <v>0</v>
      </c>
      <c r="P51" s="87"/>
      <c r="Q51" s="87"/>
      <c r="R51" s="89" t="str">
        <f t="shared" si="7"/>
        <v/>
      </c>
      <c r="S51" s="90"/>
      <c r="T51" s="89" t="str">
        <f t="shared" si="8"/>
        <v/>
      </c>
      <c r="U51" s="95"/>
      <c r="V51" s="87"/>
      <c r="W51" s="87"/>
      <c r="X51" s="89" t="str">
        <f t="shared" si="9"/>
        <v/>
      </c>
      <c r="Y51" s="90"/>
      <c r="Z51" s="89" t="str">
        <f t="shared" si="10"/>
        <v/>
      </c>
      <c r="AA51" s="95"/>
      <c r="AB51" s="88" t="str">
        <f t="shared" si="27"/>
        <v/>
      </c>
      <c r="AC51" s="87"/>
      <c r="AD51" s="89" t="str">
        <f t="shared" si="11"/>
        <v/>
      </c>
      <c r="AE51" s="90"/>
      <c r="AF51" s="89" t="str">
        <f t="shared" si="12"/>
        <v/>
      </c>
      <c r="AG51" s="96"/>
      <c r="AH51" s="88" t="str">
        <f t="shared" si="13"/>
        <v/>
      </c>
      <c r="AI51" s="87"/>
      <c r="AJ51" s="89" t="str">
        <f t="shared" si="14"/>
        <v/>
      </c>
      <c r="AK51" s="90"/>
      <c r="AL51" s="89" t="str">
        <f t="shared" si="15"/>
        <v/>
      </c>
      <c r="AM51" s="89"/>
      <c r="AN51" s="93">
        <f t="shared" si="17"/>
        <v>0</v>
      </c>
      <c r="AO51" s="94">
        <f t="shared" si="18"/>
        <v>0</v>
      </c>
      <c r="AP51" s="87"/>
      <c r="AQ51" s="87"/>
      <c r="AR51" s="89" t="str">
        <f t="shared" si="19"/>
        <v/>
      </c>
      <c r="AS51" s="90"/>
      <c r="AT51" s="89" t="str">
        <f t="shared" si="20"/>
        <v/>
      </c>
      <c r="AU51" s="95"/>
      <c r="AV51" s="87"/>
      <c r="AW51" s="87"/>
      <c r="AX51" s="89" t="str">
        <f t="shared" si="21"/>
        <v/>
      </c>
      <c r="AY51" s="90"/>
      <c r="AZ51" s="89" t="str">
        <f t="shared" si="22"/>
        <v/>
      </c>
      <c r="BA51" s="95"/>
      <c r="BB51" s="88" t="str">
        <f t="shared" si="28"/>
        <v/>
      </c>
      <c r="BC51" s="87"/>
      <c r="BD51" s="89" t="str">
        <f t="shared" si="23"/>
        <v/>
      </c>
      <c r="BE51" s="90"/>
      <c r="BF51" s="89" t="str">
        <f t="shared" si="24"/>
        <v/>
      </c>
      <c r="BG51" s="96"/>
    </row>
    <row r="52">
      <c r="A52" s="87"/>
      <c r="B52" s="87"/>
      <c r="C52" s="87"/>
      <c r="D52" s="87"/>
      <c r="E52" s="87"/>
      <c r="F52" s="87"/>
      <c r="G52" s="87"/>
      <c r="H52" s="88" t="str">
        <f t="shared" si="1"/>
        <v/>
      </c>
      <c r="I52" s="87"/>
      <c r="J52" s="89" t="str">
        <f t="shared" si="2"/>
        <v/>
      </c>
      <c r="K52" s="90"/>
      <c r="L52" s="89" t="str">
        <f t="shared" si="3"/>
        <v/>
      </c>
      <c r="M52" s="89"/>
      <c r="N52" s="93">
        <f t="shared" si="5"/>
        <v>0</v>
      </c>
      <c r="O52" s="94">
        <f t="shared" si="6"/>
        <v>0</v>
      </c>
      <c r="P52" s="87"/>
      <c r="Q52" s="87"/>
      <c r="R52" s="89" t="str">
        <f t="shared" si="7"/>
        <v/>
      </c>
      <c r="S52" s="90"/>
      <c r="T52" s="89" t="str">
        <f t="shared" si="8"/>
        <v/>
      </c>
      <c r="U52" s="95"/>
      <c r="V52" s="87"/>
      <c r="W52" s="87"/>
      <c r="X52" s="89" t="str">
        <f t="shared" si="9"/>
        <v/>
      </c>
      <c r="Y52" s="90"/>
      <c r="Z52" s="89" t="str">
        <f t="shared" si="10"/>
        <v/>
      </c>
      <c r="AA52" s="95"/>
      <c r="AB52" s="88" t="str">
        <f t="shared" si="27"/>
        <v/>
      </c>
      <c r="AC52" s="87"/>
      <c r="AD52" s="89" t="str">
        <f t="shared" si="11"/>
        <v/>
      </c>
      <c r="AE52" s="90"/>
      <c r="AF52" s="89" t="str">
        <f t="shared" si="12"/>
        <v/>
      </c>
      <c r="AG52" s="96"/>
      <c r="AH52" s="88" t="str">
        <f t="shared" si="13"/>
        <v/>
      </c>
      <c r="AI52" s="87"/>
      <c r="AJ52" s="89" t="str">
        <f t="shared" si="14"/>
        <v/>
      </c>
      <c r="AK52" s="90"/>
      <c r="AL52" s="89" t="str">
        <f t="shared" si="15"/>
        <v/>
      </c>
      <c r="AM52" s="89"/>
      <c r="AN52" s="93">
        <f t="shared" si="17"/>
        <v>0</v>
      </c>
      <c r="AO52" s="94">
        <f t="shared" si="18"/>
        <v>0</v>
      </c>
      <c r="AP52" s="87"/>
      <c r="AQ52" s="87"/>
      <c r="AR52" s="89" t="str">
        <f t="shared" si="19"/>
        <v/>
      </c>
      <c r="AS52" s="90"/>
      <c r="AT52" s="89" t="str">
        <f t="shared" si="20"/>
        <v/>
      </c>
      <c r="AU52" s="95"/>
      <c r="AV52" s="87"/>
      <c r="AW52" s="87"/>
      <c r="AX52" s="89" t="str">
        <f t="shared" si="21"/>
        <v/>
      </c>
      <c r="AY52" s="90"/>
      <c r="AZ52" s="89" t="str">
        <f t="shared" si="22"/>
        <v/>
      </c>
      <c r="BA52" s="95"/>
      <c r="BB52" s="88" t="str">
        <f t="shared" si="28"/>
        <v/>
      </c>
      <c r="BC52" s="87"/>
      <c r="BD52" s="89" t="str">
        <f t="shared" si="23"/>
        <v/>
      </c>
      <c r="BE52" s="90"/>
      <c r="BF52" s="89" t="str">
        <f t="shared" si="24"/>
        <v/>
      </c>
      <c r="BG52" s="96"/>
    </row>
    <row r="53">
      <c r="A53" s="87"/>
      <c r="B53" s="87"/>
      <c r="C53" s="87"/>
      <c r="D53" s="87"/>
      <c r="E53" s="87"/>
      <c r="F53" s="87"/>
      <c r="G53" s="87"/>
      <c r="H53" s="88" t="str">
        <f t="shared" si="1"/>
        <v/>
      </c>
      <c r="I53" s="87"/>
      <c r="J53" s="89" t="str">
        <f t="shared" si="2"/>
        <v/>
      </c>
      <c r="K53" s="90"/>
      <c r="L53" s="89" t="str">
        <f t="shared" si="3"/>
        <v/>
      </c>
      <c r="M53" s="89"/>
      <c r="N53" s="93">
        <f t="shared" si="5"/>
        <v>0</v>
      </c>
      <c r="O53" s="94">
        <f t="shared" si="6"/>
        <v>0</v>
      </c>
      <c r="P53" s="87"/>
      <c r="Q53" s="87"/>
      <c r="R53" s="89" t="str">
        <f t="shared" si="7"/>
        <v/>
      </c>
      <c r="S53" s="90"/>
      <c r="T53" s="89" t="str">
        <f t="shared" si="8"/>
        <v/>
      </c>
      <c r="U53" s="95"/>
      <c r="V53" s="87"/>
      <c r="W53" s="87"/>
      <c r="X53" s="89" t="str">
        <f t="shared" si="9"/>
        <v/>
      </c>
      <c r="Y53" s="90"/>
      <c r="Z53" s="89" t="str">
        <f t="shared" si="10"/>
        <v/>
      </c>
      <c r="AA53" s="95"/>
      <c r="AB53" s="88" t="str">
        <f t="shared" si="27"/>
        <v/>
      </c>
      <c r="AC53" s="87"/>
      <c r="AD53" s="89" t="str">
        <f t="shared" si="11"/>
        <v/>
      </c>
      <c r="AE53" s="90"/>
      <c r="AF53" s="89" t="str">
        <f t="shared" si="12"/>
        <v/>
      </c>
      <c r="AG53" s="96"/>
      <c r="AH53" s="88" t="str">
        <f t="shared" si="13"/>
        <v/>
      </c>
      <c r="AI53" s="87"/>
      <c r="AJ53" s="89" t="str">
        <f t="shared" si="14"/>
        <v/>
      </c>
      <c r="AK53" s="90"/>
      <c r="AL53" s="89" t="str">
        <f t="shared" si="15"/>
        <v/>
      </c>
      <c r="AM53" s="89"/>
      <c r="AN53" s="93">
        <f t="shared" si="17"/>
        <v>0</v>
      </c>
      <c r="AO53" s="94">
        <f t="shared" si="18"/>
        <v>0</v>
      </c>
      <c r="AP53" s="87"/>
      <c r="AQ53" s="87"/>
      <c r="AR53" s="89" t="str">
        <f t="shared" si="19"/>
        <v/>
      </c>
      <c r="AS53" s="90"/>
      <c r="AT53" s="89" t="str">
        <f t="shared" si="20"/>
        <v/>
      </c>
      <c r="AU53" s="95"/>
      <c r="AV53" s="87"/>
      <c r="AW53" s="87"/>
      <c r="AX53" s="89" t="str">
        <f t="shared" si="21"/>
        <v/>
      </c>
      <c r="AY53" s="90"/>
      <c r="AZ53" s="89" t="str">
        <f t="shared" si="22"/>
        <v/>
      </c>
      <c r="BA53" s="95"/>
      <c r="BB53" s="88" t="str">
        <f t="shared" si="28"/>
        <v/>
      </c>
      <c r="BC53" s="87"/>
      <c r="BD53" s="89" t="str">
        <f t="shared" si="23"/>
        <v/>
      </c>
      <c r="BE53" s="90"/>
      <c r="BF53" s="89" t="str">
        <f t="shared" si="24"/>
        <v/>
      </c>
      <c r="BG53" s="96"/>
    </row>
    <row r="54">
      <c r="A54" s="87"/>
      <c r="B54" s="87"/>
      <c r="C54" s="87"/>
      <c r="D54" s="87"/>
      <c r="E54" s="87"/>
      <c r="F54" s="87"/>
      <c r="G54" s="87"/>
      <c r="H54" s="88" t="str">
        <f t="shared" si="1"/>
        <v/>
      </c>
      <c r="I54" s="87"/>
      <c r="J54" s="89" t="str">
        <f t="shared" si="2"/>
        <v/>
      </c>
      <c r="K54" s="90"/>
      <c r="L54" s="89" t="str">
        <f t="shared" si="3"/>
        <v/>
      </c>
      <c r="M54" s="89"/>
      <c r="N54" s="93">
        <f t="shared" si="5"/>
        <v>0</v>
      </c>
      <c r="O54" s="94">
        <f t="shared" si="6"/>
        <v>0</v>
      </c>
      <c r="P54" s="87"/>
      <c r="Q54" s="87"/>
      <c r="R54" s="89" t="str">
        <f t="shared" si="7"/>
        <v/>
      </c>
      <c r="S54" s="90"/>
      <c r="T54" s="89" t="str">
        <f t="shared" si="8"/>
        <v/>
      </c>
      <c r="U54" s="95"/>
      <c r="V54" s="87"/>
      <c r="W54" s="87"/>
      <c r="X54" s="89" t="str">
        <f t="shared" si="9"/>
        <v/>
      </c>
      <c r="Y54" s="90"/>
      <c r="Z54" s="89" t="str">
        <f t="shared" si="10"/>
        <v/>
      </c>
      <c r="AA54" s="95"/>
      <c r="AB54" s="88" t="str">
        <f t="shared" si="27"/>
        <v/>
      </c>
      <c r="AC54" s="87"/>
      <c r="AD54" s="89" t="str">
        <f t="shared" si="11"/>
        <v/>
      </c>
      <c r="AE54" s="90"/>
      <c r="AF54" s="89" t="str">
        <f t="shared" si="12"/>
        <v/>
      </c>
      <c r="AG54" s="96"/>
      <c r="AH54" s="88" t="str">
        <f t="shared" si="13"/>
        <v/>
      </c>
      <c r="AI54" s="87"/>
      <c r="AJ54" s="89" t="str">
        <f t="shared" si="14"/>
        <v/>
      </c>
      <c r="AK54" s="90"/>
      <c r="AL54" s="89" t="str">
        <f t="shared" si="15"/>
        <v/>
      </c>
      <c r="AM54" s="89"/>
      <c r="AN54" s="93">
        <f t="shared" si="17"/>
        <v>0</v>
      </c>
      <c r="AO54" s="94">
        <f t="shared" si="18"/>
        <v>0</v>
      </c>
      <c r="AP54" s="87"/>
      <c r="AQ54" s="87"/>
      <c r="AR54" s="89" t="str">
        <f t="shared" si="19"/>
        <v/>
      </c>
      <c r="AS54" s="90"/>
      <c r="AT54" s="89" t="str">
        <f t="shared" si="20"/>
        <v/>
      </c>
      <c r="AU54" s="95"/>
      <c r="AV54" s="87"/>
      <c r="AW54" s="87"/>
      <c r="AX54" s="89" t="str">
        <f t="shared" si="21"/>
        <v/>
      </c>
      <c r="AY54" s="90"/>
      <c r="AZ54" s="89" t="str">
        <f t="shared" si="22"/>
        <v/>
      </c>
      <c r="BA54" s="95"/>
      <c r="BB54" s="88" t="str">
        <f t="shared" si="28"/>
        <v/>
      </c>
      <c r="BC54" s="87"/>
      <c r="BD54" s="89" t="str">
        <f t="shared" si="23"/>
        <v/>
      </c>
      <c r="BE54" s="90"/>
      <c r="BF54" s="89" t="str">
        <f t="shared" si="24"/>
        <v/>
      </c>
      <c r="BG54" s="96"/>
    </row>
    <row r="55">
      <c r="A55" s="87"/>
      <c r="B55" s="87"/>
      <c r="C55" s="87"/>
      <c r="D55" s="87"/>
      <c r="E55" s="87"/>
      <c r="F55" s="87"/>
      <c r="G55" s="87"/>
      <c r="H55" s="88" t="str">
        <f t="shared" si="1"/>
        <v/>
      </c>
      <c r="I55" s="87"/>
      <c r="J55" s="89" t="str">
        <f t="shared" si="2"/>
        <v/>
      </c>
      <c r="K55" s="90"/>
      <c r="L55" s="89" t="str">
        <f t="shared" si="3"/>
        <v/>
      </c>
      <c r="M55" s="89"/>
      <c r="N55" s="93">
        <f t="shared" si="5"/>
        <v>0</v>
      </c>
      <c r="O55" s="94">
        <f t="shared" si="6"/>
        <v>0</v>
      </c>
      <c r="P55" s="87"/>
      <c r="Q55" s="87"/>
      <c r="R55" s="89" t="str">
        <f t="shared" si="7"/>
        <v/>
      </c>
      <c r="S55" s="90"/>
      <c r="T55" s="89" t="str">
        <f t="shared" si="8"/>
        <v/>
      </c>
      <c r="U55" s="95"/>
      <c r="V55" s="87"/>
      <c r="W55" s="87"/>
      <c r="X55" s="89" t="str">
        <f t="shared" si="9"/>
        <v/>
      </c>
      <c r="Y55" s="90"/>
      <c r="Z55" s="89" t="str">
        <f t="shared" si="10"/>
        <v/>
      </c>
      <c r="AA55" s="95"/>
      <c r="AB55" s="88" t="str">
        <f t="shared" si="27"/>
        <v/>
      </c>
      <c r="AC55" s="87"/>
      <c r="AD55" s="89" t="str">
        <f t="shared" si="11"/>
        <v/>
      </c>
      <c r="AE55" s="90"/>
      <c r="AF55" s="89" t="str">
        <f t="shared" si="12"/>
        <v/>
      </c>
      <c r="AG55" s="96"/>
      <c r="AH55" s="88" t="str">
        <f t="shared" si="13"/>
        <v/>
      </c>
      <c r="AI55" s="87"/>
      <c r="AJ55" s="89" t="str">
        <f t="shared" si="14"/>
        <v/>
      </c>
      <c r="AK55" s="90"/>
      <c r="AL55" s="89" t="str">
        <f t="shared" si="15"/>
        <v/>
      </c>
      <c r="AM55" s="89"/>
      <c r="AN55" s="93">
        <f t="shared" si="17"/>
        <v>0</v>
      </c>
      <c r="AO55" s="94">
        <f t="shared" si="18"/>
        <v>0</v>
      </c>
      <c r="AP55" s="87"/>
      <c r="AQ55" s="87"/>
      <c r="AR55" s="89" t="str">
        <f t="shared" si="19"/>
        <v/>
      </c>
      <c r="AS55" s="90"/>
      <c r="AT55" s="89" t="str">
        <f t="shared" si="20"/>
        <v/>
      </c>
      <c r="AU55" s="95"/>
      <c r="AV55" s="87"/>
      <c r="AW55" s="87"/>
      <c r="AX55" s="89" t="str">
        <f t="shared" si="21"/>
        <v/>
      </c>
      <c r="AY55" s="90"/>
      <c r="AZ55" s="89" t="str">
        <f t="shared" si="22"/>
        <v/>
      </c>
      <c r="BA55" s="95"/>
      <c r="BB55" s="88" t="str">
        <f t="shared" si="28"/>
        <v/>
      </c>
      <c r="BC55" s="87"/>
      <c r="BD55" s="89" t="str">
        <f t="shared" si="23"/>
        <v/>
      </c>
      <c r="BE55" s="90"/>
      <c r="BF55" s="89" t="str">
        <f t="shared" si="24"/>
        <v/>
      </c>
      <c r="BG55" s="96"/>
    </row>
    <row r="56">
      <c r="A56" s="87"/>
      <c r="B56" s="87"/>
      <c r="C56" s="87"/>
      <c r="D56" s="87"/>
      <c r="E56" s="87"/>
      <c r="F56" s="87"/>
      <c r="G56" s="87"/>
      <c r="H56" s="88" t="str">
        <f t="shared" si="1"/>
        <v/>
      </c>
      <c r="I56" s="87"/>
      <c r="J56" s="89" t="str">
        <f t="shared" si="2"/>
        <v/>
      </c>
      <c r="K56" s="90"/>
      <c r="L56" s="89" t="str">
        <f t="shared" si="3"/>
        <v/>
      </c>
      <c r="M56" s="89"/>
      <c r="N56" s="93">
        <f t="shared" si="5"/>
        <v>0</v>
      </c>
      <c r="O56" s="94">
        <f t="shared" si="6"/>
        <v>0</v>
      </c>
      <c r="P56" s="87"/>
      <c r="Q56" s="87"/>
      <c r="R56" s="89" t="str">
        <f t="shared" si="7"/>
        <v/>
      </c>
      <c r="S56" s="90"/>
      <c r="T56" s="89" t="str">
        <f t="shared" si="8"/>
        <v/>
      </c>
      <c r="U56" s="95"/>
      <c r="V56" s="87"/>
      <c r="W56" s="87"/>
      <c r="X56" s="89" t="str">
        <f t="shared" si="9"/>
        <v/>
      </c>
      <c r="Y56" s="90"/>
      <c r="Z56" s="89" t="str">
        <f t="shared" si="10"/>
        <v/>
      </c>
      <c r="AA56" s="95"/>
      <c r="AB56" s="88" t="str">
        <f t="shared" si="27"/>
        <v/>
      </c>
      <c r="AC56" s="87"/>
      <c r="AD56" s="89" t="str">
        <f t="shared" si="11"/>
        <v/>
      </c>
      <c r="AE56" s="90"/>
      <c r="AF56" s="89" t="str">
        <f t="shared" si="12"/>
        <v/>
      </c>
      <c r="AG56" s="96"/>
      <c r="AH56" s="88" t="str">
        <f t="shared" si="13"/>
        <v/>
      </c>
      <c r="AI56" s="87"/>
      <c r="AJ56" s="89" t="str">
        <f t="shared" si="14"/>
        <v/>
      </c>
      <c r="AK56" s="90"/>
      <c r="AL56" s="89" t="str">
        <f t="shared" si="15"/>
        <v/>
      </c>
      <c r="AM56" s="89"/>
      <c r="AN56" s="93">
        <f t="shared" si="17"/>
        <v>0</v>
      </c>
      <c r="AO56" s="94">
        <f t="shared" si="18"/>
        <v>0</v>
      </c>
      <c r="AP56" s="87"/>
      <c r="AQ56" s="87"/>
      <c r="AR56" s="89" t="str">
        <f t="shared" si="19"/>
        <v/>
      </c>
      <c r="AS56" s="90"/>
      <c r="AT56" s="89" t="str">
        <f t="shared" si="20"/>
        <v/>
      </c>
      <c r="AU56" s="95"/>
      <c r="AV56" s="87"/>
      <c r="AW56" s="87"/>
      <c r="AX56" s="89" t="str">
        <f t="shared" si="21"/>
        <v/>
      </c>
      <c r="AY56" s="90"/>
      <c r="AZ56" s="89" t="str">
        <f t="shared" si="22"/>
        <v/>
      </c>
      <c r="BA56" s="95"/>
      <c r="BB56" s="88" t="str">
        <f t="shared" si="28"/>
        <v/>
      </c>
      <c r="BC56" s="87"/>
      <c r="BD56" s="89" t="str">
        <f t="shared" si="23"/>
        <v/>
      </c>
      <c r="BE56" s="90"/>
      <c r="BF56" s="89" t="str">
        <f t="shared" si="24"/>
        <v/>
      </c>
      <c r="BG56" s="96"/>
    </row>
    <row r="57">
      <c r="A57" s="87"/>
      <c r="B57" s="87"/>
      <c r="C57" s="87"/>
      <c r="D57" s="87"/>
      <c r="E57" s="87"/>
      <c r="F57" s="87"/>
      <c r="G57" s="87"/>
      <c r="H57" s="88" t="str">
        <f t="shared" si="1"/>
        <v/>
      </c>
      <c r="I57" s="87"/>
      <c r="J57" s="89" t="str">
        <f t="shared" si="2"/>
        <v/>
      </c>
      <c r="K57" s="90"/>
      <c r="L57" s="89" t="str">
        <f t="shared" si="3"/>
        <v/>
      </c>
      <c r="M57" s="89"/>
      <c r="N57" s="93">
        <f t="shared" si="5"/>
        <v>0</v>
      </c>
      <c r="O57" s="94">
        <f t="shared" si="6"/>
        <v>0</v>
      </c>
      <c r="P57" s="87"/>
      <c r="Q57" s="87"/>
      <c r="R57" s="89" t="str">
        <f t="shared" si="7"/>
        <v/>
      </c>
      <c r="S57" s="90"/>
      <c r="T57" s="89" t="str">
        <f t="shared" si="8"/>
        <v/>
      </c>
      <c r="U57" s="95"/>
      <c r="V57" s="87"/>
      <c r="W57" s="87"/>
      <c r="X57" s="89" t="str">
        <f t="shared" si="9"/>
        <v/>
      </c>
      <c r="Y57" s="90"/>
      <c r="Z57" s="89" t="str">
        <f t="shared" si="10"/>
        <v/>
      </c>
      <c r="AA57" s="95"/>
      <c r="AB57" s="88" t="str">
        <f t="shared" si="27"/>
        <v/>
      </c>
      <c r="AC57" s="87"/>
      <c r="AD57" s="89" t="str">
        <f t="shared" si="11"/>
        <v/>
      </c>
      <c r="AE57" s="90"/>
      <c r="AF57" s="89" t="str">
        <f t="shared" si="12"/>
        <v/>
      </c>
      <c r="AG57" s="96"/>
      <c r="AH57" s="88" t="str">
        <f t="shared" si="13"/>
        <v/>
      </c>
      <c r="AI57" s="87"/>
      <c r="AJ57" s="89" t="str">
        <f t="shared" si="14"/>
        <v/>
      </c>
      <c r="AK57" s="90"/>
      <c r="AL57" s="89" t="str">
        <f t="shared" si="15"/>
        <v/>
      </c>
      <c r="AM57" s="89"/>
      <c r="AN57" s="93">
        <f t="shared" si="17"/>
        <v>0</v>
      </c>
      <c r="AO57" s="94">
        <f t="shared" si="18"/>
        <v>0</v>
      </c>
      <c r="AP57" s="87"/>
      <c r="AQ57" s="87"/>
      <c r="AR57" s="89" t="str">
        <f t="shared" si="19"/>
        <v/>
      </c>
      <c r="AS57" s="90"/>
      <c r="AT57" s="89" t="str">
        <f t="shared" si="20"/>
        <v/>
      </c>
      <c r="AU57" s="95"/>
      <c r="AV57" s="87"/>
      <c r="AW57" s="87"/>
      <c r="AX57" s="89" t="str">
        <f t="shared" si="21"/>
        <v/>
      </c>
      <c r="AY57" s="90"/>
      <c r="AZ57" s="89" t="str">
        <f t="shared" si="22"/>
        <v/>
      </c>
      <c r="BA57" s="95"/>
      <c r="BB57" s="88" t="str">
        <f t="shared" si="28"/>
        <v/>
      </c>
      <c r="BC57" s="87"/>
      <c r="BD57" s="89" t="str">
        <f t="shared" si="23"/>
        <v/>
      </c>
      <c r="BE57" s="90"/>
      <c r="BF57" s="89" t="str">
        <f t="shared" si="24"/>
        <v/>
      </c>
      <c r="BG57" s="96"/>
    </row>
    <row r="58">
      <c r="A58" s="87"/>
      <c r="B58" s="87"/>
      <c r="C58" s="87"/>
      <c r="D58" s="87"/>
      <c r="E58" s="87"/>
      <c r="F58" s="87"/>
      <c r="G58" s="87"/>
      <c r="H58" s="88" t="str">
        <f t="shared" si="1"/>
        <v/>
      </c>
      <c r="I58" s="87"/>
      <c r="J58" s="89" t="str">
        <f t="shared" si="2"/>
        <v/>
      </c>
      <c r="K58" s="90"/>
      <c r="L58" s="89" t="str">
        <f t="shared" si="3"/>
        <v/>
      </c>
      <c r="M58" s="89"/>
      <c r="N58" s="93">
        <f t="shared" si="5"/>
        <v>0</v>
      </c>
      <c r="O58" s="94">
        <f t="shared" si="6"/>
        <v>0</v>
      </c>
      <c r="P58" s="87"/>
      <c r="Q58" s="87"/>
      <c r="R58" s="89" t="str">
        <f t="shared" si="7"/>
        <v/>
      </c>
      <c r="S58" s="90"/>
      <c r="T58" s="89" t="str">
        <f t="shared" si="8"/>
        <v/>
      </c>
      <c r="U58" s="95"/>
      <c r="V58" s="87"/>
      <c r="W58" s="87"/>
      <c r="X58" s="89" t="str">
        <f t="shared" si="9"/>
        <v/>
      </c>
      <c r="Y58" s="90"/>
      <c r="Z58" s="89" t="str">
        <f t="shared" si="10"/>
        <v/>
      </c>
      <c r="AA58" s="95"/>
      <c r="AB58" s="88" t="str">
        <f t="shared" si="27"/>
        <v/>
      </c>
      <c r="AC58" s="87"/>
      <c r="AD58" s="89" t="str">
        <f t="shared" si="11"/>
        <v/>
      </c>
      <c r="AE58" s="90"/>
      <c r="AF58" s="89" t="str">
        <f t="shared" si="12"/>
        <v/>
      </c>
      <c r="AG58" s="96"/>
      <c r="AH58" s="88" t="str">
        <f t="shared" si="13"/>
        <v/>
      </c>
      <c r="AI58" s="87"/>
      <c r="AJ58" s="89" t="str">
        <f t="shared" si="14"/>
        <v/>
      </c>
      <c r="AK58" s="90"/>
      <c r="AL58" s="89" t="str">
        <f t="shared" si="15"/>
        <v/>
      </c>
      <c r="AM58" s="89"/>
      <c r="AN58" s="93">
        <f t="shared" si="17"/>
        <v>0</v>
      </c>
      <c r="AO58" s="94">
        <f t="shared" si="18"/>
        <v>0</v>
      </c>
      <c r="AP58" s="87"/>
      <c r="AQ58" s="87"/>
      <c r="AR58" s="89" t="str">
        <f t="shared" si="19"/>
        <v/>
      </c>
      <c r="AS58" s="90"/>
      <c r="AT58" s="89" t="str">
        <f t="shared" si="20"/>
        <v/>
      </c>
      <c r="AU58" s="95"/>
      <c r="AV58" s="87"/>
      <c r="AW58" s="87"/>
      <c r="AX58" s="89" t="str">
        <f t="shared" si="21"/>
        <v/>
      </c>
      <c r="AY58" s="90"/>
      <c r="AZ58" s="89" t="str">
        <f t="shared" si="22"/>
        <v/>
      </c>
      <c r="BA58" s="95"/>
      <c r="BB58" s="88" t="str">
        <f t="shared" si="28"/>
        <v/>
      </c>
      <c r="BC58" s="87"/>
      <c r="BD58" s="89" t="str">
        <f t="shared" si="23"/>
        <v/>
      </c>
      <c r="BE58" s="90"/>
      <c r="BF58" s="89" t="str">
        <f t="shared" si="24"/>
        <v/>
      </c>
      <c r="BG58" s="96"/>
    </row>
    <row r="59">
      <c r="A59" s="87"/>
      <c r="B59" s="87"/>
      <c r="C59" s="87"/>
      <c r="D59" s="87"/>
      <c r="E59" s="87"/>
      <c r="F59" s="87"/>
      <c r="G59" s="87"/>
      <c r="H59" s="88" t="str">
        <f t="shared" si="1"/>
        <v/>
      </c>
      <c r="I59" s="87"/>
      <c r="J59" s="89" t="str">
        <f t="shared" si="2"/>
        <v/>
      </c>
      <c r="K59" s="90"/>
      <c r="L59" s="89" t="str">
        <f t="shared" si="3"/>
        <v/>
      </c>
      <c r="M59" s="89"/>
      <c r="N59" s="93">
        <f t="shared" si="5"/>
        <v>0</v>
      </c>
      <c r="O59" s="94">
        <f t="shared" si="6"/>
        <v>0</v>
      </c>
      <c r="P59" s="87"/>
      <c r="Q59" s="87"/>
      <c r="R59" s="89" t="str">
        <f t="shared" si="7"/>
        <v/>
      </c>
      <c r="S59" s="90"/>
      <c r="T59" s="89" t="str">
        <f t="shared" si="8"/>
        <v/>
      </c>
      <c r="U59" s="95"/>
      <c r="V59" s="87"/>
      <c r="W59" s="87"/>
      <c r="X59" s="89" t="str">
        <f t="shared" si="9"/>
        <v/>
      </c>
      <c r="Y59" s="90"/>
      <c r="Z59" s="89" t="str">
        <f t="shared" si="10"/>
        <v/>
      </c>
      <c r="AA59" s="95"/>
      <c r="AB59" s="88" t="str">
        <f t="shared" si="27"/>
        <v/>
      </c>
      <c r="AC59" s="87"/>
      <c r="AD59" s="89" t="str">
        <f t="shared" si="11"/>
        <v/>
      </c>
      <c r="AE59" s="90"/>
      <c r="AF59" s="89" t="str">
        <f t="shared" si="12"/>
        <v/>
      </c>
      <c r="AG59" s="96"/>
      <c r="AH59" s="88" t="str">
        <f t="shared" si="13"/>
        <v/>
      </c>
      <c r="AI59" s="87"/>
      <c r="AJ59" s="89" t="str">
        <f t="shared" si="14"/>
        <v/>
      </c>
      <c r="AK59" s="90"/>
      <c r="AL59" s="89" t="str">
        <f t="shared" si="15"/>
        <v/>
      </c>
      <c r="AM59" s="89"/>
      <c r="AN59" s="93">
        <f t="shared" si="17"/>
        <v>0</v>
      </c>
      <c r="AO59" s="94">
        <f t="shared" si="18"/>
        <v>0</v>
      </c>
      <c r="AP59" s="87"/>
      <c r="AQ59" s="87"/>
      <c r="AR59" s="89" t="str">
        <f t="shared" si="19"/>
        <v/>
      </c>
      <c r="AS59" s="90"/>
      <c r="AT59" s="89" t="str">
        <f t="shared" si="20"/>
        <v/>
      </c>
      <c r="AU59" s="95"/>
      <c r="AV59" s="87"/>
      <c r="AW59" s="87"/>
      <c r="AX59" s="89" t="str">
        <f t="shared" si="21"/>
        <v/>
      </c>
      <c r="AY59" s="90"/>
      <c r="AZ59" s="89" t="str">
        <f t="shared" si="22"/>
        <v/>
      </c>
      <c r="BA59" s="95"/>
      <c r="BB59" s="88" t="str">
        <f t="shared" si="28"/>
        <v/>
      </c>
      <c r="BC59" s="87"/>
      <c r="BD59" s="89" t="str">
        <f t="shared" si="23"/>
        <v/>
      </c>
      <c r="BE59" s="90"/>
      <c r="BF59" s="89" t="str">
        <f t="shared" si="24"/>
        <v/>
      </c>
      <c r="BG59" s="96"/>
    </row>
    <row r="60">
      <c r="A60" s="87"/>
      <c r="B60" s="87"/>
      <c r="C60" s="87"/>
      <c r="D60" s="87"/>
      <c r="E60" s="87"/>
      <c r="F60" s="87"/>
      <c r="G60" s="87"/>
      <c r="H60" s="88" t="str">
        <f t="shared" si="1"/>
        <v/>
      </c>
      <c r="I60" s="87"/>
      <c r="J60" s="89" t="str">
        <f t="shared" si="2"/>
        <v/>
      </c>
      <c r="K60" s="90"/>
      <c r="L60" s="89" t="str">
        <f t="shared" si="3"/>
        <v/>
      </c>
      <c r="M60" s="89"/>
      <c r="N60" s="93">
        <f t="shared" si="5"/>
        <v>0</v>
      </c>
      <c r="O60" s="94">
        <f t="shared" si="6"/>
        <v>0</v>
      </c>
      <c r="P60" s="87"/>
      <c r="Q60" s="87"/>
      <c r="R60" s="89" t="str">
        <f t="shared" si="7"/>
        <v/>
      </c>
      <c r="S60" s="90"/>
      <c r="T60" s="89" t="str">
        <f t="shared" si="8"/>
        <v/>
      </c>
      <c r="U60" s="95"/>
      <c r="V60" s="87"/>
      <c r="W60" s="87"/>
      <c r="X60" s="89" t="str">
        <f t="shared" si="9"/>
        <v/>
      </c>
      <c r="Y60" s="90"/>
      <c r="Z60" s="89" t="str">
        <f t="shared" si="10"/>
        <v/>
      </c>
      <c r="AA60" s="95"/>
      <c r="AB60" s="88" t="str">
        <f t="shared" si="27"/>
        <v/>
      </c>
      <c r="AC60" s="87"/>
      <c r="AD60" s="89" t="str">
        <f t="shared" si="11"/>
        <v/>
      </c>
      <c r="AE60" s="90"/>
      <c r="AF60" s="89" t="str">
        <f t="shared" si="12"/>
        <v/>
      </c>
      <c r="AG60" s="96"/>
      <c r="AH60" s="88" t="str">
        <f t="shared" si="13"/>
        <v/>
      </c>
      <c r="AI60" s="87"/>
      <c r="AJ60" s="89" t="str">
        <f t="shared" si="14"/>
        <v/>
      </c>
      <c r="AK60" s="90"/>
      <c r="AL60" s="89" t="str">
        <f t="shared" si="15"/>
        <v/>
      </c>
      <c r="AM60" s="89"/>
      <c r="AN60" s="93">
        <f t="shared" si="17"/>
        <v>0</v>
      </c>
      <c r="AO60" s="94">
        <f t="shared" si="18"/>
        <v>0</v>
      </c>
      <c r="AP60" s="87"/>
      <c r="AQ60" s="87"/>
      <c r="AR60" s="89" t="str">
        <f t="shared" si="19"/>
        <v/>
      </c>
      <c r="AS60" s="90"/>
      <c r="AT60" s="89" t="str">
        <f t="shared" si="20"/>
        <v/>
      </c>
      <c r="AU60" s="95"/>
      <c r="AV60" s="87"/>
      <c r="AW60" s="87"/>
      <c r="AX60" s="89" t="str">
        <f t="shared" si="21"/>
        <v/>
      </c>
      <c r="AY60" s="90"/>
      <c r="AZ60" s="89" t="str">
        <f t="shared" si="22"/>
        <v/>
      </c>
      <c r="BA60" s="95"/>
      <c r="BB60" s="88" t="str">
        <f t="shared" si="28"/>
        <v/>
      </c>
      <c r="BC60" s="87"/>
      <c r="BD60" s="89" t="str">
        <f t="shared" si="23"/>
        <v/>
      </c>
      <c r="BE60" s="90"/>
      <c r="BF60" s="89" t="str">
        <f t="shared" si="24"/>
        <v/>
      </c>
      <c r="BG60" s="96"/>
    </row>
    <row r="61">
      <c r="A61" s="87"/>
      <c r="B61" s="87"/>
      <c r="C61" s="87"/>
      <c r="D61" s="87"/>
      <c r="E61" s="87"/>
      <c r="F61" s="87"/>
      <c r="G61" s="87"/>
      <c r="H61" s="88" t="str">
        <f t="shared" si="1"/>
        <v/>
      </c>
      <c r="I61" s="87"/>
      <c r="J61" s="89" t="str">
        <f t="shared" si="2"/>
        <v/>
      </c>
      <c r="K61" s="90"/>
      <c r="L61" s="89" t="str">
        <f t="shared" si="3"/>
        <v/>
      </c>
      <c r="M61" s="89"/>
      <c r="N61" s="93">
        <f t="shared" si="5"/>
        <v>0</v>
      </c>
      <c r="O61" s="94">
        <f t="shared" si="6"/>
        <v>0</v>
      </c>
      <c r="P61" s="87"/>
      <c r="Q61" s="87"/>
      <c r="R61" s="89" t="str">
        <f t="shared" si="7"/>
        <v/>
      </c>
      <c r="S61" s="90"/>
      <c r="T61" s="89" t="str">
        <f t="shared" si="8"/>
        <v/>
      </c>
      <c r="U61" s="95"/>
      <c r="V61" s="87"/>
      <c r="W61" s="87"/>
      <c r="X61" s="89" t="str">
        <f t="shared" si="9"/>
        <v/>
      </c>
      <c r="Y61" s="90"/>
      <c r="Z61" s="89" t="str">
        <f t="shared" si="10"/>
        <v/>
      </c>
      <c r="AA61" s="95"/>
      <c r="AB61" s="88" t="str">
        <f t="shared" si="27"/>
        <v/>
      </c>
      <c r="AC61" s="87"/>
      <c r="AD61" s="89" t="str">
        <f t="shared" si="11"/>
        <v/>
      </c>
      <c r="AE61" s="90"/>
      <c r="AF61" s="89" t="str">
        <f t="shared" si="12"/>
        <v/>
      </c>
      <c r="AG61" s="96"/>
      <c r="AH61" s="88" t="str">
        <f t="shared" si="13"/>
        <v/>
      </c>
      <c r="AI61" s="87"/>
      <c r="AJ61" s="89" t="str">
        <f t="shared" si="14"/>
        <v/>
      </c>
      <c r="AK61" s="90"/>
      <c r="AL61" s="89" t="str">
        <f t="shared" si="15"/>
        <v/>
      </c>
      <c r="AM61" s="89"/>
      <c r="AN61" s="93">
        <f t="shared" si="17"/>
        <v>0</v>
      </c>
      <c r="AO61" s="94">
        <f t="shared" si="18"/>
        <v>0</v>
      </c>
      <c r="AP61" s="87"/>
      <c r="AQ61" s="87"/>
      <c r="AR61" s="89" t="str">
        <f t="shared" si="19"/>
        <v/>
      </c>
      <c r="AS61" s="90"/>
      <c r="AT61" s="89" t="str">
        <f t="shared" si="20"/>
        <v/>
      </c>
      <c r="AU61" s="95"/>
      <c r="AV61" s="87"/>
      <c r="AW61" s="87"/>
      <c r="AX61" s="89" t="str">
        <f t="shared" si="21"/>
        <v/>
      </c>
      <c r="AY61" s="90"/>
      <c r="AZ61" s="89" t="str">
        <f t="shared" si="22"/>
        <v/>
      </c>
      <c r="BA61" s="95"/>
      <c r="BB61" s="88" t="str">
        <f t="shared" si="28"/>
        <v/>
      </c>
      <c r="BC61" s="87"/>
      <c r="BD61" s="89" t="str">
        <f t="shared" si="23"/>
        <v/>
      </c>
      <c r="BE61" s="90"/>
      <c r="BF61" s="89" t="str">
        <f t="shared" si="24"/>
        <v/>
      </c>
      <c r="BG61" s="96"/>
    </row>
    <row r="62">
      <c r="A62" s="87"/>
      <c r="B62" s="87"/>
      <c r="C62" s="87"/>
      <c r="D62" s="87"/>
      <c r="E62" s="87"/>
      <c r="F62" s="87"/>
      <c r="G62" s="87"/>
      <c r="H62" s="88" t="str">
        <f t="shared" si="1"/>
        <v/>
      </c>
      <c r="I62" s="87"/>
      <c r="J62" s="89" t="str">
        <f t="shared" si="2"/>
        <v/>
      </c>
      <c r="K62" s="90"/>
      <c r="L62" s="89" t="str">
        <f t="shared" si="3"/>
        <v/>
      </c>
      <c r="M62" s="89"/>
      <c r="N62" s="93">
        <f t="shared" si="5"/>
        <v>0</v>
      </c>
      <c r="O62" s="94">
        <f t="shared" si="6"/>
        <v>0</v>
      </c>
      <c r="P62" s="87"/>
      <c r="Q62" s="87"/>
      <c r="R62" s="89" t="str">
        <f t="shared" si="7"/>
        <v/>
      </c>
      <c r="S62" s="90"/>
      <c r="T62" s="89" t="str">
        <f t="shared" si="8"/>
        <v/>
      </c>
      <c r="U62" s="95"/>
      <c r="V62" s="87"/>
      <c r="W62" s="87"/>
      <c r="X62" s="89" t="str">
        <f t="shared" si="9"/>
        <v/>
      </c>
      <c r="Y62" s="90"/>
      <c r="Z62" s="89" t="str">
        <f t="shared" si="10"/>
        <v/>
      </c>
      <c r="AA62" s="95"/>
      <c r="AB62" s="88" t="str">
        <f t="shared" si="27"/>
        <v/>
      </c>
      <c r="AC62" s="87"/>
      <c r="AD62" s="89" t="str">
        <f t="shared" si="11"/>
        <v/>
      </c>
      <c r="AE62" s="90"/>
      <c r="AF62" s="89" t="str">
        <f t="shared" si="12"/>
        <v/>
      </c>
      <c r="AG62" s="96"/>
      <c r="AH62" s="88" t="str">
        <f t="shared" si="13"/>
        <v/>
      </c>
      <c r="AI62" s="87"/>
      <c r="AJ62" s="89" t="str">
        <f t="shared" si="14"/>
        <v/>
      </c>
      <c r="AK62" s="90"/>
      <c r="AL62" s="89" t="str">
        <f t="shared" si="15"/>
        <v/>
      </c>
      <c r="AM62" s="89"/>
      <c r="AN62" s="93">
        <f t="shared" si="17"/>
        <v>0</v>
      </c>
      <c r="AO62" s="94">
        <f t="shared" si="18"/>
        <v>0</v>
      </c>
      <c r="AP62" s="87"/>
      <c r="AQ62" s="87"/>
      <c r="AR62" s="89" t="str">
        <f t="shared" si="19"/>
        <v/>
      </c>
      <c r="AS62" s="90"/>
      <c r="AT62" s="89" t="str">
        <f t="shared" si="20"/>
        <v/>
      </c>
      <c r="AU62" s="95"/>
      <c r="AV62" s="87"/>
      <c r="AW62" s="87"/>
      <c r="AX62" s="89" t="str">
        <f t="shared" si="21"/>
        <v/>
      </c>
      <c r="AY62" s="90"/>
      <c r="AZ62" s="89" t="str">
        <f t="shared" si="22"/>
        <v/>
      </c>
      <c r="BA62" s="95"/>
      <c r="BB62" s="88" t="str">
        <f t="shared" si="28"/>
        <v/>
      </c>
      <c r="BC62" s="87"/>
      <c r="BD62" s="89" t="str">
        <f t="shared" si="23"/>
        <v/>
      </c>
      <c r="BE62" s="90"/>
      <c r="BF62" s="89" t="str">
        <f t="shared" si="24"/>
        <v/>
      </c>
      <c r="BG62" s="96"/>
    </row>
    <row r="63">
      <c r="A63" s="87"/>
      <c r="B63" s="87"/>
      <c r="C63" s="87"/>
      <c r="D63" s="87"/>
      <c r="E63" s="87"/>
      <c r="F63" s="87"/>
      <c r="G63" s="87"/>
      <c r="H63" s="88" t="str">
        <f t="shared" si="1"/>
        <v/>
      </c>
      <c r="I63" s="87"/>
      <c r="J63" s="89" t="str">
        <f t="shared" si="2"/>
        <v/>
      </c>
      <c r="K63" s="90"/>
      <c r="L63" s="89" t="str">
        <f t="shared" si="3"/>
        <v/>
      </c>
      <c r="M63" s="89"/>
      <c r="N63" s="93">
        <f t="shared" si="5"/>
        <v>0</v>
      </c>
      <c r="O63" s="94">
        <f t="shared" si="6"/>
        <v>0</v>
      </c>
      <c r="P63" s="87"/>
      <c r="Q63" s="87"/>
      <c r="R63" s="89" t="str">
        <f t="shared" si="7"/>
        <v/>
      </c>
      <c r="S63" s="90"/>
      <c r="T63" s="89" t="str">
        <f t="shared" si="8"/>
        <v/>
      </c>
      <c r="U63" s="95"/>
      <c r="V63" s="87"/>
      <c r="W63" s="87"/>
      <c r="X63" s="89" t="str">
        <f t="shared" si="9"/>
        <v/>
      </c>
      <c r="Y63" s="90"/>
      <c r="Z63" s="89" t="str">
        <f t="shared" si="10"/>
        <v/>
      </c>
      <c r="AA63" s="95"/>
      <c r="AB63" s="88" t="str">
        <f t="shared" si="27"/>
        <v/>
      </c>
      <c r="AC63" s="87"/>
      <c r="AD63" s="89" t="str">
        <f t="shared" si="11"/>
        <v/>
      </c>
      <c r="AE63" s="90"/>
      <c r="AF63" s="89" t="str">
        <f t="shared" si="12"/>
        <v/>
      </c>
      <c r="AG63" s="96"/>
      <c r="AH63" s="88" t="str">
        <f t="shared" si="13"/>
        <v/>
      </c>
      <c r="AI63" s="87"/>
      <c r="AJ63" s="89" t="str">
        <f t="shared" si="14"/>
        <v/>
      </c>
      <c r="AK63" s="90"/>
      <c r="AL63" s="89" t="str">
        <f t="shared" si="15"/>
        <v/>
      </c>
      <c r="AM63" s="89"/>
      <c r="AN63" s="93">
        <f t="shared" si="17"/>
        <v>0</v>
      </c>
      <c r="AO63" s="94">
        <f t="shared" si="18"/>
        <v>0</v>
      </c>
      <c r="AP63" s="87"/>
      <c r="AQ63" s="87"/>
      <c r="AR63" s="89" t="str">
        <f t="shared" si="19"/>
        <v/>
      </c>
      <c r="AS63" s="90"/>
      <c r="AT63" s="89" t="str">
        <f t="shared" si="20"/>
        <v/>
      </c>
      <c r="AU63" s="95"/>
      <c r="AV63" s="87"/>
      <c r="AW63" s="87"/>
      <c r="AX63" s="89" t="str">
        <f t="shared" si="21"/>
        <v/>
      </c>
      <c r="AY63" s="90"/>
      <c r="AZ63" s="89" t="str">
        <f t="shared" si="22"/>
        <v/>
      </c>
      <c r="BA63" s="95"/>
      <c r="BB63" s="88" t="str">
        <f t="shared" si="28"/>
        <v/>
      </c>
      <c r="BC63" s="87"/>
      <c r="BD63" s="89" t="str">
        <f t="shared" si="23"/>
        <v/>
      </c>
      <c r="BE63" s="90"/>
      <c r="BF63" s="89" t="str">
        <f t="shared" si="24"/>
        <v/>
      </c>
      <c r="BG63" s="96"/>
    </row>
    <row r="64">
      <c r="A64" s="87"/>
      <c r="B64" s="87"/>
      <c r="C64" s="87"/>
      <c r="D64" s="87"/>
      <c r="E64" s="87"/>
      <c r="F64" s="87"/>
      <c r="G64" s="87"/>
      <c r="H64" s="88" t="str">
        <f t="shared" si="1"/>
        <v/>
      </c>
      <c r="I64" s="87"/>
      <c r="J64" s="89" t="str">
        <f t="shared" si="2"/>
        <v/>
      </c>
      <c r="K64" s="90"/>
      <c r="L64" s="89" t="str">
        <f t="shared" si="3"/>
        <v/>
      </c>
      <c r="M64" s="89"/>
      <c r="N64" s="93">
        <f t="shared" si="5"/>
        <v>0</v>
      </c>
      <c r="O64" s="94">
        <f t="shared" si="6"/>
        <v>0</v>
      </c>
      <c r="P64" s="87"/>
      <c r="Q64" s="87"/>
      <c r="R64" s="89" t="str">
        <f t="shared" si="7"/>
        <v/>
      </c>
      <c r="S64" s="90"/>
      <c r="T64" s="89" t="str">
        <f t="shared" si="8"/>
        <v/>
      </c>
      <c r="U64" s="95"/>
      <c r="V64" s="87"/>
      <c r="W64" s="87"/>
      <c r="X64" s="89" t="str">
        <f t="shared" si="9"/>
        <v/>
      </c>
      <c r="Y64" s="90"/>
      <c r="Z64" s="89" t="str">
        <f t="shared" si="10"/>
        <v/>
      </c>
      <c r="AA64" s="95"/>
      <c r="AB64" s="88" t="str">
        <f t="shared" si="27"/>
        <v/>
      </c>
      <c r="AC64" s="87"/>
      <c r="AD64" s="89" t="str">
        <f t="shared" si="11"/>
        <v/>
      </c>
      <c r="AE64" s="90"/>
      <c r="AF64" s="89" t="str">
        <f t="shared" si="12"/>
        <v/>
      </c>
      <c r="AG64" s="96"/>
      <c r="AH64" s="88" t="str">
        <f t="shared" si="13"/>
        <v/>
      </c>
      <c r="AI64" s="87"/>
      <c r="AJ64" s="89" t="str">
        <f t="shared" si="14"/>
        <v/>
      </c>
      <c r="AK64" s="90"/>
      <c r="AL64" s="89" t="str">
        <f t="shared" si="15"/>
        <v/>
      </c>
      <c r="AM64" s="89"/>
      <c r="AN64" s="93">
        <f t="shared" si="17"/>
        <v>0</v>
      </c>
      <c r="AO64" s="94">
        <f t="shared" si="18"/>
        <v>0</v>
      </c>
      <c r="AP64" s="87"/>
      <c r="AQ64" s="87"/>
      <c r="AR64" s="89" t="str">
        <f t="shared" si="19"/>
        <v/>
      </c>
      <c r="AS64" s="90"/>
      <c r="AT64" s="89" t="str">
        <f t="shared" si="20"/>
        <v/>
      </c>
      <c r="AU64" s="95"/>
      <c r="AV64" s="87"/>
      <c r="AW64" s="87"/>
      <c r="AX64" s="89" t="str">
        <f t="shared" si="21"/>
        <v/>
      </c>
      <c r="AY64" s="90"/>
      <c r="AZ64" s="89" t="str">
        <f t="shared" si="22"/>
        <v/>
      </c>
      <c r="BA64" s="95"/>
      <c r="BB64" s="88" t="str">
        <f t="shared" si="28"/>
        <v/>
      </c>
      <c r="BC64" s="87"/>
      <c r="BD64" s="89" t="str">
        <f t="shared" si="23"/>
        <v/>
      </c>
      <c r="BE64" s="90"/>
      <c r="BF64" s="89" t="str">
        <f t="shared" si="24"/>
        <v/>
      </c>
      <c r="BG64" s="96"/>
    </row>
    <row r="65">
      <c r="A65" s="87"/>
      <c r="B65" s="87"/>
      <c r="C65" s="87"/>
      <c r="D65" s="87"/>
      <c r="E65" s="87"/>
      <c r="F65" s="87"/>
      <c r="G65" s="87"/>
      <c r="H65" s="88" t="str">
        <f t="shared" si="1"/>
        <v/>
      </c>
      <c r="I65" s="87"/>
      <c r="J65" s="89" t="str">
        <f t="shared" si="2"/>
        <v/>
      </c>
      <c r="K65" s="90"/>
      <c r="L65" s="89" t="str">
        <f t="shared" si="3"/>
        <v/>
      </c>
      <c r="M65" s="89"/>
      <c r="N65" s="93">
        <f t="shared" si="5"/>
        <v>0</v>
      </c>
      <c r="O65" s="94">
        <f t="shared" si="6"/>
        <v>0</v>
      </c>
      <c r="P65" s="87"/>
      <c r="Q65" s="87"/>
      <c r="R65" s="89" t="str">
        <f t="shared" si="7"/>
        <v/>
      </c>
      <c r="S65" s="90"/>
      <c r="T65" s="89" t="str">
        <f t="shared" si="8"/>
        <v/>
      </c>
      <c r="U65" s="95"/>
      <c r="V65" s="87"/>
      <c r="W65" s="87"/>
      <c r="X65" s="89" t="str">
        <f t="shared" si="9"/>
        <v/>
      </c>
      <c r="Y65" s="90"/>
      <c r="Z65" s="89" t="str">
        <f t="shared" si="10"/>
        <v/>
      </c>
      <c r="AA65" s="95"/>
      <c r="AB65" s="88" t="str">
        <f t="shared" si="27"/>
        <v/>
      </c>
      <c r="AC65" s="87"/>
      <c r="AD65" s="89" t="str">
        <f t="shared" si="11"/>
        <v/>
      </c>
      <c r="AE65" s="90"/>
      <c r="AF65" s="89" t="str">
        <f t="shared" si="12"/>
        <v/>
      </c>
      <c r="AG65" s="96"/>
      <c r="AH65" s="88" t="str">
        <f t="shared" si="13"/>
        <v/>
      </c>
      <c r="AI65" s="87"/>
      <c r="AJ65" s="89" t="str">
        <f t="shared" si="14"/>
        <v/>
      </c>
      <c r="AK65" s="90"/>
      <c r="AL65" s="89" t="str">
        <f t="shared" si="15"/>
        <v/>
      </c>
      <c r="AM65" s="89"/>
      <c r="AN65" s="93">
        <f t="shared" si="17"/>
        <v>0</v>
      </c>
      <c r="AO65" s="94">
        <f t="shared" si="18"/>
        <v>0</v>
      </c>
      <c r="AP65" s="87"/>
      <c r="AQ65" s="87"/>
      <c r="AR65" s="89" t="str">
        <f t="shared" si="19"/>
        <v/>
      </c>
      <c r="AS65" s="90"/>
      <c r="AT65" s="89" t="str">
        <f t="shared" si="20"/>
        <v/>
      </c>
      <c r="AU65" s="95"/>
      <c r="AV65" s="87"/>
      <c r="AW65" s="87"/>
      <c r="AX65" s="89" t="str">
        <f t="shared" si="21"/>
        <v/>
      </c>
      <c r="AY65" s="90"/>
      <c r="AZ65" s="89" t="str">
        <f t="shared" si="22"/>
        <v/>
      </c>
      <c r="BA65" s="95"/>
      <c r="BB65" s="88" t="str">
        <f t="shared" si="28"/>
        <v/>
      </c>
      <c r="BC65" s="87"/>
      <c r="BD65" s="89" t="str">
        <f t="shared" si="23"/>
        <v/>
      </c>
      <c r="BE65" s="90"/>
      <c r="BF65" s="89" t="str">
        <f t="shared" si="24"/>
        <v/>
      </c>
      <c r="BG65" s="96"/>
    </row>
    <row r="66">
      <c r="A66" s="87"/>
      <c r="B66" s="87"/>
      <c r="C66" s="87"/>
      <c r="D66" s="87"/>
      <c r="E66" s="87"/>
      <c r="F66" s="87"/>
      <c r="G66" s="87"/>
      <c r="H66" s="88" t="str">
        <f t="shared" si="1"/>
        <v/>
      </c>
      <c r="I66" s="87"/>
      <c r="J66" s="89" t="str">
        <f t="shared" si="2"/>
        <v/>
      </c>
      <c r="K66" s="90"/>
      <c r="L66" s="89" t="str">
        <f t="shared" si="3"/>
        <v/>
      </c>
      <c r="M66" s="89"/>
      <c r="N66" s="93">
        <f t="shared" si="5"/>
        <v>0</v>
      </c>
      <c r="O66" s="94">
        <f t="shared" si="6"/>
        <v>0</v>
      </c>
      <c r="P66" s="87"/>
      <c r="Q66" s="87"/>
      <c r="R66" s="89" t="str">
        <f t="shared" si="7"/>
        <v/>
      </c>
      <c r="S66" s="90"/>
      <c r="T66" s="89" t="str">
        <f t="shared" si="8"/>
        <v/>
      </c>
      <c r="U66" s="95"/>
      <c r="V66" s="87"/>
      <c r="W66" s="87"/>
      <c r="X66" s="89" t="str">
        <f t="shared" si="9"/>
        <v/>
      </c>
      <c r="Y66" s="90"/>
      <c r="Z66" s="89" t="str">
        <f t="shared" si="10"/>
        <v/>
      </c>
      <c r="AA66" s="95"/>
      <c r="AB66" s="88" t="str">
        <f t="shared" si="27"/>
        <v/>
      </c>
      <c r="AC66" s="87"/>
      <c r="AD66" s="89" t="str">
        <f t="shared" si="11"/>
        <v/>
      </c>
      <c r="AE66" s="90"/>
      <c r="AF66" s="89" t="str">
        <f t="shared" si="12"/>
        <v/>
      </c>
      <c r="AG66" s="96"/>
      <c r="AH66" s="88" t="str">
        <f t="shared" si="13"/>
        <v/>
      </c>
      <c r="AI66" s="87"/>
      <c r="AJ66" s="89" t="str">
        <f t="shared" si="14"/>
        <v/>
      </c>
      <c r="AK66" s="90"/>
      <c r="AL66" s="89" t="str">
        <f t="shared" si="15"/>
        <v/>
      </c>
      <c r="AM66" s="89"/>
      <c r="AN66" s="93">
        <f t="shared" si="17"/>
        <v>0</v>
      </c>
      <c r="AO66" s="94">
        <f t="shared" si="18"/>
        <v>0</v>
      </c>
      <c r="AP66" s="87"/>
      <c r="AQ66" s="87"/>
      <c r="AR66" s="89" t="str">
        <f t="shared" si="19"/>
        <v/>
      </c>
      <c r="AS66" s="90"/>
      <c r="AT66" s="89" t="str">
        <f t="shared" si="20"/>
        <v/>
      </c>
      <c r="AU66" s="95"/>
      <c r="AV66" s="87"/>
      <c r="AW66" s="87"/>
      <c r="AX66" s="89" t="str">
        <f t="shared" si="21"/>
        <v/>
      </c>
      <c r="AY66" s="90"/>
      <c r="AZ66" s="89" t="str">
        <f t="shared" si="22"/>
        <v/>
      </c>
      <c r="BA66" s="95"/>
      <c r="BB66" s="88" t="str">
        <f t="shared" si="28"/>
        <v/>
      </c>
      <c r="BC66" s="87"/>
      <c r="BD66" s="89" t="str">
        <f t="shared" si="23"/>
        <v/>
      </c>
      <c r="BE66" s="90"/>
      <c r="BF66" s="89" t="str">
        <f t="shared" si="24"/>
        <v/>
      </c>
      <c r="BG66" s="96"/>
    </row>
    <row r="67">
      <c r="A67" s="87"/>
      <c r="B67" s="87"/>
      <c r="C67" s="87"/>
      <c r="D67" s="87"/>
      <c r="E67" s="87"/>
      <c r="F67" s="87"/>
      <c r="G67" s="87"/>
      <c r="H67" s="88" t="str">
        <f t="shared" si="1"/>
        <v/>
      </c>
      <c r="I67" s="87"/>
      <c r="J67" s="89" t="str">
        <f t="shared" si="2"/>
        <v/>
      </c>
      <c r="K67" s="90"/>
      <c r="L67" s="89" t="str">
        <f t="shared" si="3"/>
        <v/>
      </c>
      <c r="M67" s="89"/>
      <c r="N67" s="93">
        <f t="shared" si="5"/>
        <v>0</v>
      </c>
      <c r="O67" s="94">
        <f t="shared" si="6"/>
        <v>0</v>
      </c>
      <c r="P67" s="87"/>
      <c r="Q67" s="87"/>
      <c r="R67" s="89" t="str">
        <f t="shared" si="7"/>
        <v/>
      </c>
      <c r="S67" s="90"/>
      <c r="T67" s="89" t="str">
        <f t="shared" si="8"/>
        <v/>
      </c>
      <c r="U67" s="95"/>
      <c r="V67" s="87"/>
      <c r="W67" s="87"/>
      <c r="X67" s="89" t="str">
        <f t="shared" si="9"/>
        <v/>
      </c>
      <c r="Y67" s="90"/>
      <c r="Z67" s="89" t="str">
        <f t="shared" si="10"/>
        <v/>
      </c>
      <c r="AA67" s="95"/>
      <c r="AB67" s="88" t="str">
        <f t="shared" si="27"/>
        <v/>
      </c>
      <c r="AC67" s="87"/>
      <c r="AD67" s="89" t="str">
        <f t="shared" si="11"/>
        <v/>
      </c>
      <c r="AE67" s="90"/>
      <c r="AF67" s="89" t="str">
        <f t="shared" si="12"/>
        <v/>
      </c>
      <c r="AG67" s="96"/>
      <c r="AH67" s="88" t="str">
        <f t="shared" si="13"/>
        <v/>
      </c>
      <c r="AI67" s="87"/>
      <c r="AJ67" s="89" t="str">
        <f t="shared" si="14"/>
        <v/>
      </c>
      <c r="AK67" s="90"/>
      <c r="AL67" s="89" t="str">
        <f t="shared" si="15"/>
        <v/>
      </c>
      <c r="AM67" s="89"/>
      <c r="AN67" s="93">
        <f t="shared" si="17"/>
        <v>0</v>
      </c>
      <c r="AO67" s="94">
        <f t="shared" si="18"/>
        <v>0</v>
      </c>
      <c r="AP67" s="87"/>
      <c r="AQ67" s="87"/>
      <c r="AR67" s="89" t="str">
        <f t="shared" si="19"/>
        <v/>
      </c>
      <c r="AS67" s="90"/>
      <c r="AT67" s="89" t="str">
        <f t="shared" si="20"/>
        <v/>
      </c>
      <c r="AU67" s="95"/>
      <c r="AV67" s="87"/>
      <c r="AW67" s="87"/>
      <c r="AX67" s="89" t="str">
        <f t="shared" si="21"/>
        <v/>
      </c>
      <c r="AY67" s="90"/>
      <c r="AZ67" s="89" t="str">
        <f t="shared" si="22"/>
        <v/>
      </c>
      <c r="BA67" s="95"/>
      <c r="BB67" s="88" t="str">
        <f t="shared" si="28"/>
        <v/>
      </c>
      <c r="BC67" s="87"/>
      <c r="BD67" s="89" t="str">
        <f t="shared" si="23"/>
        <v/>
      </c>
      <c r="BE67" s="90"/>
      <c r="BF67" s="89" t="str">
        <f t="shared" si="24"/>
        <v/>
      </c>
      <c r="BG67" s="96"/>
    </row>
    <row r="68">
      <c r="A68" s="87"/>
      <c r="B68" s="87"/>
      <c r="C68" s="87"/>
      <c r="D68" s="87"/>
      <c r="E68" s="87"/>
      <c r="F68" s="87"/>
      <c r="G68" s="87"/>
      <c r="H68" s="88" t="str">
        <f t="shared" si="1"/>
        <v/>
      </c>
      <c r="I68" s="87"/>
      <c r="J68" s="89" t="str">
        <f t="shared" si="2"/>
        <v/>
      </c>
      <c r="K68" s="90"/>
      <c r="L68" s="89" t="str">
        <f t="shared" si="3"/>
        <v/>
      </c>
      <c r="M68" s="89"/>
      <c r="N68" s="93">
        <f t="shared" si="5"/>
        <v>0</v>
      </c>
      <c r="O68" s="94">
        <f t="shared" si="6"/>
        <v>0</v>
      </c>
      <c r="P68" s="87"/>
      <c r="Q68" s="87"/>
      <c r="R68" s="89" t="str">
        <f t="shared" si="7"/>
        <v/>
      </c>
      <c r="S68" s="90"/>
      <c r="T68" s="89" t="str">
        <f t="shared" si="8"/>
        <v/>
      </c>
      <c r="U68" s="95"/>
      <c r="V68" s="87"/>
      <c r="W68" s="87"/>
      <c r="X68" s="89" t="str">
        <f t="shared" si="9"/>
        <v/>
      </c>
      <c r="Y68" s="90"/>
      <c r="Z68" s="89" t="str">
        <f t="shared" si="10"/>
        <v/>
      </c>
      <c r="AA68" s="95"/>
      <c r="AB68" s="88" t="str">
        <f t="shared" si="27"/>
        <v/>
      </c>
      <c r="AC68" s="87"/>
      <c r="AD68" s="89" t="str">
        <f t="shared" si="11"/>
        <v/>
      </c>
      <c r="AE68" s="90"/>
      <c r="AF68" s="89" t="str">
        <f t="shared" si="12"/>
        <v/>
      </c>
      <c r="AG68" s="96"/>
      <c r="AH68" s="88" t="str">
        <f t="shared" si="13"/>
        <v/>
      </c>
      <c r="AI68" s="87"/>
      <c r="AJ68" s="89" t="str">
        <f t="shared" si="14"/>
        <v/>
      </c>
      <c r="AK68" s="90"/>
      <c r="AL68" s="89" t="str">
        <f t="shared" si="15"/>
        <v/>
      </c>
      <c r="AM68" s="89"/>
      <c r="AN68" s="93">
        <f t="shared" si="17"/>
        <v>0</v>
      </c>
      <c r="AO68" s="94">
        <f t="shared" si="18"/>
        <v>0</v>
      </c>
      <c r="AP68" s="87"/>
      <c r="AQ68" s="87"/>
      <c r="AR68" s="89" t="str">
        <f t="shared" si="19"/>
        <v/>
      </c>
      <c r="AS68" s="90"/>
      <c r="AT68" s="89" t="str">
        <f t="shared" si="20"/>
        <v/>
      </c>
      <c r="AU68" s="95"/>
      <c r="AV68" s="87"/>
      <c r="AW68" s="87"/>
      <c r="AX68" s="89" t="str">
        <f t="shared" si="21"/>
        <v/>
      </c>
      <c r="AY68" s="90"/>
      <c r="AZ68" s="89" t="str">
        <f t="shared" si="22"/>
        <v/>
      </c>
      <c r="BA68" s="95"/>
      <c r="BB68" s="88" t="str">
        <f t="shared" si="28"/>
        <v/>
      </c>
      <c r="BC68" s="87"/>
      <c r="BD68" s="89" t="str">
        <f t="shared" si="23"/>
        <v/>
      </c>
      <c r="BE68" s="90"/>
      <c r="BF68" s="89" t="str">
        <f t="shared" si="24"/>
        <v/>
      </c>
      <c r="BG68" s="96"/>
    </row>
    <row r="69">
      <c r="A69" s="87"/>
      <c r="B69" s="87"/>
      <c r="C69" s="87"/>
      <c r="D69" s="87"/>
      <c r="E69" s="87"/>
      <c r="F69" s="87"/>
      <c r="G69" s="87"/>
      <c r="H69" s="88" t="str">
        <f t="shared" si="1"/>
        <v/>
      </c>
      <c r="I69" s="87"/>
      <c r="J69" s="89" t="str">
        <f t="shared" si="2"/>
        <v/>
      </c>
      <c r="K69" s="90"/>
      <c r="L69" s="89" t="str">
        <f t="shared" si="3"/>
        <v/>
      </c>
      <c r="M69" s="89"/>
      <c r="N69" s="93">
        <f t="shared" si="5"/>
        <v>0</v>
      </c>
      <c r="O69" s="94">
        <f t="shared" si="6"/>
        <v>0</v>
      </c>
      <c r="P69" s="87"/>
      <c r="Q69" s="87"/>
      <c r="R69" s="89" t="str">
        <f t="shared" si="7"/>
        <v/>
      </c>
      <c r="S69" s="90"/>
      <c r="T69" s="89" t="str">
        <f t="shared" si="8"/>
        <v/>
      </c>
      <c r="U69" s="95"/>
      <c r="V69" s="87"/>
      <c r="W69" s="87"/>
      <c r="X69" s="89" t="str">
        <f t="shared" si="9"/>
        <v/>
      </c>
      <c r="Y69" s="90"/>
      <c r="Z69" s="89" t="str">
        <f t="shared" si="10"/>
        <v/>
      </c>
      <c r="AA69" s="95"/>
      <c r="AB69" s="88" t="str">
        <f t="shared" si="27"/>
        <v/>
      </c>
      <c r="AC69" s="87"/>
      <c r="AD69" s="89" t="str">
        <f t="shared" si="11"/>
        <v/>
      </c>
      <c r="AE69" s="90"/>
      <c r="AF69" s="89" t="str">
        <f t="shared" si="12"/>
        <v/>
      </c>
      <c r="AG69" s="96"/>
      <c r="AH69" s="88" t="str">
        <f t="shared" si="13"/>
        <v/>
      </c>
      <c r="AI69" s="87"/>
      <c r="AJ69" s="89" t="str">
        <f t="shared" si="14"/>
        <v/>
      </c>
      <c r="AK69" s="90"/>
      <c r="AL69" s="89" t="str">
        <f t="shared" si="15"/>
        <v/>
      </c>
      <c r="AM69" s="89"/>
      <c r="AN69" s="93">
        <f t="shared" si="17"/>
        <v>0</v>
      </c>
      <c r="AO69" s="94">
        <f t="shared" si="18"/>
        <v>0</v>
      </c>
      <c r="AP69" s="87"/>
      <c r="AQ69" s="87"/>
      <c r="AR69" s="89" t="str">
        <f t="shared" si="19"/>
        <v/>
      </c>
      <c r="AS69" s="90"/>
      <c r="AT69" s="89" t="str">
        <f t="shared" si="20"/>
        <v/>
      </c>
      <c r="AU69" s="95"/>
      <c r="AV69" s="87"/>
      <c r="AW69" s="87"/>
      <c r="AX69" s="89" t="str">
        <f t="shared" si="21"/>
        <v/>
      </c>
      <c r="AY69" s="90"/>
      <c r="AZ69" s="89" t="str">
        <f t="shared" si="22"/>
        <v/>
      </c>
      <c r="BA69" s="95"/>
      <c r="BB69" s="88" t="str">
        <f t="shared" si="28"/>
        <v/>
      </c>
      <c r="BC69" s="87"/>
      <c r="BD69" s="89" t="str">
        <f t="shared" si="23"/>
        <v/>
      </c>
      <c r="BE69" s="90"/>
      <c r="BF69" s="89" t="str">
        <f t="shared" si="24"/>
        <v/>
      </c>
      <c r="BG69" s="96"/>
    </row>
    <row r="70">
      <c r="A70" s="87"/>
      <c r="B70" s="87"/>
      <c r="C70" s="87"/>
      <c r="D70" s="87"/>
      <c r="E70" s="87"/>
      <c r="F70" s="87"/>
      <c r="G70" s="87"/>
      <c r="H70" s="88" t="str">
        <f t="shared" si="1"/>
        <v/>
      </c>
      <c r="I70" s="87"/>
      <c r="J70" s="89" t="str">
        <f t="shared" si="2"/>
        <v/>
      </c>
      <c r="K70" s="90"/>
      <c r="L70" s="89" t="str">
        <f t="shared" si="3"/>
        <v/>
      </c>
      <c r="M70" s="89"/>
      <c r="N70" s="93">
        <f t="shared" si="5"/>
        <v>0</v>
      </c>
      <c r="O70" s="94">
        <f t="shared" si="6"/>
        <v>0</v>
      </c>
      <c r="P70" s="87"/>
      <c r="Q70" s="87"/>
      <c r="R70" s="89" t="str">
        <f t="shared" si="7"/>
        <v/>
      </c>
      <c r="S70" s="90"/>
      <c r="T70" s="89" t="str">
        <f t="shared" si="8"/>
        <v/>
      </c>
      <c r="U70" s="95"/>
      <c r="V70" s="87"/>
      <c r="W70" s="87"/>
      <c r="X70" s="89" t="str">
        <f t="shared" si="9"/>
        <v/>
      </c>
      <c r="Y70" s="90"/>
      <c r="Z70" s="89" t="str">
        <f t="shared" si="10"/>
        <v/>
      </c>
      <c r="AA70" s="95"/>
      <c r="AB70" s="88" t="str">
        <f t="shared" si="27"/>
        <v/>
      </c>
      <c r="AC70" s="87"/>
      <c r="AD70" s="89" t="str">
        <f t="shared" si="11"/>
        <v/>
      </c>
      <c r="AE70" s="90"/>
      <c r="AF70" s="89" t="str">
        <f t="shared" si="12"/>
        <v/>
      </c>
      <c r="AG70" s="96"/>
      <c r="AH70" s="88" t="str">
        <f t="shared" si="13"/>
        <v/>
      </c>
      <c r="AI70" s="87"/>
      <c r="AJ70" s="89" t="str">
        <f t="shared" si="14"/>
        <v/>
      </c>
      <c r="AK70" s="90"/>
      <c r="AL70" s="89" t="str">
        <f t="shared" si="15"/>
        <v/>
      </c>
      <c r="AM70" s="89"/>
      <c r="AN70" s="93">
        <f t="shared" si="17"/>
        <v>0</v>
      </c>
      <c r="AO70" s="94">
        <f t="shared" si="18"/>
        <v>0</v>
      </c>
      <c r="AP70" s="87"/>
      <c r="AQ70" s="87"/>
      <c r="AR70" s="89" t="str">
        <f t="shared" si="19"/>
        <v/>
      </c>
      <c r="AS70" s="90"/>
      <c r="AT70" s="89" t="str">
        <f t="shared" si="20"/>
        <v/>
      </c>
      <c r="AU70" s="95"/>
      <c r="AV70" s="87"/>
      <c r="AW70" s="87"/>
      <c r="AX70" s="89" t="str">
        <f t="shared" si="21"/>
        <v/>
      </c>
      <c r="AY70" s="90"/>
      <c r="AZ70" s="89" t="str">
        <f t="shared" si="22"/>
        <v/>
      </c>
      <c r="BA70" s="95"/>
      <c r="BB70" s="88" t="str">
        <f t="shared" si="28"/>
        <v/>
      </c>
      <c r="BC70" s="87"/>
      <c r="BD70" s="89" t="str">
        <f t="shared" si="23"/>
        <v/>
      </c>
      <c r="BE70" s="90"/>
      <c r="BF70" s="89" t="str">
        <f t="shared" si="24"/>
        <v/>
      </c>
      <c r="BG70" s="96"/>
    </row>
    <row r="71">
      <c r="A71" s="87"/>
      <c r="B71" s="87"/>
      <c r="C71" s="87"/>
      <c r="D71" s="87"/>
      <c r="E71" s="87"/>
      <c r="F71" s="87"/>
      <c r="G71" s="87"/>
      <c r="H71" s="88" t="str">
        <f t="shared" si="1"/>
        <v/>
      </c>
      <c r="I71" s="87"/>
      <c r="J71" s="89" t="str">
        <f t="shared" si="2"/>
        <v/>
      </c>
      <c r="K71" s="90"/>
      <c r="L71" s="89" t="str">
        <f t="shared" si="3"/>
        <v/>
      </c>
      <c r="M71" s="89"/>
      <c r="N71" s="93">
        <f t="shared" si="5"/>
        <v>0</v>
      </c>
      <c r="O71" s="94">
        <f t="shared" si="6"/>
        <v>0</v>
      </c>
      <c r="P71" s="87"/>
      <c r="Q71" s="87"/>
      <c r="R71" s="89" t="str">
        <f t="shared" si="7"/>
        <v/>
      </c>
      <c r="S71" s="90"/>
      <c r="T71" s="89" t="str">
        <f t="shared" si="8"/>
        <v/>
      </c>
      <c r="U71" s="95"/>
      <c r="V71" s="87"/>
      <c r="W71" s="87"/>
      <c r="X71" s="89" t="str">
        <f t="shared" si="9"/>
        <v/>
      </c>
      <c r="Y71" s="90"/>
      <c r="Z71" s="89" t="str">
        <f t="shared" si="10"/>
        <v/>
      </c>
      <c r="AA71" s="95"/>
      <c r="AB71" s="88" t="str">
        <f t="shared" si="27"/>
        <v/>
      </c>
      <c r="AC71" s="87"/>
      <c r="AD71" s="89" t="str">
        <f t="shared" si="11"/>
        <v/>
      </c>
      <c r="AE71" s="90"/>
      <c r="AF71" s="89" t="str">
        <f t="shared" si="12"/>
        <v/>
      </c>
      <c r="AG71" s="96"/>
      <c r="AH71" s="88" t="str">
        <f t="shared" si="13"/>
        <v/>
      </c>
      <c r="AI71" s="87"/>
      <c r="AJ71" s="89" t="str">
        <f t="shared" si="14"/>
        <v/>
      </c>
      <c r="AK71" s="90"/>
      <c r="AL71" s="89" t="str">
        <f t="shared" si="15"/>
        <v/>
      </c>
      <c r="AM71" s="89"/>
      <c r="AN71" s="93">
        <f t="shared" si="17"/>
        <v>0</v>
      </c>
      <c r="AO71" s="94">
        <f t="shared" si="18"/>
        <v>0</v>
      </c>
      <c r="AP71" s="87"/>
      <c r="AQ71" s="87"/>
      <c r="AR71" s="89" t="str">
        <f t="shared" si="19"/>
        <v/>
      </c>
      <c r="AS71" s="90"/>
      <c r="AT71" s="89" t="str">
        <f t="shared" si="20"/>
        <v/>
      </c>
      <c r="AU71" s="95"/>
      <c r="AV71" s="87"/>
      <c r="AW71" s="87"/>
      <c r="AX71" s="89" t="str">
        <f t="shared" si="21"/>
        <v/>
      </c>
      <c r="AY71" s="90"/>
      <c r="AZ71" s="89" t="str">
        <f t="shared" si="22"/>
        <v/>
      </c>
      <c r="BA71" s="95"/>
      <c r="BB71" s="88" t="str">
        <f t="shared" si="28"/>
        <v/>
      </c>
      <c r="BC71" s="87"/>
      <c r="BD71" s="89" t="str">
        <f t="shared" si="23"/>
        <v/>
      </c>
      <c r="BE71" s="90"/>
      <c r="BF71" s="89" t="str">
        <f t="shared" si="24"/>
        <v/>
      </c>
      <c r="BG71" s="96"/>
    </row>
    <row r="72">
      <c r="A72" s="87"/>
      <c r="B72" s="87"/>
      <c r="C72" s="87"/>
      <c r="D72" s="87"/>
      <c r="E72" s="87"/>
      <c r="F72" s="87"/>
      <c r="G72" s="87"/>
      <c r="H72" s="88" t="str">
        <f t="shared" si="1"/>
        <v/>
      </c>
      <c r="I72" s="87"/>
      <c r="J72" s="89" t="str">
        <f t="shared" si="2"/>
        <v/>
      </c>
      <c r="K72" s="90"/>
      <c r="L72" s="89" t="str">
        <f t="shared" si="3"/>
        <v/>
      </c>
      <c r="M72" s="89"/>
      <c r="N72" s="93">
        <f t="shared" si="5"/>
        <v>0</v>
      </c>
      <c r="O72" s="94">
        <f t="shared" si="6"/>
        <v>0</v>
      </c>
      <c r="P72" s="87"/>
      <c r="Q72" s="87"/>
      <c r="R72" s="89" t="str">
        <f t="shared" si="7"/>
        <v/>
      </c>
      <c r="S72" s="90"/>
      <c r="T72" s="89" t="str">
        <f t="shared" si="8"/>
        <v/>
      </c>
      <c r="U72" s="95"/>
      <c r="V72" s="87"/>
      <c r="W72" s="87"/>
      <c r="X72" s="89" t="str">
        <f t="shared" si="9"/>
        <v/>
      </c>
      <c r="Y72" s="90"/>
      <c r="Z72" s="89" t="str">
        <f t="shared" si="10"/>
        <v/>
      </c>
      <c r="AA72" s="95"/>
      <c r="AB72" s="88" t="str">
        <f t="shared" si="27"/>
        <v/>
      </c>
      <c r="AC72" s="87"/>
      <c r="AD72" s="89" t="str">
        <f t="shared" si="11"/>
        <v/>
      </c>
      <c r="AE72" s="90"/>
      <c r="AF72" s="89" t="str">
        <f t="shared" si="12"/>
        <v/>
      </c>
      <c r="AG72" s="96"/>
      <c r="AH72" s="88" t="str">
        <f t="shared" si="13"/>
        <v/>
      </c>
      <c r="AI72" s="87"/>
      <c r="AJ72" s="89" t="str">
        <f t="shared" si="14"/>
        <v/>
      </c>
      <c r="AK72" s="90"/>
      <c r="AL72" s="89" t="str">
        <f t="shared" si="15"/>
        <v/>
      </c>
      <c r="AM72" s="89"/>
      <c r="AN72" s="93">
        <f t="shared" si="17"/>
        <v>0</v>
      </c>
      <c r="AO72" s="94">
        <f t="shared" si="18"/>
        <v>0</v>
      </c>
      <c r="AP72" s="87"/>
      <c r="AQ72" s="87"/>
      <c r="AR72" s="89" t="str">
        <f t="shared" si="19"/>
        <v/>
      </c>
      <c r="AS72" s="90"/>
      <c r="AT72" s="89" t="str">
        <f t="shared" si="20"/>
        <v/>
      </c>
      <c r="AU72" s="95"/>
      <c r="AV72" s="87"/>
      <c r="AW72" s="87"/>
      <c r="AX72" s="89" t="str">
        <f t="shared" si="21"/>
        <v/>
      </c>
      <c r="AY72" s="90"/>
      <c r="AZ72" s="89" t="str">
        <f t="shared" si="22"/>
        <v/>
      </c>
      <c r="BA72" s="95"/>
      <c r="BB72" s="88" t="str">
        <f t="shared" si="28"/>
        <v/>
      </c>
      <c r="BC72" s="87"/>
      <c r="BD72" s="89" t="str">
        <f t="shared" si="23"/>
        <v/>
      </c>
      <c r="BE72" s="90"/>
      <c r="BF72" s="89" t="str">
        <f t="shared" si="24"/>
        <v/>
      </c>
      <c r="BG72" s="96"/>
    </row>
    <row r="73">
      <c r="A73" s="87"/>
      <c r="B73" s="87"/>
      <c r="C73" s="87"/>
      <c r="D73" s="87"/>
      <c r="E73" s="87"/>
      <c r="F73" s="87"/>
      <c r="G73" s="87"/>
      <c r="H73" s="88" t="str">
        <f t="shared" si="1"/>
        <v/>
      </c>
      <c r="I73" s="87"/>
      <c r="J73" s="89" t="str">
        <f t="shared" si="2"/>
        <v/>
      </c>
      <c r="K73" s="90"/>
      <c r="L73" s="89" t="str">
        <f t="shared" si="3"/>
        <v/>
      </c>
      <c r="M73" s="89"/>
      <c r="N73" s="93">
        <f t="shared" si="5"/>
        <v>0</v>
      </c>
      <c r="O73" s="94">
        <f t="shared" si="6"/>
        <v>0</v>
      </c>
      <c r="P73" s="87"/>
      <c r="Q73" s="87"/>
      <c r="R73" s="89" t="str">
        <f t="shared" si="7"/>
        <v/>
      </c>
      <c r="S73" s="90"/>
      <c r="T73" s="89" t="str">
        <f t="shared" si="8"/>
        <v/>
      </c>
      <c r="U73" s="95"/>
      <c r="V73" s="87"/>
      <c r="W73" s="87"/>
      <c r="X73" s="89" t="str">
        <f t="shared" si="9"/>
        <v/>
      </c>
      <c r="Y73" s="90"/>
      <c r="Z73" s="89" t="str">
        <f t="shared" si="10"/>
        <v/>
      </c>
      <c r="AA73" s="95"/>
      <c r="AB73" s="88" t="str">
        <f t="shared" si="27"/>
        <v/>
      </c>
      <c r="AC73" s="87"/>
      <c r="AD73" s="89" t="str">
        <f t="shared" si="11"/>
        <v/>
      </c>
      <c r="AE73" s="90"/>
      <c r="AF73" s="89" t="str">
        <f t="shared" si="12"/>
        <v/>
      </c>
      <c r="AG73" s="96"/>
      <c r="AH73" s="88" t="str">
        <f t="shared" si="13"/>
        <v/>
      </c>
      <c r="AI73" s="87"/>
      <c r="AJ73" s="89" t="str">
        <f t="shared" si="14"/>
        <v/>
      </c>
      <c r="AK73" s="90"/>
      <c r="AL73" s="89" t="str">
        <f t="shared" si="15"/>
        <v/>
      </c>
      <c r="AM73" s="89"/>
      <c r="AN73" s="93">
        <f t="shared" si="17"/>
        <v>0</v>
      </c>
      <c r="AO73" s="94">
        <f t="shared" si="18"/>
        <v>0</v>
      </c>
      <c r="AP73" s="87"/>
      <c r="AQ73" s="87"/>
      <c r="AR73" s="89" t="str">
        <f t="shared" si="19"/>
        <v/>
      </c>
      <c r="AS73" s="90"/>
      <c r="AT73" s="89" t="str">
        <f t="shared" si="20"/>
        <v/>
      </c>
      <c r="AU73" s="95"/>
      <c r="AV73" s="87"/>
      <c r="AW73" s="87"/>
      <c r="AX73" s="89" t="str">
        <f t="shared" si="21"/>
        <v/>
      </c>
      <c r="AY73" s="90"/>
      <c r="AZ73" s="89" t="str">
        <f t="shared" si="22"/>
        <v/>
      </c>
      <c r="BA73" s="95"/>
      <c r="BB73" s="88" t="str">
        <f t="shared" si="28"/>
        <v/>
      </c>
      <c r="BC73" s="87"/>
      <c r="BD73" s="89" t="str">
        <f t="shared" si="23"/>
        <v/>
      </c>
      <c r="BE73" s="90"/>
      <c r="BF73" s="89" t="str">
        <f t="shared" si="24"/>
        <v/>
      </c>
      <c r="BG73" s="96"/>
    </row>
    <row r="74">
      <c r="A74" s="87"/>
      <c r="B74" s="87"/>
      <c r="C74" s="87"/>
      <c r="D74" s="87"/>
      <c r="E74" s="87"/>
      <c r="F74" s="87"/>
      <c r="G74" s="87"/>
      <c r="H74" s="88" t="str">
        <f t="shared" si="1"/>
        <v/>
      </c>
      <c r="I74" s="87"/>
      <c r="J74" s="89" t="str">
        <f t="shared" si="2"/>
        <v/>
      </c>
      <c r="K74" s="90"/>
      <c r="L74" s="89" t="str">
        <f t="shared" si="3"/>
        <v/>
      </c>
      <c r="M74" s="89"/>
      <c r="N74" s="93">
        <f t="shared" si="5"/>
        <v>0</v>
      </c>
      <c r="O74" s="94">
        <f t="shared" si="6"/>
        <v>0</v>
      </c>
      <c r="P74" s="87"/>
      <c r="Q74" s="87"/>
      <c r="R74" s="89" t="str">
        <f t="shared" si="7"/>
        <v/>
      </c>
      <c r="S74" s="90"/>
      <c r="T74" s="89" t="str">
        <f t="shared" si="8"/>
        <v/>
      </c>
      <c r="U74" s="95"/>
      <c r="V74" s="87"/>
      <c r="W74" s="87"/>
      <c r="X74" s="89" t="str">
        <f t="shared" si="9"/>
        <v/>
      </c>
      <c r="Y74" s="90"/>
      <c r="Z74" s="89" t="str">
        <f t="shared" si="10"/>
        <v/>
      </c>
      <c r="AA74" s="95"/>
      <c r="AB74" s="88" t="str">
        <f t="shared" si="27"/>
        <v/>
      </c>
      <c r="AC74" s="87"/>
      <c r="AD74" s="89" t="str">
        <f t="shared" si="11"/>
        <v/>
      </c>
      <c r="AE74" s="90"/>
      <c r="AF74" s="89" t="str">
        <f t="shared" si="12"/>
        <v/>
      </c>
      <c r="AG74" s="96"/>
      <c r="AH74" s="88" t="str">
        <f t="shared" si="13"/>
        <v/>
      </c>
      <c r="AI74" s="87"/>
      <c r="AJ74" s="89" t="str">
        <f t="shared" si="14"/>
        <v/>
      </c>
      <c r="AK74" s="90"/>
      <c r="AL74" s="89" t="str">
        <f t="shared" si="15"/>
        <v/>
      </c>
      <c r="AM74" s="89"/>
      <c r="AN74" s="93">
        <f t="shared" si="17"/>
        <v>0</v>
      </c>
      <c r="AO74" s="94">
        <f t="shared" si="18"/>
        <v>0</v>
      </c>
      <c r="AP74" s="87"/>
      <c r="AQ74" s="87"/>
      <c r="AR74" s="89" t="str">
        <f t="shared" si="19"/>
        <v/>
      </c>
      <c r="AS74" s="90"/>
      <c r="AT74" s="89" t="str">
        <f t="shared" si="20"/>
        <v/>
      </c>
      <c r="AU74" s="95"/>
      <c r="AV74" s="87"/>
      <c r="AW74" s="87"/>
      <c r="AX74" s="89" t="str">
        <f t="shared" si="21"/>
        <v/>
      </c>
      <c r="AY74" s="90"/>
      <c r="AZ74" s="89" t="str">
        <f t="shared" si="22"/>
        <v/>
      </c>
      <c r="BA74" s="95"/>
      <c r="BB74" s="88" t="str">
        <f t="shared" si="28"/>
        <v/>
      </c>
      <c r="BC74" s="87"/>
      <c r="BD74" s="89" t="str">
        <f t="shared" si="23"/>
        <v/>
      </c>
      <c r="BE74" s="90"/>
      <c r="BF74" s="89" t="str">
        <f t="shared" si="24"/>
        <v/>
      </c>
      <c r="BG74" s="96"/>
    </row>
    <row r="75">
      <c r="A75" s="87"/>
      <c r="B75" s="87"/>
      <c r="C75" s="87"/>
      <c r="D75" s="87"/>
      <c r="E75" s="87"/>
      <c r="F75" s="87"/>
      <c r="G75" s="87"/>
      <c r="H75" s="88" t="str">
        <f t="shared" si="1"/>
        <v/>
      </c>
      <c r="I75" s="87"/>
      <c r="J75" s="89" t="str">
        <f t="shared" si="2"/>
        <v/>
      </c>
      <c r="K75" s="90"/>
      <c r="L75" s="89" t="str">
        <f t="shared" si="3"/>
        <v/>
      </c>
      <c r="M75" s="89"/>
      <c r="N75" s="93">
        <f t="shared" si="5"/>
        <v>0</v>
      </c>
      <c r="O75" s="94">
        <f t="shared" si="6"/>
        <v>0</v>
      </c>
      <c r="P75" s="87"/>
      <c r="Q75" s="87"/>
      <c r="R75" s="89" t="str">
        <f t="shared" si="7"/>
        <v/>
      </c>
      <c r="S75" s="90"/>
      <c r="T75" s="89" t="str">
        <f t="shared" si="8"/>
        <v/>
      </c>
      <c r="U75" s="95"/>
      <c r="V75" s="87"/>
      <c r="W75" s="87"/>
      <c r="X75" s="89" t="str">
        <f t="shared" si="9"/>
        <v/>
      </c>
      <c r="Y75" s="90"/>
      <c r="Z75" s="89" t="str">
        <f t="shared" si="10"/>
        <v/>
      </c>
      <c r="AA75" s="95"/>
      <c r="AB75" s="88" t="str">
        <f t="shared" si="27"/>
        <v/>
      </c>
      <c r="AC75" s="87"/>
      <c r="AD75" s="89" t="str">
        <f t="shared" si="11"/>
        <v/>
      </c>
      <c r="AE75" s="90"/>
      <c r="AF75" s="89" t="str">
        <f t="shared" si="12"/>
        <v/>
      </c>
      <c r="AG75" s="96"/>
      <c r="AH75" s="88" t="str">
        <f t="shared" si="13"/>
        <v/>
      </c>
      <c r="AI75" s="87"/>
      <c r="AJ75" s="89" t="str">
        <f t="shared" si="14"/>
        <v/>
      </c>
      <c r="AK75" s="90"/>
      <c r="AL75" s="89" t="str">
        <f t="shared" si="15"/>
        <v/>
      </c>
      <c r="AM75" s="89"/>
      <c r="AN75" s="93">
        <f t="shared" si="17"/>
        <v>0</v>
      </c>
      <c r="AO75" s="94">
        <f t="shared" si="18"/>
        <v>0</v>
      </c>
      <c r="AP75" s="87"/>
      <c r="AQ75" s="87"/>
      <c r="AR75" s="89" t="str">
        <f t="shared" si="19"/>
        <v/>
      </c>
      <c r="AS75" s="90"/>
      <c r="AT75" s="89" t="str">
        <f t="shared" si="20"/>
        <v/>
      </c>
      <c r="AU75" s="95"/>
      <c r="AV75" s="87"/>
      <c r="AW75" s="87"/>
      <c r="AX75" s="89" t="str">
        <f t="shared" si="21"/>
        <v/>
      </c>
      <c r="AY75" s="90"/>
      <c r="AZ75" s="89" t="str">
        <f t="shared" si="22"/>
        <v/>
      </c>
      <c r="BA75" s="95"/>
      <c r="BB75" s="88" t="str">
        <f t="shared" si="28"/>
        <v/>
      </c>
      <c r="BC75" s="87"/>
      <c r="BD75" s="89" t="str">
        <f t="shared" si="23"/>
        <v/>
      </c>
      <c r="BE75" s="90"/>
      <c r="BF75" s="89" t="str">
        <f t="shared" si="24"/>
        <v/>
      </c>
      <c r="BG75" s="96"/>
    </row>
    <row r="76">
      <c r="A76" s="87"/>
      <c r="B76" s="87"/>
      <c r="C76" s="87"/>
      <c r="D76" s="87"/>
      <c r="E76" s="87"/>
      <c r="F76" s="87"/>
      <c r="G76" s="87"/>
      <c r="H76" s="88" t="str">
        <f t="shared" si="1"/>
        <v/>
      </c>
      <c r="I76" s="87"/>
      <c r="J76" s="89" t="str">
        <f t="shared" si="2"/>
        <v/>
      </c>
      <c r="K76" s="90"/>
      <c r="L76" s="89" t="str">
        <f t="shared" si="3"/>
        <v/>
      </c>
      <c r="M76" s="89"/>
      <c r="N76" s="93">
        <f t="shared" si="5"/>
        <v>0</v>
      </c>
      <c r="O76" s="94">
        <f t="shared" si="6"/>
        <v>0</v>
      </c>
      <c r="P76" s="87"/>
      <c r="Q76" s="87"/>
      <c r="R76" s="89" t="str">
        <f t="shared" si="7"/>
        <v/>
      </c>
      <c r="S76" s="90"/>
      <c r="T76" s="89" t="str">
        <f t="shared" si="8"/>
        <v/>
      </c>
      <c r="U76" s="95"/>
      <c r="V76" s="87"/>
      <c r="W76" s="87"/>
      <c r="X76" s="89" t="str">
        <f t="shared" si="9"/>
        <v/>
      </c>
      <c r="Y76" s="90"/>
      <c r="Z76" s="89" t="str">
        <f t="shared" si="10"/>
        <v/>
      </c>
      <c r="AA76" s="95"/>
      <c r="AB76" s="88" t="str">
        <f t="shared" si="27"/>
        <v/>
      </c>
      <c r="AC76" s="87"/>
      <c r="AD76" s="89" t="str">
        <f t="shared" si="11"/>
        <v/>
      </c>
      <c r="AE76" s="90"/>
      <c r="AF76" s="89" t="str">
        <f t="shared" si="12"/>
        <v/>
      </c>
      <c r="AG76" s="96"/>
      <c r="AH76" s="88" t="str">
        <f t="shared" si="13"/>
        <v/>
      </c>
      <c r="AI76" s="87"/>
      <c r="AJ76" s="89" t="str">
        <f t="shared" si="14"/>
        <v/>
      </c>
      <c r="AK76" s="90"/>
      <c r="AL76" s="89" t="str">
        <f t="shared" si="15"/>
        <v/>
      </c>
      <c r="AM76" s="89"/>
      <c r="AN76" s="93">
        <f t="shared" si="17"/>
        <v>0</v>
      </c>
      <c r="AO76" s="94">
        <f t="shared" si="18"/>
        <v>0</v>
      </c>
      <c r="AP76" s="87"/>
      <c r="AQ76" s="87"/>
      <c r="AR76" s="89" t="str">
        <f t="shared" si="19"/>
        <v/>
      </c>
      <c r="AS76" s="90"/>
      <c r="AT76" s="89" t="str">
        <f t="shared" si="20"/>
        <v/>
      </c>
      <c r="AU76" s="95"/>
      <c r="AV76" s="87"/>
      <c r="AW76" s="87"/>
      <c r="AX76" s="89" t="str">
        <f t="shared" si="21"/>
        <v/>
      </c>
      <c r="AY76" s="90"/>
      <c r="AZ76" s="89" t="str">
        <f t="shared" si="22"/>
        <v/>
      </c>
      <c r="BA76" s="95"/>
      <c r="BB76" s="88" t="str">
        <f t="shared" si="28"/>
        <v/>
      </c>
      <c r="BC76" s="87"/>
      <c r="BD76" s="89" t="str">
        <f t="shared" si="23"/>
        <v/>
      </c>
      <c r="BE76" s="90"/>
      <c r="BF76" s="89" t="str">
        <f t="shared" si="24"/>
        <v/>
      </c>
      <c r="BG76" s="96"/>
    </row>
    <row r="77">
      <c r="A77" s="87"/>
      <c r="B77" s="87"/>
      <c r="C77" s="87"/>
      <c r="D77" s="87"/>
      <c r="E77" s="87"/>
      <c r="F77" s="87"/>
      <c r="G77" s="87"/>
      <c r="H77" s="88" t="str">
        <f t="shared" si="1"/>
        <v/>
      </c>
      <c r="I77" s="87"/>
      <c r="J77" s="89" t="str">
        <f t="shared" si="2"/>
        <v/>
      </c>
      <c r="K77" s="90"/>
      <c r="L77" s="89" t="str">
        <f t="shared" si="3"/>
        <v/>
      </c>
      <c r="M77" s="89"/>
      <c r="N77" s="93">
        <f t="shared" si="5"/>
        <v>0</v>
      </c>
      <c r="O77" s="94">
        <f t="shared" si="6"/>
        <v>0</v>
      </c>
      <c r="P77" s="87"/>
      <c r="Q77" s="87"/>
      <c r="R77" s="89" t="str">
        <f t="shared" si="7"/>
        <v/>
      </c>
      <c r="S77" s="90"/>
      <c r="T77" s="89" t="str">
        <f t="shared" si="8"/>
        <v/>
      </c>
      <c r="U77" s="95"/>
      <c r="V77" s="87"/>
      <c r="W77" s="87"/>
      <c r="X77" s="89" t="str">
        <f t="shared" si="9"/>
        <v/>
      </c>
      <c r="Y77" s="90"/>
      <c r="Z77" s="89" t="str">
        <f t="shared" si="10"/>
        <v/>
      </c>
      <c r="AA77" s="95"/>
      <c r="AB77" s="88" t="str">
        <f t="shared" si="27"/>
        <v/>
      </c>
      <c r="AC77" s="87"/>
      <c r="AD77" s="89" t="str">
        <f t="shared" si="11"/>
        <v/>
      </c>
      <c r="AE77" s="90"/>
      <c r="AF77" s="89" t="str">
        <f t="shared" si="12"/>
        <v/>
      </c>
      <c r="AG77" s="96"/>
      <c r="AH77" s="88" t="str">
        <f t="shared" si="13"/>
        <v/>
      </c>
      <c r="AI77" s="87"/>
      <c r="AJ77" s="89" t="str">
        <f t="shared" si="14"/>
        <v/>
      </c>
      <c r="AK77" s="90"/>
      <c r="AL77" s="89" t="str">
        <f t="shared" si="15"/>
        <v/>
      </c>
      <c r="AM77" s="89"/>
      <c r="AN77" s="93">
        <f t="shared" si="17"/>
        <v>0</v>
      </c>
      <c r="AO77" s="94">
        <f t="shared" si="18"/>
        <v>0</v>
      </c>
      <c r="AP77" s="87"/>
      <c r="AQ77" s="87"/>
      <c r="AR77" s="89" t="str">
        <f t="shared" si="19"/>
        <v/>
      </c>
      <c r="AS77" s="90"/>
      <c r="AT77" s="89" t="str">
        <f t="shared" si="20"/>
        <v/>
      </c>
      <c r="AU77" s="95"/>
      <c r="AV77" s="87"/>
      <c r="AW77" s="87"/>
      <c r="AX77" s="89" t="str">
        <f t="shared" si="21"/>
        <v/>
      </c>
      <c r="AY77" s="90"/>
      <c r="AZ77" s="89" t="str">
        <f t="shared" si="22"/>
        <v/>
      </c>
      <c r="BA77" s="95"/>
      <c r="BB77" s="88" t="str">
        <f t="shared" si="28"/>
        <v/>
      </c>
      <c r="BC77" s="87"/>
      <c r="BD77" s="89" t="str">
        <f t="shared" si="23"/>
        <v/>
      </c>
      <c r="BE77" s="90"/>
      <c r="BF77" s="89" t="str">
        <f t="shared" si="24"/>
        <v/>
      </c>
      <c r="BG77" s="96"/>
    </row>
    <row r="78">
      <c r="A78" s="87"/>
      <c r="B78" s="87"/>
      <c r="C78" s="87"/>
      <c r="D78" s="87"/>
      <c r="E78" s="87"/>
      <c r="F78" s="87"/>
      <c r="G78" s="87"/>
      <c r="H78" s="88" t="str">
        <f t="shared" si="1"/>
        <v/>
      </c>
      <c r="I78" s="87"/>
      <c r="J78" s="89" t="str">
        <f t="shared" si="2"/>
        <v/>
      </c>
      <c r="K78" s="90"/>
      <c r="L78" s="89" t="str">
        <f t="shared" si="3"/>
        <v/>
      </c>
      <c r="M78" s="89"/>
      <c r="N78" s="93">
        <f t="shared" si="5"/>
        <v>0</v>
      </c>
      <c r="O78" s="94">
        <f t="shared" si="6"/>
        <v>0</v>
      </c>
      <c r="P78" s="87"/>
      <c r="Q78" s="87"/>
      <c r="R78" s="89" t="str">
        <f t="shared" si="7"/>
        <v/>
      </c>
      <c r="S78" s="90"/>
      <c r="T78" s="89" t="str">
        <f t="shared" si="8"/>
        <v/>
      </c>
      <c r="U78" s="95"/>
      <c r="V78" s="87"/>
      <c r="W78" s="87"/>
      <c r="X78" s="89" t="str">
        <f t="shared" si="9"/>
        <v/>
      </c>
      <c r="Y78" s="90"/>
      <c r="Z78" s="89" t="str">
        <f t="shared" si="10"/>
        <v/>
      </c>
      <c r="AA78" s="95"/>
      <c r="AB78" s="88" t="str">
        <f t="shared" si="27"/>
        <v/>
      </c>
      <c r="AC78" s="87"/>
      <c r="AD78" s="89" t="str">
        <f t="shared" si="11"/>
        <v/>
      </c>
      <c r="AE78" s="90"/>
      <c r="AF78" s="89" t="str">
        <f t="shared" si="12"/>
        <v/>
      </c>
      <c r="AG78" s="96"/>
      <c r="AH78" s="88" t="str">
        <f t="shared" si="13"/>
        <v/>
      </c>
      <c r="AI78" s="87"/>
      <c r="AJ78" s="89" t="str">
        <f t="shared" si="14"/>
        <v/>
      </c>
      <c r="AK78" s="90"/>
      <c r="AL78" s="89" t="str">
        <f t="shared" si="15"/>
        <v/>
      </c>
      <c r="AM78" s="89"/>
      <c r="AN78" s="93">
        <f t="shared" si="17"/>
        <v>0</v>
      </c>
      <c r="AO78" s="94">
        <f t="shared" si="18"/>
        <v>0</v>
      </c>
      <c r="AP78" s="87"/>
      <c r="AQ78" s="87"/>
      <c r="AR78" s="89" t="str">
        <f t="shared" si="19"/>
        <v/>
      </c>
      <c r="AS78" s="90"/>
      <c r="AT78" s="89" t="str">
        <f t="shared" si="20"/>
        <v/>
      </c>
      <c r="AU78" s="95"/>
      <c r="AV78" s="87"/>
      <c r="AW78" s="87"/>
      <c r="AX78" s="89" t="str">
        <f t="shared" si="21"/>
        <v/>
      </c>
      <c r="AY78" s="90"/>
      <c r="AZ78" s="89" t="str">
        <f t="shared" si="22"/>
        <v/>
      </c>
      <c r="BA78" s="95"/>
      <c r="BB78" s="88" t="str">
        <f t="shared" si="28"/>
        <v/>
      </c>
      <c r="BC78" s="87"/>
      <c r="BD78" s="89" t="str">
        <f t="shared" si="23"/>
        <v/>
      </c>
      <c r="BE78" s="90"/>
      <c r="BF78" s="89" t="str">
        <f t="shared" si="24"/>
        <v/>
      </c>
      <c r="BG78" s="96"/>
    </row>
    <row r="79">
      <c r="A79" s="87"/>
      <c r="B79" s="87"/>
      <c r="C79" s="87"/>
      <c r="D79" s="87"/>
      <c r="E79" s="87"/>
      <c r="F79" s="87"/>
      <c r="G79" s="87"/>
      <c r="H79" s="88" t="str">
        <f t="shared" si="1"/>
        <v/>
      </c>
      <c r="I79" s="87"/>
      <c r="J79" s="89" t="str">
        <f t="shared" si="2"/>
        <v/>
      </c>
      <c r="K79" s="90"/>
      <c r="L79" s="89" t="str">
        <f t="shared" si="3"/>
        <v/>
      </c>
      <c r="M79" s="89"/>
      <c r="N79" s="93">
        <f t="shared" si="5"/>
        <v>0</v>
      </c>
      <c r="O79" s="94">
        <f t="shared" si="6"/>
        <v>0</v>
      </c>
      <c r="P79" s="87"/>
      <c r="Q79" s="87"/>
      <c r="R79" s="89" t="str">
        <f t="shared" si="7"/>
        <v/>
      </c>
      <c r="S79" s="90"/>
      <c r="T79" s="89" t="str">
        <f t="shared" si="8"/>
        <v/>
      </c>
      <c r="U79" s="95"/>
      <c r="V79" s="87"/>
      <c r="W79" s="87"/>
      <c r="X79" s="89" t="str">
        <f t="shared" si="9"/>
        <v/>
      </c>
      <c r="Y79" s="90"/>
      <c r="Z79" s="89" t="str">
        <f t="shared" si="10"/>
        <v/>
      </c>
      <c r="AA79" s="95"/>
      <c r="AB79" s="88" t="str">
        <f t="shared" si="27"/>
        <v/>
      </c>
      <c r="AC79" s="87"/>
      <c r="AD79" s="89" t="str">
        <f t="shared" si="11"/>
        <v/>
      </c>
      <c r="AE79" s="90"/>
      <c r="AF79" s="89" t="str">
        <f t="shared" si="12"/>
        <v/>
      </c>
      <c r="AG79" s="96"/>
      <c r="AH79" s="88" t="str">
        <f t="shared" si="13"/>
        <v/>
      </c>
      <c r="AI79" s="87"/>
      <c r="AJ79" s="89" t="str">
        <f t="shared" si="14"/>
        <v/>
      </c>
      <c r="AK79" s="90"/>
      <c r="AL79" s="89" t="str">
        <f t="shared" si="15"/>
        <v/>
      </c>
      <c r="AM79" s="89"/>
      <c r="AN79" s="93">
        <f t="shared" si="17"/>
        <v>0</v>
      </c>
      <c r="AO79" s="94">
        <f t="shared" si="18"/>
        <v>0</v>
      </c>
      <c r="AP79" s="87"/>
      <c r="AQ79" s="87"/>
      <c r="AR79" s="89" t="str">
        <f t="shared" si="19"/>
        <v/>
      </c>
      <c r="AS79" s="90"/>
      <c r="AT79" s="89" t="str">
        <f t="shared" si="20"/>
        <v/>
      </c>
      <c r="AU79" s="95"/>
      <c r="AV79" s="87"/>
      <c r="AW79" s="87"/>
      <c r="AX79" s="89" t="str">
        <f t="shared" si="21"/>
        <v/>
      </c>
      <c r="AY79" s="90"/>
      <c r="AZ79" s="89" t="str">
        <f t="shared" si="22"/>
        <v/>
      </c>
      <c r="BA79" s="95"/>
      <c r="BB79" s="88" t="str">
        <f t="shared" si="28"/>
        <v/>
      </c>
      <c r="BC79" s="87"/>
      <c r="BD79" s="89" t="str">
        <f t="shared" si="23"/>
        <v/>
      </c>
      <c r="BE79" s="90"/>
      <c r="BF79" s="89" t="str">
        <f t="shared" si="24"/>
        <v/>
      </c>
      <c r="BG79" s="96"/>
    </row>
    <row r="80">
      <c r="A80" s="87"/>
      <c r="B80" s="87"/>
      <c r="C80" s="87"/>
      <c r="D80" s="87"/>
      <c r="E80" s="87"/>
      <c r="F80" s="87"/>
      <c r="G80" s="87"/>
      <c r="H80" s="88" t="str">
        <f t="shared" si="1"/>
        <v/>
      </c>
      <c r="I80" s="87"/>
      <c r="J80" s="89" t="str">
        <f t="shared" si="2"/>
        <v/>
      </c>
      <c r="K80" s="90"/>
      <c r="L80" s="89" t="str">
        <f t="shared" si="3"/>
        <v/>
      </c>
      <c r="M80" s="89"/>
      <c r="N80" s="93">
        <f t="shared" si="5"/>
        <v>0</v>
      </c>
      <c r="O80" s="94">
        <f t="shared" si="6"/>
        <v>0</v>
      </c>
      <c r="P80" s="87"/>
      <c r="Q80" s="87"/>
      <c r="R80" s="89" t="str">
        <f t="shared" si="7"/>
        <v/>
      </c>
      <c r="S80" s="90"/>
      <c r="T80" s="89" t="str">
        <f t="shared" si="8"/>
        <v/>
      </c>
      <c r="U80" s="95"/>
      <c r="V80" s="87"/>
      <c r="W80" s="87"/>
      <c r="X80" s="89" t="str">
        <f t="shared" si="9"/>
        <v/>
      </c>
      <c r="Y80" s="90"/>
      <c r="Z80" s="89" t="str">
        <f t="shared" si="10"/>
        <v/>
      </c>
      <c r="AA80" s="95"/>
      <c r="AB80" s="88" t="str">
        <f t="shared" si="27"/>
        <v/>
      </c>
      <c r="AC80" s="87"/>
      <c r="AD80" s="89" t="str">
        <f t="shared" si="11"/>
        <v/>
      </c>
      <c r="AE80" s="90"/>
      <c r="AF80" s="89" t="str">
        <f t="shared" si="12"/>
        <v/>
      </c>
      <c r="AG80" s="96"/>
      <c r="AH80" s="88" t="str">
        <f t="shared" si="13"/>
        <v/>
      </c>
      <c r="AI80" s="87"/>
      <c r="AJ80" s="89" t="str">
        <f t="shared" si="14"/>
        <v/>
      </c>
      <c r="AK80" s="90"/>
      <c r="AL80" s="89" t="str">
        <f t="shared" si="15"/>
        <v/>
      </c>
      <c r="AM80" s="89"/>
      <c r="AN80" s="93">
        <f t="shared" si="17"/>
        <v>0</v>
      </c>
      <c r="AO80" s="94">
        <f t="shared" si="18"/>
        <v>0</v>
      </c>
      <c r="AP80" s="87"/>
      <c r="AQ80" s="87"/>
      <c r="AR80" s="89" t="str">
        <f t="shared" si="19"/>
        <v/>
      </c>
      <c r="AS80" s="90"/>
      <c r="AT80" s="89" t="str">
        <f t="shared" si="20"/>
        <v/>
      </c>
      <c r="AU80" s="95"/>
      <c r="AV80" s="87"/>
      <c r="AW80" s="87"/>
      <c r="AX80" s="89" t="str">
        <f t="shared" si="21"/>
        <v/>
      </c>
      <c r="AY80" s="90"/>
      <c r="AZ80" s="89" t="str">
        <f t="shared" si="22"/>
        <v/>
      </c>
      <c r="BA80" s="95"/>
      <c r="BB80" s="88" t="str">
        <f t="shared" si="28"/>
        <v/>
      </c>
      <c r="BC80" s="87"/>
      <c r="BD80" s="89" t="str">
        <f t="shared" si="23"/>
        <v/>
      </c>
      <c r="BE80" s="90"/>
      <c r="BF80" s="89" t="str">
        <f t="shared" si="24"/>
        <v/>
      </c>
      <c r="BG80" s="96"/>
    </row>
    <row r="81">
      <c r="A81" s="87"/>
      <c r="B81" s="87"/>
      <c r="C81" s="87"/>
      <c r="D81" s="87"/>
      <c r="E81" s="87"/>
      <c r="F81" s="87"/>
      <c r="G81" s="87"/>
      <c r="H81" s="88" t="str">
        <f t="shared" si="1"/>
        <v/>
      </c>
      <c r="I81" s="87"/>
      <c r="J81" s="89" t="str">
        <f t="shared" si="2"/>
        <v/>
      </c>
      <c r="K81" s="90"/>
      <c r="L81" s="89" t="str">
        <f t="shared" si="3"/>
        <v/>
      </c>
      <c r="M81" s="89"/>
      <c r="N81" s="93">
        <f t="shared" si="5"/>
        <v>0</v>
      </c>
      <c r="O81" s="94">
        <f t="shared" si="6"/>
        <v>0</v>
      </c>
      <c r="P81" s="87"/>
      <c r="Q81" s="87"/>
      <c r="R81" s="89" t="str">
        <f t="shared" si="7"/>
        <v/>
      </c>
      <c r="S81" s="90"/>
      <c r="T81" s="89" t="str">
        <f t="shared" si="8"/>
        <v/>
      </c>
      <c r="U81" s="95"/>
      <c r="V81" s="87"/>
      <c r="W81" s="87"/>
      <c r="X81" s="89" t="str">
        <f t="shared" si="9"/>
        <v/>
      </c>
      <c r="Y81" s="90"/>
      <c r="Z81" s="89" t="str">
        <f t="shared" si="10"/>
        <v/>
      </c>
      <c r="AA81" s="95"/>
      <c r="AB81" s="88" t="str">
        <f t="shared" si="27"/>
        <v/>
      </c>
      <c r="AC81" s="87"/>
      <c r="AD81" s="89" t="str">
        <f t="shared" si="11"/>
        <v/>
      </c>
      <c r="AE81" s="90"/>
      <c r="AF81" s="89" t="str">
        <f t="shared" si="12"/>
        <v/>
      </c>
      <c r="AG81" s="96"/>
      <c r="AH81" s="88" t="str">
        <f t="shared" si="13"/>
        <v/>
      </c>
      <c r="AI81" s="87"/>
      <c r="AJ81" s="89" t="str">
        <f t="shared" si="14"/>
        <v/>
      </c>
      <c r="AK81" s="90"/>
      <c r="AL81" s="89" t="str">
        <f t="shared" si="15"/>
        <v/>
      </c>
      <c r="AM81" s="89"/>
      <c r="AN81" s="93">
        <f t="shared" si="17"/>
        <v>0</v>
      </c>
      <c r="AO81" s="94">
        <f t="shared" si="18"/>
        <v>0</v>
      </c>
      <c r="AP81" s="87"/>
      <c r="AQ81" s="87"/>
      <c r="AR81" s="89" t="str">
        <f t="shared" si="19"/>
        <v/>
      </c>
      <c r="AS81" s="90"/>
      <c r="AT81" s="89" t="str">
        <f t="shared" si="20"/>
        <v/>
      </c>
      <c r="AU81" s="95"/>
      <c r="AV81" s="87"/>
      <c r="AW81" s="87"/>
      <c r="AX81" s="89" t="str">
        <f t="shared" si="21"/>
        <v/>
      </c>
      <c r="AY81" s="90"/>
      <c r="AZ81" s="89" t="str">
        <f t="shared" si="22"/>
        <v/>
      </c>
      <c r="BA81" s="95"/>
      <c r="BB81" s="88" t="str">
        <f t="shared" si="28"/>
        <v/>
      </c>
      <c r="BC81" s="87"/>
      <c r="BD81" s="89" t="str">
        <f t="shared" si="23"/>
        <v/>
      </c>
      <c r="BE81" s="90"/>
      <c r="BF81" s="89" t="str">
        <f t="shared" si="24"/>
        <v/>
      </c>
      <c r="BG81" s="96"/>
    </row>
    <row r="82">
      <c r="A82" s="87"/>
      <c r="B82" s="87"/>
      <c r="C82" s="87"/>
      <c r="D82" s="87"/>
      <c r="E82" s="87"/>
      <c r="F82" s="87"/>
      <c r="G82" s="87"/>
      <c r="H82" s="88" t="str">
        <f t="shared" si="1"/>
        <v/>
      </c>
      <c r="I82" s="87"/>
      <c r="J82" s="89" t="str">
        <f t="shared" si="2"/>
        <v/>
      </c>
      <c r="K82" s="90"/>
      <c r="L82" s="89" t="str">
        <f t="shared" si="3"/>
        <v/>
      </c>
      <c r="M82" s="89"/>
      <c r="N82" s="93">
        <f t="shared" si="5"/>
        <v>0</v>
      </c>
      <c r="O82" s="94">
        <f t="shared" si="6"/>
        <v>0</v>
      </c>
      <c r="P82" s="87"/>
      <c r="Q82" s="87"/>
      <c r="R82" s="89" t="str">
        <f t="shared" si="7"/>
        <v/>
      </c>
      <c r="S82" s="90"/>
      <c r="T82" s="89" t="str">
        <f t="shared" si="8"/>
        <v/>
      </c>
      <c r="U82" s="95"/>
      <c r="V82" s="87"/>
      <c r="W82" s="87"/>
      <c r="X82" s="89" t="str">
        <f t="shared" si="9"/>
        <v/>
      </c>
      <c r="Y82" s="90"/>
      <c r="Z82" s="89" t="str">
        <f t="shared" si="10"/>
        <v/>
      </c>
      <c r="AA82" s="95"/>
      <c r="AB82" s="88" t="str">
        <f t="shared" si="27"/>
        <v/>
      </c>
      <c r="AC82" s="87"/>
      <c r="AD82" s="89" t="str">
        <f t="shared" si="11"/>
        <v/>
      </c>
      <c r="AE82" s="90"/>
      <c r="AF82" s="89" t="str">
        <f t="shared" si="12"/>
        <v/>
      </c>
      <c r="AG82" s="96"/>
      <c r="AH82" s="88" t="str">
        <f t="shared" si="13"/>
        <v/>
      </c>
      <c r="AI82" s="87"/>
      <c r="AJ82" s="89" t="str">
        <f t="shared" si="14"/>
        <v/>
      </c>
      <c r="AK82" s="90"/>
      <c r="AL82" s="89" t="str">
        <f t="shared" si="15"/>
        <v/>
      </c>
      <c r="AM82" s="89"/>
      <c r="AN82" s="93">
        <f t="shared" si="17"/>
        <v>0</v>
      </c>
      <c r="AO82" s="94">
        <f t="shared" si="18"/>
        <v>0</v>
      </c>
      <c r="AP82" s="87"/>
      <c r="AQ82" s="87"/>
      <c r="AR82" s="89" t="str">
        <f t="shared" si="19"/>
        <v/>
      </c>
      <c r="AS82" s="90"/>
      <c r="AT82" s="89" t="str">
        <f t="shared" si="20"/>
        <v/>
      </c>
      <c r="AU82" s="95"/>
      <c r="AV82" s="87"/>
      <c r="AW82" s="87"/>
      <c r="AX82" s="89" t="str">
        <f t="shared" si="21"/>
        <v/>
      </c>
      <c r="AY82" s="90"/>
      <c r="AZ82" s="89" t="str">
        <f t="shared" si="22"/>
        <v/>
      </c>
      <c r="BA82" s="95"/>
      <c r="BB82" s="88" t="str">
        <f t="shared" si="28"/>
        <v/>
      </c>
      <c r="BC82" s="87"/>
      <c r="BD82" s="89" t="str">
        <f t="shared" si="23"/>
        <v/>
      </c>
      <c r="BE82" s="90"/>
      <c r="BF82" s="89" t="str">
        <f t="shared" si="24"/>
        <v/>
      </c>
      <c r="BG82" s="96"/>
    </row>
    <row r="83">
      <c r="A83" s="87"/>
      <c r="B83" s="87"/>
      <c r="C83" s="87"/>
      <c r="D83" s="87"/>
      <c r="E83" s="87"/>
      <c r="F83" s="87"/>
      <c r="G83" s="87"/>
      <c r="H83" s="88" t="str">
        <f t="shared" si="1"/>
        <v/>
      </c>
      <c r="I83" s="87"/>
      <c r="J83" s="89" t="str">
        <f t="shared" si="2"/>
        <v/>
      </c>
      <c r="K83" s="90"/>
      <c r="L83" s="89" t="str">
        <f t="shared" si="3"/>
        <v/>
      </c>
      <c r="M83" s="89"/>
      <c r="N83" s="93">
        <f t="shared" si="5"/>
        <v>0</v>
      </c>
      <c r="O83" s="94">
        <f t="shared" si="6"/>
        <v>0</v>
      </c>
      <c r="P83" s="87"/>
      <c r="Q83" s="87"/>
      <c r="R83" s="89" t="str">
        <f t="shared" si="7"/>
        <v/>
      </c>
      <c r="S83" s="90"/>
      <c r="T83" s="89" t="str">
        <f t="shared" si="8"/>
        <v/>
      </c>
      <c r="U83" s="95"/>
      <c r="V83" s="87"/>
      <c r="W83" s="87"/>
      <c r="X83" s="89" t="str">
        <f t="shared" si="9"/>
        <v/>
      </c>
      <c r="Y83" s="90"/>
      <c r="Z83" s="89" t="str">
        <f t="shared" si="10"/>
        <v/>
      </c>
      <c r="AA83" s="95"/>
      <c r="AB83" s="88" t="str">
        <f t="shared" si="27"/>
        <v/>
      </c>
      <c r="AC83" s="87"/>
      <c r="AD83" s="89" t="str">
        <f t="shared" si="11"/>
        <v/>
      </c>
      <c r="AE83" s="90"/>
      <c r="AF83" s="89" t="str">
        <f t="shared" si="12"/>
        <v/>
      </c>
      <c r="AG83" s="96"/>
      <c r="AH83" s="88" t="str">
        <f t="shared" si="13"/>
        <v/>
      </c>
      <c r="AI83" s="87"/>
      <c r="AJ83" s="89" t="str">
        <f t="shared" si="14"/>
        <v/>
      </c>
      <c r="AK83" s="90"/>
      <c r="AL83" s="89" t="str">
        <f t="shared" si="15"/>
        <v/>
      </c>
      <c r="AM83" s="89"/>
      <c r="AN83" s="93">
        <f t="shared" si="17"/>
        <v>0</v>
      </c>
      <c r="AO83" s="94">
        <f t="shared" si="18"/>
        <v>0</v>
      </c>
      <c r="AP83" s="87"/>
      <c r="AQ83" s="87"/>
      <c r="AR83" s="89" t="str">
        <f t="shared" si="19"/>
        <v/>
      </c>
      <c r="AS83" s="90"/>
      <c r="AT83" s="89" t="str">
        <f t="shared" si="20"/>
        <v/>
      </c>
      <c r="AU83" s="95"/>
      <c r="AV83" s="87"/>
      <c r="AW83" s="87"/>
      <c r="AX83" s="89" t="str">
        <f t="shared" si="21"/>
        <v/>
      </c>
      <c r="AY83" s="90"/>
      <c r="AZ83" s="89" t="str">
        <f t="shared" si="22"/>
        <v/>
      </c>
      <c r="BA83" s="95"/>
      <c r="BB83" s="88" t="str">
        <f t="shared" si="28"/>
        <v/>
      </c>
      <c r="BC83" s="87"/>
      <c r="BD83" s="89" t="str">
        <f t="shared" si="23"/>
        <v/>
      </c>
      <c r="BE83" s="90"/>
      <c r="BF83" s="89" t="str">
        <f t="shared" si="24"/>
        <v/>
      </c>
      <c r="BG83" s="96"/>
    </row>
    <row r="84">
      <c r="A84" s="87"/>
      <c r="B84" s="87"/>
      <c r="C84" s="87"/>
      <c r="D84" s="87"/>
      <c r="E84" s="87"/>
      <c r="F84" s="87"/>
      <c r="G84" s="87"/>
      <c r="H84" s="88" t="str">
        <f t="shared" si="1"/>
        <v/>
      </c>
      <c r="I84" s="87"/>
      <c r="J84" s="89" t="str">
        <f t="shared" si="2"/>
        <v/>
      </c>
      <c r="K84" s="90"/>
      <c r="L84" s="89" t="str">
        <f t="shared" si="3"/>
        <v/>
      </c>
      <c r="M84" s="89"/>
      <c r="N84" s="93">
        <f t="shared" si="5"/>
        <v>0</v>
      </c>
      <c r="O84" s="94">
        <f t="shared" si="6"/>
        <v>0</v>
      </c>
      <c r="P84" s="87"/>
      <c r="Q84" s="87"/>
      <c r="R84" s="89" t="str">
        <f t="shared" si="7"/>
        <v/>
      </c>
      <c r="S84" s="90"/>
      <c r="T84" s="89" t="str">
        <f t="shared" si="8"/>
        <v/>
      </c>
      <c r="U84" s="95"/>
      <c r="V84" s="87"/>
      <c r="W84" s="87"/>
      <c r="X84" s="89" t="str">
        <f t="shared" si="9"/>
        <v/>
      </c>
      <c r="Y84" s="90"/>
      <c r="Z84" s="89" t="str">
        <f t="shared" si="10"/>
        <v/>
      </c>
      <c r="AA84" s="95"/>
      <c r="AB84" s="88" t="str">
        <f t="shared" si="27"/>
        <v/>
      </c>
      <c r="AC84" s="87"/>
      <c r="AD84" s="89" t="str">
        <f t="shared" si="11"/>
        <v/>
      </c>
      <c r="AE84" s="90"/>
      <c r="AF84" s="89" t="str">
        <f t="shared" si="12"/>
        <v/>
      </c>
      <c r="AG84" s="96"/>
      <c r="AH84" s="88" t="str">
        <f t="shared" si="13"/>
        <v/>
      </c>
      <c r="AI84" s="87"/>
      <c r="AJ84" s="89" t="str">
        <f t="shared" si="14"/>
        <v/>
      </c>
      <c r="AK84" s="90"/>
      <c r="AL84" s="89" t="str">
        <f t="shared" si="15"/>
        <v/>
      </c>
      <c r="AM84" s="89"/>
      <c r="AN84" s="93">
        <f t="shared" si="17"/>
        <v>0</v>
      </c>
      <c r="AO84" s="94">
        <f t="shared" si="18"/>
        <v>0</v>
      </c>
      <c r="AP84" s="87"/>
      <c r="AQ84" s="87"/>
      <c r="AR84" s="89" t="str">
        <f t="shared" si="19"/>
        <v/>
      </c>
      <c r="AS84" s="90"/>
      <c r="AT84" s="89" t="str">
        <f t="shared" si="20"/>
        <v/>
      </c>
      <c r="AU84" s="95"/>
      <c r="AV84" s="87"/>
      <c r="AW84" s="87"/>
      <c r="AX84" s="89" t="str">
        <f t="shared" si="21"/>
        <v/>
      </c>
      <c r="AY84" s="90"/>
      <c r="AZ84" s="89" t="str">
        <f t="shared" si="22"/>
        <v/>
      </c>
      <c r="BA84" s="95"/>
      <c r="BB84" s="88" t="str">
        <f t="shared" si="28"/>
        <v/>
      </c>
      <c r="BC84" s="87"/>
      <c r="BD84" s="89" t="str">
        <f t="shared" si="23"/>
        <v/>
      </c>
      <c r="BE84" s="90"/>
      <c r="BF84" s="89" t="str">
        <f t="shared" si="24"/>
        <v/>
      </c>
      <c r="BG84" s="96"/>
    </row>
    <row r="85">
      <c r="A85" s="87"/>
      <c r="B85" s="87"/>
      <c r="C85" s="87"/>
      <c r="D85" s="87"/>
      <c r="E85" s="87"/>
      <c r="F85" s="87"/>
      <c r="G85" s="87"/>
      <c r="H85" s="88" t="str">
        <f t="shared" si="1"/>
        <v/>
      </c>
      <c r="I85" s="87"/>
      <c r="J85" s="89" t="str">
        <f t="shared" si="2"/>
        <v/>
      </c>
      <c r="K85" s="90"/>
      <c r="L85" s="89" t="str">
        <f t="shared" si="3"/>
        <v/>
      </c>
      <c r="M85" s="89"/>
      <c r="N85" s="93">
        <f t="shared" si="5"/>
        <v>0</v>
      </c>
      <c r="O85" s="94">
        <f t="shared" si="6"/>
        <v>0</v>
      </c>
      <c r="P85" s="87"/>
      <c r="Q85" s="87"/>
      <c r="R85" s="89" t="str">
        <f t="shared" si="7"/>
        <v/>
      </c>
      <c r="S85" s="90"/>
      <c r="T85" s="89" t="str">
        <f t="shared" si="8"/>
        <v/>
      </c>
      <c r="U85" s="95"/>
      <c r="V85" s="87"/>
      <c r="W85" s="87"/>
      <c r="X85" s="89" t="str">
        <f t="shared" si="9"/>
        <v/>
      </c>
      <c r="Y85" s="90"/>
      <c r="Z85" s="89" t="str">
        <f t="shared" si="10"/>
        <v/>
      </c>
      <c r="AA85" s="95"/>
      <c r="AB85" s="88" t="str">
        <f t="shared" si="27"/>
        <v/>
      </c>
      <c r="AC85" s="87"/>
      <c r="AD85" s="89" t="str">
        <f t="shared" si="11"/>
        <v/>
      </c>
      <c r="AE85" s="90"/>
      <c r="AF85" s="89" t="str">
        <f t="shared" si="12"/>
        <v/>
      </c>
      <c r="AG85" s="96"/>
      <c r="AH85" s="88" t="str">
        <f t="shared" si="13"/>
        <v/>
      </c>
      <c r="AI85" s="87"/>
      <c r="AJ85" s="89" t="str">
        <f t="shared" si="14"/>
        <v/>
      </c>
      <c r="AK85" s="90"/>
      <c r="AL85" s="89" t="str">
        <f t="shared" si="15"/>
        <v/>
      </c>
      <c r="AM85" s="89"/>
      <c r="AN85" s="93">
        <f t="shared" si="17"/>
        <v>0</v>
      </c>
      <c r="AO85" s="94">
        <f t="shared" si="18"/>
        <v>0</v>
      </c>
      <c r="AP85" s="87"/>
      <c r="AQ85" s="87"/>
      <c r="AR85" s="89" t="str">
        <f t="shared" si="19"/>
        <v/>
      </c>
      <c r="AS85" s="90"/>
      <c r="AT85" s="89" t="str">
        <f t="shared" si="20"/>
        <v/>
      </c>
      <c r="AU85" s="95"/>
      <c r="AV85" s="87"/>
      <c r="AW85" s="87"/>
      <c r="AX85" s="89" t="str">
        <f t="shared" si="21"/>
        <v/>
      </c>
      <c r="AY85" s="90"/>
      <c r="AZ85" s="89" t="str">
        <f t="shared" si="22"/>
        <v/>
      </c>
      <c r="BA85" s="95"/>
      <c r="BB85" s="88" t="str">
        <f t="shared" si="28"/>
        <v/>
      </c>
      <c r="BC85" s="87"/>
      <c r="BD85" s="89" t="str">
        <f t="shared" si="23"/>
        <v/>
      </c>
      <c r="BE85" s="90"/>
      <c r="BF85" s="89" t="str">
        <f t="shared" si="24"/>
        <v/>
      </c>
      <c r="BG85" s="96"/>
    </row>
    <row r="86">
      <c r="A86" s="87"/>
      <c r="B86" s="87"/>
      <c r="C86" s="87"/>
      <c r="D86" s="87"/>
      <c r="E86" s="87"/>
      <c r="F86" s="87"/>
      <c r="G86" s="87"/>
      <c r="H86" s="88" t="str">
        <f t="shared" si="1"/>
        <v/>
      </c>
      <c r="I86" s="87"/>
      <c r="J86" s="89" t="str">
        <f t="shared" si="2"/>
        <v/>
      </c>
      <c r="K86" s="90"/>
      <c r="L86" s="89" t="str">
        <f t="shared" si="3"/>
        <v/>
      </c>
      <c r="M86" s="89"/>
      <c r="N86" s="93">
        <f t="shared" si="5"/>
        <v>0</v>
      </c>
      <c r="O86" s="94">
        <f t="shared" si="6"/>
        <v>0</v>
      </c>
      <c r="P86" s="87"/>
      <c r="Q86" s="87"/>
      <c r="R86" s="89" t="str">
        <f t="shared" si="7"/>
        <v/>
      </c>
      <c r="S86" s="90"/>
      <c r="T86" s="89" t="str">
        <f t="shared" si="8"/>
        <v/>
      </c>
      <c r="U86" s="95"/>
      <c r="V86" s="87"/>
      <c r="W86" s="87"/>
      <c r="X86" s="89" t="str">
        <f t="shared" si="9"/>
        <v/>
      </c>
      <c r="Y86" s="90"/>
      <c r="Z86" s="89" t="str">
        <f t="shared" si="10"/>
        <v/>
      </c>
      <c r="AA86" s="95"/>
      <c r="AB86" s="88" t="str">
        <f t="shared" si="27"/>
        <v/>
      </c>
      <c r="AC86" s="87"/>
      <c r="AD86" s="89" t="str">
        <f t="shared" si="11"/>
        <v/>
      </c>
      <c r="AE86" s="90"/>
      <c r="AF86" s="89" t="str">
        <f t="shared" si="12"/>
        <v/>
      </c>
      <c r="AG86" s="96"/>
      <c r="AH86" s="88" t="str">
        <f t="shared" si="13"/>
        <v/>
      </c>
      <c r="AI86" s="87"/>
      <c r="AJ86" s="89" t="str">
        <f t="shared" si="14"/>
        <v/>
      </c>
      <c r="AK86" s="90"/>
      <c r="AL86" s="89" t="str">
        <f t="shared" si="15"/>
        <v/>
      </c>
      <c r="AM86" s="89"/>
      <c r="AN86" s="93">
        <f t="shared" si="17"/>
        <v>0</v>
      </c>
      <c r="AO86" s="94">
        <f t="shared" si="18"/>
        <v>0</v>
      </c>
      <c r="AP86" s="87"/>
      <c r="AQ86" s="87"/>
      <c r="AR86" s="89" t="str">
        <f t="shared" si="19"/>
        <v/>
      </c>
      <c r="AS86" s="90"/>
      <c r="AT86" s="89" t="str">
        <f t="shared" si="20"/>
        <v/>
      </c>
      <c r="AU86" s="95"/>
      <c r="AV86" s="87"/>
      <c r="AW86" s="87"/>
      <c r="AX86" s="89" t="str">
        <f t="shared" si="21"/>
        <v/>
      </c>
      <c r="AY86" s="90"/>
      <c r="AZ86" s="89" t="str">
        <f t="shared" si="22"/>
        <v/>
      </c>
      <c r="BA86" s="95"/>
      <c r="BB86" s="88" t="str">
        <f t="shared" si="28"/>
        <v/>
      </c>
      <c r="BC86" s="87"/>
      <c r="BD86" s="89" t="str">
        <f t="shared" si="23"/>
        <v/>
      </c>
      <c r="BE86" s="90"/>
      <c r="BF86" s="89" t="str">
        <f t="shared" si="24"/>
        <v/>
      </c>
      <c r="BG86" s="96"/>
    </row>
    <row r="87">
      <c r="A87" s="87"/>
      <c r="B87" s="87"/>
      <c r="C87" s="87"/>
      <c r="D87" s="87"/>
      <c r="E87" s="87"/>
      <c r="F87" s="87"/>
      <c r="G87" s="87"/>
      <c r="H87" s="88" t="str">
        <f t="shared" si="1"/>
        <v/>
      </c>
      <c r="I87" s="87"/>
      <c r="J87" s="89" t="str">
        <f t="shared" si="2"/>
        <v/>
      </c>
      <c r="K87" s="90"/>
      <c r="L87" s="89" t="str">
        <f t="shared" si="3"/>
        <v/>
      </c>
      <c r="M87" s="89"/>
      <c r="N87" s="93">
        <f t="shared" si="5"/>
        <v>0</v>
      </c>
      <c r="O87" s="94">
        <f t="shared" si="6"/>
        <v>0</v>
      </c>
      <c r="P87" s="87"/>
      <c r="Q87" s="87"/>
      <c r="R87" s="89" t="str">
        <f t="shared" si="7"/>
        <v/>
      </c>
      <c r="S87" s="90"/>
      <c r="T87" s="89" t="str">
        <f t="shared" si="8"/>
        <v/>
      </c>
      <c r="U87" s="95"/>
      <c r="V87" s="87"/>
      <c r="W87" s="87"/>
      <c r="X87" s="89" t="str">
        <f t="shared" si="9"/>
        <v/>
      </c>
      <c r="Y87" s="90"/>
      <c r="Z87" s="89" t="str">
        <f t="shared" si="10"/>
        <v/>
      </c>
      <c r="AA87" s="95"/>
      <c r="AB87" s="88" t="str">
        <f t="shared" si="27"/>
        <v/>
      </c>
      <c r="AC87" s="87"/>
      <c r="AD87" s="89" t="str">
        <f t="shared" si="11"/>
        <v/>
      </c>
      <c r="AE87" s="90"/>
      <c r="AF87" s="89" t="str">
        <f t="shared" si="12"/>
        <v/>
      </c>
      <c r="AG87" s="96"/>
      <c r="AH87" s="88" t="str">
        <f t="shared" si="13"/>
        <v/>
      </c>
      <c r="AI87" s="87"/>
      <c r="AJ87" s="89" t="str">
        <f t="shared" si="14"/>
        <v/>
      </c>
      <c r="AK87" s="90"/>
      <c r="AL87" s="89" t="str">
        <f t="shared" si="15"/>
        <v/>
      </c>
      <c r="AM87" s="89"/>
      <c r="AN87" s="93">
        <f t="shared" si="17"/>
        <v>0</v>
      </c>
      <c r="AO87" s="94">
        <f t="shared" si="18"/>
        <v>0</v>
      </c>
      <c r="AP87" s="87"/>
      <c r="AQ87" s="87"/>
      <c r="AR87" s="89" t="str">
        <f t="shared" si="19"/>
        <v/>
      </c>
      <c r="AS87" s="90"/>
      <c r="AT87" s="89" t="str">
        <f t="shared" si="20"/>
        <v/>
      </c>
      <c r="AU87" s="95"/>
      <c r="AV87" s="87"/>
      <c r="AW87" s="87"/>
      <c r="AX87" s="89" t="str">
        <f t="shared" si="21"/>
        <v/>
      </c>
      <c r="AY87" s="90"/>
      <c r="AZ87" s="89" t="str">
        <f t="shared" si="22"/>
        <v/>
      </c>
      <c r="BA87" s="95"/>
      <c r="BB87" s="88" t="str">
        <f t="shared" si="28"/>
        <v/>
      </c>
      <c r="BC87" s="87"/>
      <c r="BD87" s="89" t="str">
        <f t="shared" si="23"/>
        <v/>
      </c>
      <c r="BE87" s="90"/>
      <c r="BF87" s="89" t="str">
        <f t="shared" si="24"/>
        <v/>
      </c>
      <c r="BG87" s="96"/>
    </row>
    <row r="88">
      <c r="A88" s="87"/>
      <c r="B88" s="87"/>
      <c r="C88" s="87"/>
      <c r="D88" s="87"/>
      <c r="E88" s="87"/>
      <c r="F88" s="87"/>
      <c r="G88" s="87"/>
      <c r="H88" s="88" t="str">
        <f t="shared" si="1"/>
        <v/>
      </c>
      <c r="I88" s="87"/>
      <c r="J88" s="89" t="str">
        <f t="shared" si="2"/>
        <v/>
      </c>
      <c r="K88" s="90"/>
      <c r="L88" s="89" t="str">
        <f t="shared" si="3"/>
        <v/>
      </c>
      <c r="M88" s="89"/>
      <c r="N88" s="93">
        <f t="shared" si="5"/>
        <v>0</v>
      </c>
      <c r="O88" s="94">
        <f t="shared" si="6"/>
        <v>0</v>
      </c>
      <c r="P88" s="87"/>
      <c r="Q88" s="87"/>
      <c r="R88" s="89" t="str">
        <f t="shared" si="7"/>
        <v/>
      </c>
      <c r="S88" s="90"/>
      <c r="T88" s="89" t="str">
        <f t="shared" si="8"/>
        <v/>
      </c>
      <c r="U88" s="95"/>
      <c r="V88" s="87"/>
      <c r="W88" s="87"/>
      <c r="X88" s="89" t="str">
        <f t="shared" si="9"/>
        <v/>
      </c>
      <c r="Y88" s="90"/>
      <c r="Z88" s="89" t="str">
        <f t="shared" si="10"/>
        <v/>
      </c>
      <c r="AA88" s="95"/>
      <c r="AB88" s="88" t="str">
        <f t="shared" si="27"/>
        <v/>
      </c>
      <c r="AC88" s="87"/>
      <c r="AD88" s="89" t="str">
        <f t="shared" si="11"/>
        <v/>
      </c>
      <c r="AE88" s="90"/>
      <c r="AF88" s="89" t="str">
        <f t="shared" si="12"/>
        <v/>
      </c>
      <c r="AG88" s="96"/>
      <c r="AH88" s="88" t="str">
        <f t="shared" si="13"/>
        <v/>
      </c>
      <c r="AI88" s="87"/>
      <c r="AJ88" s="89" t="str">
        <f t="shared" si="14"/>
        <v/>
      </c>
      <c r="AK88" s="90"/>
      <c r="AL88" s="89" t="str">
        <f t="shared" si="15"/>
        <v/>
      </c>
      <c r="AM88" s="89"/>
      <c r="AN88" s="93">
        <f t="shared" si="17"/>
        <v>0</v>
      </c>
      <c r="AO88" s="94">
        <f t="shared" si="18"/>
        <v>0</v>
      </c>
      <c r="AP88" s="87"/>
      <c r="AQ88" s="87"/>
      <c r="AR88" s="89" t="str">
        <f t="shared" si="19"/>
        <v/>
      </c>
      <c r="AS88" s="90"/>
      <c r="AT88" s="89" t="str">
        <f t="shared" si="20"/>
        <v/>
      </c>
      <c r="AU88" s="95"/>
      <c r="AV88" s="87"/>
      <c r="AW88" s="87"/>
      <c r="AX88" s="89" t="str">
        <f t="shared" si="21"/>
        <v/>
      </c>
      <c r="AY88" s="90"/>
      <c r="AZ88" s="89" t="str">
        <f t="shared" si="22"/>
        <v/>
      </c>
      <c r="BA88" s="95"/>
      <c r="BB88" s="88" t="str">
        <f t="shared" si="28"/>
        <v/>
      </c>
      <c r="BC88" s="87"/>
      <c r="BD88" s="89" t="str">
        <f t="shared" si="23"/>
        <v/>
      </c>
      <c r="BE88" s="90"/>
      <c r="BF88" s="89" t="str">
        <f t="shared" si="24"/>
        <v/>
      </c>
      <c r="BG88" s="96"/>
    </row>
    <row r="89">
      <c r="A89" s="87"/>
      <c r="B89" s="87"/>
      <c r="C89" s="87"/>
      <c r="D89" s="87"/>
      <c r="E89" s="87"/>
      <c r="F89" s="87"/>
      <c r="G89" s="87"/>
      <c r="H89" s="88" t="str">
        <f t="shared" si="1"/>
        <v/>
      </c>
      <c r="I89" s="87"/>
      <c r="J89" s="89" t="str">
        <f t="shared" si="2"/>
        <v/>
      </c>
      <c r="K89" s="90"/>
      <c r="L89" s="89" t="str">
        <f t="shared" si="3"/>
        <v/>
      </c>
      <c r="M89" s="89"/>
      <c r="N89" s="93">
        <f t="shared" si="5"/>
        <v>0</v>
      </c>
      <c r="O89" s="94">
        <f t="shared" si="6"/>
        <v>0</v>
      </c>
      <c r="P89" s="87"/>
      <c r="Q89" s="87"/>
      <c r="R89" s="89" t="str">
        <f t="shared" si="7"/>
        <v/>
      </c>
      <c r="S89" s="90"/>
      <c r="T89" s="89" t="str">
        <f t="shared" si="8"/>
        <v/>
      </c>
      <c r="U89" s="95"/>
      <c r="V89" s="87"/>
      <c r="W89" s="87"/>
      <c r="X89" s="89" t="str">
        <f t="shared" si="9"/>
        <v/>
      </c>
      <c r="Y89" s="90"/>
      <c r="Z89" s="89" t="str">
        <f t="shared" si="10"/>
        <v/>
      </c>
      <c r="AA89" s="95"/>
      <c r="AB89" s="88" t="str">
        <f t="shared" si="27"/>
        <v/>
      </c>
      <c r="AC89" s="87"/>
      <c r="AD89" s="89" t="str">
        <f t="shared" si="11"/>
        <v/>
      </c>
      <c r="AE89" s="90"/>
      <c r="AF89" s="89" t="str">
        <f t="shared" si="12"/>
        <v/>
      </c>
      <c r="AG89" s="96"/>
      <c r="AH89" s="88" t="str">
        <f t="shared" si="13"/>
        <v/>
      </c>
      <c r="AI89" s="87"/>
      <c r="AJ89" s="89" t="str">
        <f t="shared" si="14"/>
        <v/>
      </c>
      <c r="AK89" s="90"/>
      <c r="AL89" s="89" t="str">
        <f t="shared" si="15"/>
        <v/>
      </c>
      <c r="AM89" s="89"/>
      <c r="AN89" s="93">
        <f t="shared" si="17"/>
        <v>0</v>
      </c>
      <c r="AO89" s="94">
        <f t="shared" si="18"/>
        <v>0</v>
      </c>
      <c r="AP89" s="87"/>
      <c r="AQ89" s="87"/>
      <c r="AR89" s="89" t="str">
        <f t="shared" si="19"/>
        <v/>
      </c>
      <c r="AS89" s="90"/>
      <c r="AT89" s="89" t="str">
        <f t="shared" si="20"/>
        <v/>
      </c>
      <c r="AU89" s="95"/>
      <c r="AV89" s="87"/>
      <c r="AW89" s="87"/>
      <c r="AX89" s="89" t="str">
        <f t="shared" si="21"/>
        <v/>
      </c>
      <c r="AY89" s="90"/>
      <c r="AZ89" s="89" t="str">
        <f t="shared" si="22"/>
        <v/>
      </c>
      <c r="BA89" s="95"/>
      <c r="BB89" s="88" t="str">
        <f t="shared" si="28"/>
        <v/>
      </c>
      <c r="BC89" s="87"/>
      <c r="BD89" s="89" t="str">
        <f t="shared" si="23"/>
        <v/>
      </c>
      <c r="BE89" s="90"/>
      <c r="BF89" s="89" t="str">
        <f t="shared" si="24"/>
        <v/>
      </c>
      <c r="BG89" s="96"/>
    </row>
    <row r="90">
      <c r="A90" s="87"/>
      <c r="B90" s="87"/>
      <c r="C90" s="87"/>
      <c r="D90" s="87"/>
      <c r="E90" s="87"/>
      <c r="F90" s="87"/>
      <c r="G90" s="87"/>
      <c r="H90" s="88" t="str">
        <f t="shared" si="1"/>
        <v/>
      </c>
      <c r="I90" s="87"/>
      <c r="J90" s="89" t="str">
        <f t="shared" si="2"/>
        <v/>
      </c>
      <c r="K90" s="90"/>
      <c r="L90" s="89" t="str">
        <f t="shared" si="3"/>
        <v/>
      </c>
      <c r="M90" s="89"/>
      <c r="N90" s="93">
        <f t="shared" si="5"/>
        <v>0</v>
      </c>
      <c r="O90" s="94">
        <f t="shared" si="6"/>
        <v>0</v>
      </c>
      <c r="P90" s="87"/>
      <c r="Q90" s="87"/>
      <c r="R90" s="89" t="str">
        <f t="shared" si="7"/>
        <v/>
      </c>
      <c r="S90" s="90"/>
      <c r="T90" s="89" t="str">
        <f t="shared" si="8"/>
        <v/>
      </c>
      <c r="U90" s="95"/>
      <c r="V90" s="87"/>
      <c r="W90" s="87"/>
      <c r="X90" s="89" t="str">
        <f t="shared" si="9"/>
        <v/>
      </c>
      <c r="Y90" s="90"/>
      <c r="Z90" s="89" t="str">
        <f t="shared" si="10"/>
        <v/>
      </c>
      <c r="AA90" s="95"/>
      <c r="AB90" s="88" t="str">
        <f t="shared" si="27"/>
        <v/>
      </c>
      <c r="AC90" s="87"/>
      <c r="AD90" s="89" t="str">
        <f t="shared" si="11"/>
        <v/>
      </c>
      <c r="AE90" s="90"/>
      <c r="AF90" s="89" t="str">
        <f t="shared" si="12"/>
        <v/>
      </c>
      <c r="AG90" s="96"/>
      <c r="AH90" s="88" t="str">
        <f t="shared" si="13"/>
        <v/>
      </c>
      <c r="AI90" s="87"/>
      <c r="AJ90" s="89" t="str">
        <f t="shared" si="14"/>
        <v/>
      </c>
      <c r="AK90" s="90"/>
      <c r="AL90" s="89" t="str">
        <f t="shared" si="15"/>
        <v/>
      </c>
      <c r="AM90" s="89"/>
      <c r="AN90" s="93">
        <f t="shared" si="17"/>
        <v>0</v>
      </c>
      <c r="AO90" s="94">
        <f t="shared" si="18"/>
        <v>0</v>
      </c>
      <c r="AP90" s="87"/>
      <c r="AQ90" s="87"/>
      <c r="AR90" s="89" t="str">
        <f t="shared" si="19"/>
        <v/>
      </c>
      <c r="AS90" s="90"/>
      <c r="AT90" s="89" t="str">
        <f t="shared" si="20"/>
        <v/>
      </c>
      <c r="AU90" s="95"/>
      <c r="AV90" s="87"/>
      <c r="AW90" s="87"/>
      <c r="AX90" s="89" t="str">
        <f t="shared" si="21"/>
        <v/>
      </c>
      <c r="AY90" s="90"/>
      <c r="AZ90" s="89" t="str">
        <f t="shared" si="22"/>
        <v/>
      </c>
      <c r="BA90" s="95"/>
      <c r="BB90" s="88" t="str">
        <f t="shared" si="28"/>
        <v/>
      </c>
      <c r="BC90" s="87"/>
      <c r="BD90" s="89" t="str">
        <f t="shared" si="23"/>
        <v/>
      </c>
      <c r="BE90" s="90"/>
      <c r="BF90" s="89" t="str">
        <f t="shared" si="24"/>
        <v/>
      </c>
      <c r="BG90" s="96"/>
    </row>
    <row r="91">
      <c r="A91" s="87"/>
      <c r="B91" s="87"/>
      <c r="C91" s="87"/>
      <c r="D91" s="87"/>
      <c r="E91" s="87"/>
      <c r="F91" s="87"/>
      <c r="G91" s="87"/>
      <c r="H91" s="88" t="str">
        <f t="shared" si="1"/>
        <v/>
      </c>
      <c r="I91" s="87"/>
      <c r="J91" s="89" t="str">
        <f t="shared" si="2"/>
        <v/>
      </c>
      <c r="K91" s="90"/>
      <c r="L91" s="89" t="str">
        <f t="shared" si="3"/>
        <v/>
      </c>
      <c r="M91" s="89"/>
      <c r="N91" s="93">
        <f t="shared" si="5"/>
        <v>0</v>
      </c>
      <c r="O91" s="94">
        <f t="shared" si="6"/>
        <v>0</v>
      </c>
      <c r="P91" s="87"/>
      <c r="Q91" s="87"/>
      <c r="R91" s="89" t="str">
        <f t="shared" si="7"/>
        <v/>
      </c>
      <c r="S91" s="90"/>
      <c r="T91" s="89" t="str">
        <f t="shared" si="8"/>
        <v/>
      </c>
      <c r="U91" s="95"/>
      <c r="V91" s="87"/>
      <c r="W91" s="87"/>
      <c r="X91" s="89" t="str">
        <f t="shared" si="9"/>
        <v/>
      </c>
      <c r="Y91" s="90"/>
      <c r="Z91" s="89" t="str">
        <f t="shared" si="10"/>
        <v/>
      </c>
      <c r="AA91" s="95"/>
      <c r="AB91" s="88" t="str">
        <f t="shared" si="27"/>
        <v/>
      </c>
      <c r="AC91" s="87"/>
      <c r="AD91" s="89" t="str">
        <f t="shared" si="11"/>
        <v/>
      </c>
      <c r="AE91" s="90"/>
      <c r="AF91" s="89" t="str">
        <f t="shared" si="12"/>
        <v/>
      </c>
      <c r="AG91" s="96"/>
      <c r="AH91" s="88" t="str">
        <f t="shared" si="13"/>
        <v/>
      </c>
      <c r="AI91" s="87"/>
      <c r="AJ91" s="89" t="str">
        <f t="shared" si="14"/>
        <v/>
      </c>
      <c r="AK91" s="90"/>
      <c r="AL91" s="89" t="str">
        <f t="shared" si="15"/>
        <v/>
      </c>
      <c r="AM91" s="89"/>
      <c r="AN91" s="93">
        <f t="shared" si="17"/>
        <v>0</v>
      </c>
      <c r="AO91" s="94">
        <f t="shared" si="18"/>
        <v>0</v>
      </c>
      <c r="AP91" s="87"/>
      <c r="AQ91" s="87"/>
      <c r="AR91" s="89" t="str">
        <f t="shared" si="19"/>
        <v/>
      </c>
      <c r="AS91" s="90"/>
      <c r="AT91" s="89" t="str">
        <f t="shared" si="20"/>
        <v/>
      </c>
      <c r="AU91" s="95"/>
      <c r="AV91" s="87"/>
      <c r="AW91" s="87"/>
      <c r="AX91" s="89" t="str">
        <f t="shared" si="21"/>
        <v/>
      </c>
      <c r="AY91" s="90"/>
      <c r="AZ91" s="89" t="str">
        <f t="shared" si="22"/>
        <v/>
      </c>
      <c r="BA91" s="95"/>
      <c r="BB91" s="88" t="str">
        <f t="shared" si="28"/>
        <v/>
      </c>
      <c r="BC91" s="87"/>
      <c r="BD91" s="89" t="str">
        <f t="shared" si="23"/>
        <v/>
      </c>
      <c r="BE91" s="90"/>
      <c r="BF91" s="89" t="str">
        <f t="shared" si="24"/>
        <v/>
      </c>
      <c r="BG91" s="96"/>
    </row>
    <row r="92">
      <c r="A92" s="87"/>
      <c r="B92" s="87"/>
      <c r="C92" s="87"/>
      <c r="D92" s="87"/>
      <c r="E92" s="87"/>
      <c r="F92" s="87"/>
      <c r="G92" s="87"/>
      <c r="H92" s="88" t="str">
        <f t="shared" si="1"/>
        <v/>
      </c>
      <c r="I92" s="87"/>
      <c r="J92" s="89" t="str">
        <f t="shared" si="2"/>
        <v/>
      </c>
      <c r="K92" s="90"/>
      <c r="L92" s="89" t="str">
        <f t="shared" si="3"/>
        <v/>
      </c>
      <c r="M92" s="89"/>
      <c r="N92" s="93">
        <f t="shared" si="5"/>
        <v>0</v>
      </c>
      <c r="O92" s="94">
        <f t="shared" si="6"/>
        <v>0</v>
      </c>
      <c r="P92" s="87"/>
      <c r="Q92" s="87"/>
      <c r="R92" s="89" t="str">
        <f t="shared" si="7"/>
        <v/>
      </c>
      <c r="S92" s="90"/>
      <c r="T92" s="89" t="str">
        <f t="shared" si="8"/>
        <v/>
      </c>
      <c r="U92" s="95"/>
      <c r="V92" s="87"/>
      <c r="W92" s="87"/>
      <c r="X92" s="89" t="str">
        <f t="shared" si="9"/>
        <v/>
      </c>
      <c r="Y92" s="90"/>
      <c r="Z92" s="89" t="str">
        <f t="shared" si="10"/>
        <v/>
      </c>
      <c r="AA92" s="95"/>
      <c r="AB92" s="88" t="str">
        <f t="shared" si="27"/>
        <v/>
      </c>
      <c r="AC92" s="87"/>
      <c r="AD92" s="89" t="str">
        <f t="shared" si="11"/>
        <v/>
      </c>
      <c r="AE92" s="90"/>
      <c r="AF92" s="89" t="str">
        <f t="shared" si="12"/>
        <v/>
      </c>
      <c r="AG92" s="96"/>
      <c r="AH92" s="88" t="str">
        <f t="shared" si="13"/>
        <v/>
      </c>
      <c r="AI92" s="87"/>
      <c r="AJ92" s="89" t="str">
        <f t="shared" si="14"/>
        <v/>
      </c>
      <c r="AK92" s="90"/>
      <c r="AL92" s="89" t="str">
        <f t="shared" si="15"/>
        <v/>
      </c>
      <c r="AM92" s="89"/>
      <c r="AN92" s="93">
        <f t="shared" si="17"/>
        <v>0</v>
      </c>
      <c r="AO92" s="94">
        <f t="shared" si="18"/>
        <v>0</v>
      </c>
      <c r="AP92" s="87"/>
      <c r="AQ92" s="87"/>
      <c r="AR92" s="89" t="str">
        <f t="shared" si="19"/>
        <v/>
      </c>
      <c r="AS92" s="90"/>
      <c r="AT92" s="89" t="str">
        <f t="shared" si="20"/>
        <v/>
      </c>
      <c r="AU92" s="95"/>
      <c r="AV92" s="87"/>
      <c r="AW92" s="87"/>
      <c r="AX92" s="89" t="str">
        <f t="shared" si="21"/>
        <v/>
      </c>
      <c r="AY92" s="90"/>
      <c r="AZ92" s="89" t="str">
        <f t="shared" si="22"/>
        <v/>
      </c>
      <c r="BA92" s="95"/>
      <c r="BB92" s="88" t="str">
        <f t="shared" si="28"/>
        <v/>
      </c>
      <c r="BC92" s="87"/>
      <c r="BD92" s="89" t="str">
        <f t="shared" si="23"/>
        <v/>
      </c>
      <c r="BE92" s="90"/>
      <c r="BF92" s="89" t="str">
        <f t="shared" si="24"/>
        <v/>
      </c>
      <c r="BG92" s="96"/>
    </row>
    <row r="93">
      <c r="A93" s="87"/>
      <c r="B93" s="87"/>
      <c r="C93" s="87"/>
      <c r="D93" s="87"/>
      <c r="E93" s="87"/>
      <c r="F93" s="87"/>
      <c r="G93" s="87"/>
      <c r="H93" s="88" t="str">
        <f t="shared" si="1"/>
        <v/>
      </c>
      <c r="I93" s="87"/>
      <c r="J93" s="89" t="str">
        <f t="shared" si="2"/>
        <v/>
      </c>
      <c r="K93" s="90"/>
      <c r="L93" s="89" t="str">
        <f t="shared" si="3"/>
        <v/>
      </c>
      <c r="M93" s="89"/>
      <c r="N93" s="93">
        <f t="shared" si="5"/>
        <v>0</v>
      </c>
      <c r="O93" s="94">
        <f t="shared" si="6"/>
        <v>0</v>
      </c>
      <c r="P93" s="87"/>
      <c r="Q93" s="87"/>
      <c r="R93" s="89" t="str">
        <f t="shared" si="7"/>
        <v/>
      </c>
      <c r="S93" s="90"/>
      <c r="T93" s="89" t="str">
        <f t="shared" si="8"/>
        <v/>
      </c>
      <c r="U93" s="95"/>
      <c r="V93" s="87"/>
      <c r="W93" s="87"/>
      <c r="X93" s="89" t="str">
        <f t="shared" si="9"/>
        <v/>
      </c>
      <c r="Y93" s="90"/>
      <c r="Z93" s="89" t="str">
        <f t="shared" si="10"/>
        <v/>
      </c>
      <c r="AA93" s="95"/>
      <c r="AB93" s="88" t="str">
        <f t="shared" si="27"/>
        <v/>
      </c>
      <c r="AC93" s="87"/>
      <c r="AD93" s="89" t="str">
        <f t="shared" si="11"/>
        <v/>
      </c>
      <c r="AE93" s="90"/>
      <c r="AF93" s="89" t="str">
        <f t="shared" si="12"/>
        <v/>
      </c>
      <c r="AG93" s="96"/>
      <c r="AH93" s="88" t="str">
        <f t="shared" si="13"/>
        <v/>
      </c>
      <c r="AI93" s="87"/>
      <c r="AJ93" s="89" t="str">
        <f t="shared" si="14"/>
        <v/>
      </c>
      <c r="AK93" s="90"/>
      <c r="AL93" s="89" t="str">
        <f t="shared" si="15"/>
        <v/>
      </c>
      <c r="AM93" s="89"/>
      <c r="AN93" s="93">
        <f t="shared" si="17"/>
        <v>0</v>
      </c>
      <c r="AO93" s="94">
        <f t="shared" si="18"/>
        <v>0</v>
      </c>
      <c r="AP93" s="87"/>
      <c r="AQ93" s="87"/>
      <c r="AR93" s="89" t="str">
        <f t="shared" si="19"/>
        <v/>
      </c>
      <c r="AS93" s="90"/>
      <c r="AT93" s="89" t="str">
        <f t="shared" si="20"/>
        <v/>
      </c>
      <c r="AU93" s="95"/>
      <c r="AV93" s="87"/>
      <c r="AW93" s="87"/>
      <c r="AX93" s="89" t="str">
        <f t="shared" si="21"/>
        <v/>
      </c>
      <c r="AY93" s="90"/>
      <c r="AZ93" s="89" t="str">
        <f t="shared" si="22"/>
        <v/>
      </c>
      <c r="BA93" s="95"/>
      <c r="BB93" s="88" t="str">
        <f t="shared" si="28"/>
        <v/>
      </c>
      <c r="BC93" s="87"/>
      <c r="BD93" s="89" t="str">
        <f t="shared" si="23"/>
        <v/>
      </c>
      <c r="BE93" s="90"/>
      <c r="BF93" s="89" t="str">
        <f t="shared" si="24"/>
        <v/>
      </c>
      <c r="BG93" s="96"/>
    </row>
    <row r="94">
      <c r="A94" s="87"/>
      <c r="B94" s="87"/>
      <c r="C94" s="87"/>
      <c r="D94" s="87"/>
      <c r="E94" s="87"/>
      <c r="F94" s="87"/>
      <c r="G94" s="87"/>
      <c r="H94" s="88" t="str">
        <f t="shared" si="1"/>
        <v/>
      </c>
      <c r="I94" s="87"/>
      <c r="J94" s="89" t="str">
        <f t="shared" si="2"/>
        <v/>
      </c>
      <c r="K94" s="90"/>
      <c r="L94" s="89" t="str">
        <f t="shared" si="3"/>
        <v/>
      </c>
      <c r="M94" s="89"/>
      <c r="N94" s="93">
        <f t="shared" si="5"/>
        <v>0</v>
      </c>
      <c r="O94" s="94">
        <f t="shared" si="6"/>
        <v>0</v>
      </c>
      <c r="P94" s="87"/>
      <c r="Q94" s="87"/>
      <c r="R94" s="89" t="str">
        <f t="shared" si="7"/>
        <v/>
      </c>
      <c r="S94" s="90"/>
      <c r="T94" s="89" t="str">
        <f t="shared" si="8"/>
        <v/>
      </c>
      <c r="U94" s="95"/>
      <c r="V94" s="87"/>
      <c r="W94" s="87"/>
      <c r="X94" s="89" t="str">
        <f t="shared" si="9"/>
        <v/>
      </c>
      <c r="Y94" s="90"/>
      <c r="Z94" s="89" t="str">
        <f t="shared" si="10"/>
        <v/>
      </c>
      <c r="AA94" s="95"/>
      <c r="AB94" s="88" t="str">
        <f t="shared" si="27"/>
        <v/>
      </c>
      <c r="AC94" s="87"/>
      <c r="AD94" s="89" t="str">
        <f t="shared" si="11"/>
        <v/>
      </c>
      <c r="AE94" s="90"/>
      <c r="AF94" s="89" t="str">
        <f t="shared" si="12"/>
        <v/>
      </c>
      <c r="AG94" s="96"/>
      <c r="AH94" s="88" t="str">
        <f t="shared" si="13"/>
        <v/>
      </c>
      <c r="AI94" s="87"/>
      <c r="AJ94" s="89" t="str">
        <f t="shared" si="14"/>
        <v/>
      </c>
      <c r="AK94" s="90"/>
      <c r="AL94" s="89" t="str">
        <f t="shared" si="15"/>
        <v/>
      </c>
      <c r="AM94" s="89"/>
      <c r="AN94" s="93">
        <f t="shared" si="17"/>
        <v>0</v>
      </c>
      <c r="AO94" s="94">
        <f t="shared" si="18"/>
        <v>0</v>
      </c>
      <c r="AP94" s="87"/>
      <c r="AQ94" s="87"/>
      <c r="AR94" s="89" t="str">
        <f t="shared" si="19"/>
        <v/>
      </c>
      <c r="AS94" s="90"/>
      <c r="AT94" s="89" t="str">
        <f t="shared" si="20"/>
        <v/>
      </c>
      <c r="AU94" s="95"/>
      <c r="AV94" s="87"/>
      <c r="AW94" s="87"/>
      <c r="AX94" s="89" t="str">
        <f t="shared" si="21"/>
        <v/>
      </c>
      <c r="AY94" s="90"/>
      <c r="AZ94" s="89" t="str">
        <f t="shared" si="22"/>
        <v/>
      </c>
      <c r="BA94" s="95"/>
      <c r="BB94" s="88" t="str">
        <f t="shared" si="28"/>
        <v/>
      </c>
      <c r="BC94" s="87"/>
      <c r="BD94" s="89" t="str">
        <f t="shared" si="23"/>
        <v/>
      </c>
      <c r="BE94" s="90"/>
      <c r="BF94" s="89" t="str">
        <f t="shared" si="24"/>
        <v/>
      </c>
      <c r="BG94" s="96"/>
    </row>
    <row r="95">
      <c r="A95" s="87"/>
      <c r="B95" s="87"/>
      <c r="C95" s="87"/>
      <c r="D95" s="87"/>
      <c r="E95" s="87"/>
      <c r="F95" s="87"/>
      <c r="G95" s="87"/>
      <c r="H95" s="88" t="str">
        <f t="shared" si="1"/>
        <v/>
      </c>
      <c r="I95" s="87"/>
      <c r="J95" s="89" t="str">
        <f t="shared" si="2"/>
        <v/>
      </c>
      <c r="K95" s="90"/>
      <c r="L95" s="89" t="str">
        <f t="shared" si="3"/>
        <v/>
      </c>
      <c r="M95" s="89"/>
      <c r="N95" s="93">
        <f t="shared" si="5"/>
        <v>0</v>
      </c>
      <c r="O95" s="94">
        <f t="shared" si="6"/>
        <v>0</v>
      </c>
      <c r="P95" s="87"/>
      <c r="Q95" s="87"/>
      <c r="R95" s="89" t="str">
        <f t="shared" si="7"/>
        <v/>
      </c>
      <c r="S95" s="90"/>
      <c r="T95" s="89" t="str">
        <f t="shared" si="8"/>
        <v/>
      </c>
      <c r="U95" s="95"/>
      <c r="V95" s="87"/>
      <c r="W95" s="87"/>
      <c r="X95" s="89" t="str">
        <f t="shared" si="9"/>
        <v/>
      </c>
      <c r="Y95" s="90"/>
      <c r="Z95" s="89" t="str">
        <f t="shared" si="10"/>
        <v/>
      </c>
      <c r="AA95" s="95"/>
      <c r="AB95" s="88" t="str">
        <f t="shared" si="27"/>
        <v/>
      </c>
      <c r="AC95" s="87"/>
      <c r="AD95" s="89" t="str">
        <f t="shared" si="11"/>
        <v/>
      </c>
      <c r="AE95" s="90"/>
      <c r="AF95" s="89" t="str">
        <f t="shared" si="12"/>
        <v/>
      </c>
      <c r="AG95" s="96"/>
      <c r="AH95" s="88" t="str">
        <f t="shared" si="13"/>
        <v/>
      </c>
      <c r="AI95" s="87"/>
      <c r="AJ95" s="89" t="str">
        <f t="shared" si="14"/>
        <v/>
      </c>
      <c r="AK95" s="90"/>
      <c r="AL95" s="89" t="str">
        <f t="shared" si="15"/>
        <v/>
      </c>
      <c r="AM95" s="89"/>
      <c r="AN95" s="93">
        <f t="shared" si="17"/>
        <v>0</v>
      </c>
      <c r="AO95" s="94">
        <f t="shared" si="18"/>
        <v>0</v>
      </c>
      <c r="AP95" s="87"/>
      <c r="AQ95" s="87"/>
      <c r="AR95" s="89" t="str">
        <f t="shared" si="19"/>
        <v/>
      </c>
      <c r="AS95" s="90"/>
      <c r="AT95" s="89" t="str">
        <f t="shared" si="20"/>
        <v/>
      </c>
      <c r="AU95" s="95"/>
      <c r="AV95" s="87"/>
      <c r="AW95" s="87"/>
      <c r="AX95" s="89" t="str">
        <f t="shared" si="21"/>
        <v/>
      </c>
      <c r="AY95" s="90"/>
      <c r="AZ95" s="89" t="str">
        <f t="shared" si="22"/>
        <v/>
      </c>
      <c r="BA95" s="95"/>
      <c r="BB95" s="88" t="str">
        <f t="shared" si="28"/>
        <v/>
      </c>
      <c r="BC95" s="87"/>
      <c r="BD95" s="89" t="str">
        <f t="shared" si="23"/>
        <v/>
      </c>
      <c r="BE95" s="90"/>
      <c r="BF95" s="89" t="str">
        <f t="shared" si="24"/>
        <v/>
      </c>
      <c r="BG95" s="96"/>
    </row>
    <row r="96">
      <c r="A96" s="87"/>
      <c r="B96" s="87"/>
      <c r="C96" s="87"/>
      <c r="D96" s="87"/>
      <c r="E96" s="87"/>
      <c r="F96" s="87"/>
      <c r="G96" s="87"/>
      <c r="H96" s="88" t="str">
        <f t="shared" si="1"/>
        <v/>
      </c>
      <c r="I96" s="87"/>
      <c r="J96" s="89" t="str">
        <f t="shared" si="2"/>
        <v/>
      </c>
      <c r="K96" s="90"/>
      <c r="L96" s="89" t="str">
        <f t="shared" si="3"/>
        <v/>
      </c>
      <c r="M96" s="89"/>
      <c r="N96" s="93">
        <f t="shared" si="5"/>
        <v>0</v>
      </c>
      <c r="O96" s="94">
        <f t="shared" si="6"/>
        <v>0</v>
      </c>
      <c r="P96" s="87"/>
      <c r="Q96" s="87"/>
      <c r="R96" s="89" t="str">
        <f t="shared" si="7"/>
        <v/>
      </c>
      <c r="S96" s="90"/>
      <c r="T96" s="89" t="str">
        <f t="shared" si="8"/>
        <v/>
      </c>
      <c r="U96" s="95"/>
      <c r="V96" s="87"/>
      <c r="W96" s="87"/>
      <c r="X96" s="89" t="str">
        <f t="shared" si="9"/>
        <v/>
      </c>
      <c r="Y96" s="90"/>
      <c r="Z96" s="89" t="str">
        <f t="shared" si="10"/>
        <v/>
      </c>
      <c r="AA96" s="95"/>
      <c r="AB96" s="88" t="str">
        <f t="shared" si="27"/>
        <v/>
      </c>
      <c r="AC96" s="87"/>
      <c r="AD96" s="89" t="str">
        <f t="shared" si="11"/>
        <v/>
      </c>
      <c r="AE96" s="90"/>
      <c r="AF96" s="89" t="str">
        <f t="shared" si="12"/>
        <v/>
      </c>
      <c r="AG96" s="96"/>
      <c r="AH96" s="88" t="str">
        <f t="shared" si="13"/>
        <v/>
      </c>
      <c r="AI96" s="87"/>
      <c r="AJ96" s="89" t="str">
        <f t="shared" si="14"/>
        <v/>
      </c>
      <c r="AK96" s="90"/>
      <c r="AL96" s="89" t="str">
        <f t="shared" si="15"/>
        <v/>
      </c>
      <c r="AM96" s="89"/>
      <c r="AN96" s="93">
        <f t="shared" si="17"/>
        <v>0</v>
      </c>
      <c r="AO96" s="94">
        <f t="shared" si="18"/>
        <v>0</v>
      </c>
      <c r="AP96" s="87"/>
      <c r="AQ96" s="87"/>
      <c r="AR96" s="89" t="str">
        <f t="shared" si="19"/>
        <v/>
      </c>
      <c r="AS96" s="90"/>
      <c r="AT96" s="89" t="str">
        <f t="shared" si="20"/>
        <v/>
      </c>
      <c r="AU96" s="95"/>
      <c r="AV96" s="87"/>
      <c r="AW96" s="87"/>
      <c r="AX96" s="89" t="str">
        <f t="shared" si="21"/>
        <v/>
      </c>
      <c r="AY96" s="90"/>
      <c r="AZ96" s="89" t="str">
        <f t="shared" si="22"/>
        <v/>
      </c>
      <c r="BA96" s="95"/>
      <c r="BB96" s="88" t="str">
        <f t="shared" si="28"/>
        <v/>
      </c>
      <c r="BC96" s="87"/>
      <c r="BD96" s="89" t="str">
        <f t="shared" si="23"/>
        <v/>
      </c>
      <c r="BE96" s="90"/>
      <c r="BF96" s="89" t="str">
        <f t="shared" si="24"/>
        <v/>
      </c>
      <c r="BG96" s="96"/>
    </row>
    <row r="97">
      <c r="A97" s="87"/>
      <c r="B97" s="87"/>
      <c r="C97" s="87"/>
      <c r="D97" s="87"/>
      <c r="E97" s="87"/>
      <c r="F97" s="87"/>
      <c r="G97" s="87"/>
      <c r="H97" s="88" t="str">
        <f t="shared" si="1"/>
        <v/>
      </c>
      <c r="I97" s="87"/>
      <c r="J97" s="89" t="str">
        <f t="shared" si="2"/>
        <v/>
      </c>
      <c r="K97" s="90"/>
      <c r="L97" s="89" t="str">
        <f t="shared" si="3"/>
        <v/>
      </c>
      <c r="M97" s="89"/>
      <c r="N97" s="93">
        <f t="shared" si="5"/>
        <v>0</v>
      </c>
      <c r="O97" s="94">
        <f t="shared" si="6"/>
        <v>0</v>
      </c>
      <c r="P97" s="87"/>
      <c r="Q97" s="87"/>
      <c r="R97" s="89" t="str">
        <f t="shared" si="7"/>
        <v/>
      </c>
      <c r="S97" s="90"/>
      <c r="T97" s="89" t="str">
        <f t="shared" si="8"/>
        <v/>
      </c>
      <c r="U97" s="95"/>
      <c r="V97" s="87"/>
      <c r="W97" s="87"/>
      <c r="X97" s="89" t="str">
        <f t="shared" si="9"/>
        <v/>
      </c>
      <c r="Y97" s="90"/>
      <c r="Z97" s="89" t="str">
        <f t="shared" si="10"/>
        <v/>
      </c>
      <c r="AA97" s="95"/>
      <c r="AB97" s="88" t="str">
        <f t="shared" si="27"/>
        <v/>
      </c>
      <c r="AC97" s="87"/>
      <c r="AD97" s="89" t="str">
        <f t="shared" si="11"/>
        <v/>
      </c>
      <c r="AE97" s="90"/>
      <c r="AF97" s="89" t="str">
        <f t="shared" si="12"/>
        <v/>
      </c>
      <c r="AG97" s="96"/>
      <c r="AH97" s="88" t="str">
        <f t="shared" si="13"/>
        <v/>
      </c>
      <c r="AI97" s="87"/>
      <c r="AJ97" s="89" t="str">
        <f t="shared" si="14"/>
        <v/>
      </c>
      <c r="AK97" s="90"/>
      <c r="AL97" s="89" t="str">
        <f t="shared" si="15"/>
        <v/>
      </c>
      <c r="AM97" s="89"/>
      <c r="AN97" s="93">
        <f t="shared" si="17"/>
        <v>0</v>
      </c>
      <c r="AO97" s="94">
        <f t="shared" si="18"/>
        <v>0</v>
      </c>
      <c r="AP97" s="87"/>
      <c r="AQ97" s="87"/>
      <c r="AR97" s="89" t="str">
        <f t="shared" si="19"/>
        <v/>
      </c>
      <c r="AS97" s="90"/>
      <c r="AT97" s="89" t="str">
        <f t="shared" si="20"/>
        <v/>
      </c>
      <c r="AU97" s="95"/>
      <c r="AV97" s="87"/>
      <c r="AW97" s="87"/>
      <c r="AX97" s="89" t="str">
        <f t="shared" si="21"/>
        <v/>
      </c>
      <c r="AY97" s="90"/>
      <c r="AZ97" s="89" t="str">
        <f t="shared" si="22"/>
        <v/>
      </c>
      <c r="BA97" s="95"/>
      <c r="BB97" s="88" t="str">
        <f t="shared" si="28"/>
        <v/>
      </c>
      <c r="BC97" s="87"/>
      <c r="BD97" s="89" t="str">
        <f t="shared" si="23"/>
        <v/>
      </c>
      <c r="BE97" s="90"/>
      <c r="BF97" s="89" t="str">
        <f t="shared" si="24"/>
        <v/>
      </c>
      <c r="BG97" s="96"/>
    </row>
    <row r="98">
      <c r="A98" s="87"/>
      <c r="B98" s="87"/>
      <c r="C98" s="87"/>
      <c r="D98" s="87"/>
      <c r="E98" s="87"/>
      <c r="F98" s="87"/>
      <c r="G98" s="87"/>
      <c r="H98" s="88" t="str">
        <f t="shared" si="1"/>
        <v/>
      </c>
      <c r="I98" s="87"/>
      <c r="J98" s="89" t="str">
        <f t="shared" si="2"/>
        <v/>
      </c>
      <c r="K98" s="90"/>
      <c r="L98" s="89" t="str">
        <f t="shared" si="3"/>
        <v/>
      </c>
      <c r="M98" s="89"/>
      <c r="N98" s="93">
        <f t="shared" si="5"/>
        <v>0</v>
      </c>
      <c r="O98" s="94">
        <f t="shared" si="6"/>
        <v>0</v>
      </c>
      <c r="P98" s="87"/>
      <c r="Q98" s="87"/>
      <c r="R98" s="89" t="str">
        <f t="shared" si="7"/>
        <v/>
      </c>
      <c r="S98" s="90"/>
      <c r="T98" s="89" t="str">
        <f t="shared" si="8"/>
        <v/>
      </c>
      <c r="U98" s="95"/>
      <c r="V98" s="87"/>
      <c r="W98" s="87"/>
      <c r="X98" s="89" t="str">
        <f t="shared" si="9"/>
        <v/>
      </c>
      <c r="Y98" s="90"/>
      <c r="Z98" s="89" t="str">
        <f t="shared" si="10"/>
        <v/>
      </c>
      <c r="AA98" s="95"/>
      <c r="AB98" s="88" t="str">
        <f t="shared" si="27"/>
        <v/>
      </c>
      <c r="AC98" s="87"/>
      <c r="AD98" s="89" t="str">
        <f t="shared" si="11"/>
        <v/>
      </c>
      <c r="AE98" s="90"/>
      <c r="AF98" s="89" t="str">
        <f t="shared" si="12"/>
        <v/>
      </c>
      <c r="AG98" s="96"/>
      <c r="AH98" s="88" t="str">
        <f t="shared" si="13"/>
        <v/>
      </c>
      <c r="AI98" s="87"/>
      <c r="AJ98" s="89" t="str">
        <f t="shared" si="14"/>
        <v/>
      </c>
      <c r="AK98" s="90"/>
      <c r="AL98" s="89" t="str">
        <f t="shared" si="15"/>
        <v/>
      </c>
      <c r="AM98" s="89"/>
      <c r="AN98" s="93">
        <f t="shared" si="17"/>
        <v>0</v>
      </c>
      <c r="AO98" s="94">
        <f t="shared" si="18"/>
        <v>0</v>
      </c>
      <c r="AP98" s="87"/>
      <c r="AQ98" s="87"/>
      <c r="AR98" s="89" t="str">
        <f t="shared" si="19"/>
        <v/>
      </c>
      <c r="AS98" s="90"/>
      <c r="AT98" s="89" t="str">
        <f t="shared" si="20"/>
        <v/>
      </c>
      <c r="AU98" s="95"/>
      <c r="AV98" s="87"/>
      <c r="AW98" s="87"/>
      <c r="AX98" s="89" t="str">
        <f t="shared" si="21"/>
        <v/>
      </c>
      <c r="AY98" s="90"/>
      <c r="AZ98" s="89" t="str">
        <f t="shared" si="22"/>
        <v/>
      </c>
      <c r="BA98" s="95"/>
      <c r="BB98" s="88" t="str">
        <f t="shared" si="28"/>
        <v/>
      </c>
      <c r="BC98" s="87"/>
      <c r="BD98" s="89" t="str">
        <f t="shared" si="23"/>
        <v/>
      </c>
      <c r="BE98" s="90"/>
      <c r="BF98" s="89" t="str">
        <f t="shared" si="24"/>
        <v/>
      </c>
      <c r="BG98" s="96"/>
    </row>
    <row r="99">
      <c r="A99" s="87"/>
      <c r="B99" s="87"/>
      <c r="C99" s="87"/>
      <c r="D99" s="87"/>
      <c r="E99" s="87"/>
      <c r="F99" s="87"/>
      <c r="G99" s="87"/>
      <c r="H99" s="88" t="str">
        <f t="shared" si="1"/>
        <v/>
      </c>
      <c r="I99" s="87"/>
      <c r="J99" s="89" t="str">
        <f t="shared" si="2"/>
        <v/>
      </c>
      <c r="K99" s="90"/>
      <c r="L99" s="89" t="str">
        <f t="shared" si="3"/>
        <v/>
      </c>
      <c r="M99" s="89"/>
      <c r="N99" s="93">
        <f t="shared" si="5"/>
        <v>0</v>
      </c>
      <c r="O99" s="94">
        <f t="shared" si="6"/>
        <v>0</v>
      </c>
      <c r="P99" s="87"/>
      <c r="Q99" s="87"/>
      <c r="R99" s="89" t="str">
        <f t="shared" si="7"/>
        <v/>
      </c>
      <c r="S99" s="90"/>
      <c r="T99" s="89" t="str">
        <f t="shared" si="8"/>
        <v/>
      </c>
      <c r="U99" s="95"/>
      <c r="V99" s="87"/>
      <c r="W99" s="87"/>
      <c r="X99" s="89" t="str">
        <f t="shared" si="9"/>
        <v/>
      </c>
      <c r="Y99" s="90"/>
      <c r="Z99" s="89" t="str">
        <f t="shared" si="10"/>
        <v/>
      </c>
      <c r="AA99" s="95"/>
      <c r="AB99" s="88" t="str">
        <f t="shared" si="27"/>
        <v/>
      </c>
      <c r="AC99" s="87"/>
      <c r="AD99" s="89" t="str">
        <f t="shared" si="11"/>
        <v/>
      </c>
      <c r="AE99" s="90"/>
      <c r="AF99" s="89" t="str">
        <f t="shared" si="12"/>
        <v/>
      </c>
      <c r="AG99" s="96"/>
      <c r="AH99" s="88" t="str">
        <f t="shared" si="13"/>
        <v/>
      </c>
      <c r="AI99" s="87"/>
      <c r="AJ99" s="89" t="str">
        <f t="shared" si="14"/>
        <v/>
      </c>
      <c r="AK99" s="90"/>
      <c r="AL99" s="89" t="str">
        <f t="shared" si="15"/>
        <v/>
      </c>
      <c r="AM99" s="89"/>
      <c r="AN99" s="93">
        <f t="shared" si="17"/>
        <v>0</v>
      </c>
      <c r="AO99" s="94">
        <f t="shared" si="18"/>
        <v>0</v>
      </c>
      <c r="AP99" s="87"/>
      <c r="AQ99" s="87"/>
      <c r="AR99" s="89" t="str">
        <f t="shared" si="19"/>
        <v/>
      </c>
      <c r="AS99" s="90"/>
      <c r="AT99" s="89" t="str">
        <f t="shared" si="20"/>
        <v/>
      </c>
      <c r="AU99" s="95"/>
      <c r="AV99" s="87"/>
      <c r="AW99" s="87"/>
      <c r="AX99" s="89" t="str">
        <f t="shared" si="21"/>
        <v/>
      </c>
      <c r="AY99" s="90"/>
      <c r="AZ99" s="89" t="str">
        <f t="shared" si="22"/>
        <v/>
      </c>
      <c r="BA99" s="95"/>
      <c r="BB99" s="88" t="str">
        <f t="shared" si="28"/>
        <v/>
      </c>
      <c r="BC99" s="87"/>
      <c r="BD99" s="89" t="str">
        <f t="shared" si="23"/>
        <v/>
      </c>
      <c r="BE99" s="90"/>
      <c r="BF99" s="89" t="str">
        <f t="shared" si="24"/>
        <v/>
      </c>
      <c r="BG99" s="96"/>
    </row>
    <row r="100">
      <c r="A100" s="87"/>
      <c r="B100" s="87"/>
      <c r="C100" s="87"/>
      <c r="D100" s="87"/>
      <c r="E100" s="87"/>
      <c r="F100" s="87"/>
      <c r="G100" s="87"/>
      <c r="H100" s="88" t="str">
        <f t="shared" si="1"/>
        <v/>
      </c>
      <c r="I100" s="87"/>
      <c r="J100" s="89" t="str">
        <f t="shared" si="2"/>
        <v/>
      </c>
      <c r="K100" s="90"/>
      <c r="L100" s="89" t="str">
        <f t="shared" si="3"/>
        <v/>
      </c>
      <c r="M100" s="89"/>
      <c r="N100" s="93">
        <f t="shared" si="5"/>
        <v>0</v>
      </c>
      <c r="O100" s="94">
        <f t="shared" si="6"/>
        <v>0</v>
      </c>
      <c r="P100" s="87"/>
      <c r="Q100" s="87"/>
      <c r="R100" s="89" t="str">
        <f t="shared" si="7"/>
        <v/>
      </c>
      <c r="S100" s="90"/>
      <c r="T100" s="89" t="str">
        <f t="shared" si="8"/>
        <v/>
      </c>
      <c r="U100" s="95"/>
      <c r="V100" s="87"/>
      <c r="W100" s="87"/>
      <c r="X100" s="89" t="str">
        <f t="shared" si="9"/>
        <v/>
      </c>
      <c r="Y100" s="90"/>
      <c r="Z100" s="89" t="str">
        <f t="shared" si="10"/>
        <v/>
      </c>
      <c r="AA100" s="95"/>
      <c r="AB100" s="88" t="str">
        <f t="shared" si="27"/>
        <v/>
      </c>
      <c r="AC100" s="87"/>
      <c r="AD100" s="89" t="str">
        <f t="shared" si="11"/>
        <v/>
      </c>
      <c r="AE100" s="90"/>
      <c r="AF100" s="89" t="str">
        <f t="shared" si="12"/>
        <v/>
      </c>
      <c r="AG100" s="96"/>
      <c r="AH100" s="88" t="str">
        <f t="shared" si="13"/>
        <v/>
      </c>
      <c r="AI100" s="87"/>
      <c r="AJ100" s="89" t="str">
        <f t="shared" si="14"/>
        <v/>
      </c>
      <c r="AK100" s="90"/>
      <c r="AL100" s="89" t="str">
        <f t="shared" si="15"/>
        <v/>
      </c>
      <c r="AM100" s="89"/>
      <c r="AN100" s="93">
        <f t="shared" si="17"/>
        <v>0</v>
      </c>
      <c r="AO100" s="94">
        <f t="shared" si="18"/>
        <v>0</v>
      </c>
      <c r="AP100" s="87"/>
      <c r="AQ100" s="87"/>
      <c r="AR100" s="89" t="str">
        <f t="shared" si="19"/>
        <v/>
      </c>
      <c r="AS100" s="90"/>
      <c r="AT100" s="89" t="str">
        <f t="shared" si="20"/>
        <v/>
      </c>
      <c r="AU100" s="95"/>
      <c r="AV100" s="87"/>
      <c r="AW100" s="87"/>
      <c r="AX100" s="89" t="str">
        <f t="shared" si="21"/>
        <v/>
      </c>
      <c r="AY100" s="90"/>
      <c r="AZ100" s="89" t="str">
        <f t="shared" si="22"/>
        <v/>
      </c>
      <c r="BA100" s="95"/>
      <c r="BB100" s="88" t="str">
        <f t="shared" si="28"/>
        <v/>
      </c>
      <c r="BC100" s="87"/>
      <c r="BD100" s="89" t="str">
        <f t="shared" si="23"/>
        <v/>
      </c>
      <c r="BE100" s="90"/>
      <c r="BF100" s="89" t="str">
        <f t="shared" si="24"/>
        <v/>
      </c>
      <c r="BG100" s="96"/>
    </row>
    <row r="101">
      <c r="A101" s="87"/>
      <c r="B101" s="87"/>
      <c r="C101" s="87"/>
      <c r="D101" s="87"/>
      <c r="E101" s="87"/>
      <c r="F101" s="87"/>
      <c r="G101" s="87"/>
      <c r="H101" s="88" t="str">
        <f t="shared" si="1"/>
        <v/>
      </c>
      <c r="I101" s="87"/>
      <c r="J101" s="89" t="str">
        <f t="shared" si="2"/>
        <v/>
      </c>
      <c r="K101" s="90"/>
      <c r="L101" s="89" t="str">
        <f t="shared" si="3"/>
        <v/>
      </c>
      <c r="M101" s="89"/>
      <c r="N101" s="93">
        <f t="shared" si="5"/>
        <v>0</v>
      </c>
      <c r="O101" s="94">
        <f t="shared" si="6"/>
        <v>0</v>
      </c>
      <c r="P101" s="87"/>
      <c r="Q101" s="87"/>
      <c r="R101" s="89" t="str">
        <f t="shared" si="7"/>
        <v/>
      </c>
      <c r="S101" s="90"/>
      <c r="T101" s="89" t="str">
        <f t="shared" si="8"/>
        <v/>
      </c>
      <c r="U101" s="95"/>
      <c r="V101" s="87"/>
      <c r="W101" s="87"/>
      <c r="X101" s="89" t="str">
        <f t="shared" si="9"/>
        <v/>
      </c>
      <c r="Y101" s="90"/>
      <c r="Z101" s="89" t="str">
        <f t="shared" si="10"/>
        <v/>
      </c>
      <c r="AA101" s="95"/>
      <c r="AB101" s="88" t="str">
        <f t="shared" si="27"/>
        <v/>
      </c>
      <c r="AC101" s="87"/>
      <c r="AD101" s="89" t="str">
        <f t="shared" si="11"/>
        <v/>
      </c>
      <c r="AE101" s="90"/>
      <c r="AF101" s="89" t="str">
        <f t="shared" si="12"/>
        <v/>
      </c>
      <c r="AG101" s="96"/>
      <c r="AH101" s="88" t="str">
        <f t="shared" si="13"/>
        <v/>
      </c>
      <c r="AI101" s="87"/>
      <c r="AJ101" s="89" t="str">
        <f t="shared" si="14"/>
        <v/>
      </c>
      <c r="AK101" s="90"/>
      <c r="AL101" s="89" t="str">
        <f t="shared" si="15"/>
        <v/>
      </c>
      <c r="AM101" s="89"/>
      <c r="AN101" s="93">
        <f t="shared" si="17"/>
        <v>0</v>
      </c>
      <c r="AO101" s="94">
        <f t="shared" si="18"/>
        <v>0</v>
      </c>
      <c r="AP101" s="87"/>
      <c r="AQ101" s="87"/>
      <c r="AR101" s="89" t="str">
        <f t="shared" si="19"/>
        <v/>
      </c>
      <c r="AS101" s="90"/>
      <c r="AT101" s="89" t="str">
        <f t="shared" si="20"/>
        <v/>
      </c>
      <c r="AU101" s="95"/>
      <c r="AV101" s="87"/>
      <c r="AW101" s="87"/>
      <c r="AX101" s="89" t="str">
        <f t="shared" si="21"/>
        <v/>
      </c>
      <c r="AY101" s="90"/>
      <c r="AZ101" s="89" t="str">
        <f t="shared" si="22"/>
        <v/>
      </c>
      <c r="BA101" s="95"/>
      <c r="BB101" s="88" t="str">
        <f t="shared" si="28"/>
        <v/>
      </c>
      <c r="BC101" s="87"/>
      <c r="BD101" s="89" t="str">
        <f t="shared" si="23"/>
        <v/>
      </c>
      <c r="BE101" s="90"/>
      <c r="BF101" s="89" t="str">
        <f t="shared" si="24"/>
        <v/>
      </c>
      <c r="BG101" s="96"/>
    </row>
    <row r="102">
      <c r="A102" s="87"/>
      <c r="B102" s="87"/>
      <c r="C102" s="87"/>
      <c r="D102" s="87"/>
      <c r="E102" s="87"/>
      <c r="F102" s="87"/>
      <c r="G102" s="87"/>
      <c r="H102" s="88" t="str">
        <f t="shared" si="1"/>
        <v/>
      </c>
      <c r="I102" s="87"/>
      <c r="J102" s="89" t="str">
        <f t="shared" si="2"/>
        <v/>
      </c>
      <c r="K102" s="90"/>
      <c r="L102" s="89" t="str">
        <f t="shared" si="3"/>
        <v/>
      </c>
      <c r="M102" s="89"/>
      <c r="N102" s="93">
        <f t="shared" si="5"/>
        <v>0</v>
      </c>
      <c r="O102" s="94">
        <f t="shared" si="6"/>
        <v>0</v>
      </c>
      <c r="P102" s="87"/>
      <c r="Q102" s="87"/>
      <c r="R102" s="89" t="str">
        <f t="shared" si="7"/>
        <v/>
      </c>
      <c r="S102" s="90"/>
      <c r="T102" s="89" t="str">
        <f t="shared" si="8"/>
        <v/>
      </c>
      <c r="U102" s="95"/>
      <c r="V102" s="87"/>
      <c r="W102" s="87"/>
      <c r="X102" s="89" t="str">
        <f t="shared" si="9"/>
        <v/>
      </c>
      <c r="Y102" s="90"/>
      <c r="Z102" s="89" t="str">
        <f t="shared" si="10"/>
        <v/>
      </c>
      <c r="AA102" s="95"/>
      <c r="AB102" s="88" t="str">
        <f t="shared" si="27"/>
        <v/>
      </c>
      <c r="AC102" s="87"/>
      <c r="AD102" s="89" t="str">
        <f t="shared" si="11"/>
        <v/>
      </c>
      <c r="AE102" s="90"/>
      <c r="AF102" s="89" t="str">
        <f t="shared" si="12"/>
        <v/>
      </c>
      <c r="AG102" s="96"/>
      <c r="AH102" s="88" t="str">
        <f t="shared" si="13"/>
        <v/>
      </c>
      <c r="AI102" s="87"/>
      <c r="AJ102" s="89" t="str">
        <f t="shared" si="14"/>
        <v/>
      </c>
      <c r="AK102" s="90"/>
      <c r="AL102" s="89" t="str">
        <f t="shared" si="15"/>
        <v/>
      </c>
      <c r="AM102" s="89"/>
      <c r="AN102" s="93">
        <f t="shared" si="17"/>
        <v>0</v>
      </c>
      <c r="AO102" s="94">
        <f t="shared" si="18"/>
        <v>0</v>
      </c>
      <c r="AP102" s="87"/>
      <c r="AQ102" s="87"/>
      <c r="AR102" s="89" t="str">
        <f t="shared" si="19"/>
        <v/>
      </c>
      <c r="AS102" s="90"/>
      <c r="AT102" s="89" t="str">
        <f t="shared" si="20"/>
        <v/>
      </c>
      <c r="AU102" s="95"/>
      <c r="AV102" s="87"/>
      <c r="AW102" s="87"/>
      <c r="AX102" s="89" t="str">
        <f t="shared" si="21"/>
        <v/>
      </c>
      <c r="AY102" s="90"/>
      <c r="AZ102" s="89" t="str">
        <f t="shared" si="22"/>
        <v/>
      </c>
      <c r="BA102" s="95"/>
      <c r="BB102" s="88" t="str">
        <f t="shared" si="28"/>
        <v/>
      </c>
      <c r="BC102" s="87"/>
      <c r="BD102" s="89" t="str">
        <f t="shared" si="23"/>
        <v/>
      </c>
      <c r="BE102" s="90"/>
      <c r="BF102" s="89" t="str">
        <f t="shared" si="24"/>
        <v/>
      </c>
      <c r="BG102" s="96"/>
    </row>
    <row r="103">
      <c r="A103" s="87"/>
      <c r="B103" s="87"/>
      <c r="C103" s="87"/>
      <c r="D103" s="87"/>
      <c r="E103" s="87"/>
      <c r="F103" s="87"/>
      <c r="G103" s="87"/>
      <c r="H103" s="88" t="str">
        <f t="shared" si="1"/>
        <v/>
      </c>
      <c r="I103" s="87"/>
      <c r="J103" s="89" t="str">
        <f t="shared" si="2"/>
        <v/>
      </c>
      <c r="K103" s="90"/>
      <c r="L103" s="89" t="str">
        <f t="shared" si="3"/>
        <v/>
      </c>
      <c r="M103" s="89"/>
      <c r="N103" s="93">
        <f t="shared" si="5"/>
        <v>0</v>
      </c>
      <c r="O103" s="94">
        <f t="shared" si="6"/>
        <v>0</v>
      </c>
      <c r="P103" s="87"/>
      <c r="Q103" s="87"/>
      <c r="R103" s="89" t="str">
        <f t="shared" si="7"/>
        <v/>
      </c>
      <c r="S103" s="90"/>
      <c r="T103" s="89" t="str">
        <f t="shared" si="8"/>
        <v/>
      </c>
      <c r="U103" s="95"/>
      <c r="V103" s="87"/>
      <c r="W103" s="87"/>
      <c r="X103" s="89" t="str">
        <f t="shared" si="9"/>
        <v/>
      </c>
      <c r="Y103" s="90"/>
      <c r="Z103" s="89" t="str">
        <f t="shared" si="10"/>
        <v/>
      </c>
      <c r="AA103" s="95"/>
      <c r="AB103" s="88" t="str">
        <f t="shared" si="27"/>
        <v/>
      </c>
      <c r="AC103" s="87"/>
      <c r="AD103" s="89" t="str">
        <f t="shared" si="11"/>
        <v/>
      </c>
      <c r="AE103" s="90"/>
      <c r="AF103" s="89" t="str">
        <f t="shared" si="12"/>
        <v/>
      </c>
      <c r="AG103" s="96"/>
      <c r="AH103" s="88" t="str">
        <f t="shared" si="13"/>
        <v/>
      </c>
      <c r="AI103" s="87"/>
      <c r="AJ103" s="89" t="str">
        <f t="shared" si="14"/>
        <v/>
      </c>
      <c r="AK103" s="90"/>
      <c r="AL103" s="89" t="str">
        <f t="shared" si="15"/>
        <v/>
      </c>
      <c r="AM103" s="89"/>
      <c r="AN103" s="93">
        <f t="shared" si="17"/>
        <v>0</v>
      </c>
      <c r="AO103" s="94">
        <f t="shared" si="18"/>
        <v>0</v>
      </c>
      <c r="AP103" s="87"/>
      <c r="AQ103" s="87"/>
      <c r="AR103" s="89" t="str">
        <f t="shared" si="19"/>
        <v/>
      </c>
      <c r="AS103" s="90"/>
      <c r="AT103" s="89" t="str">
        <f t="shared" si="20"/>
        <v/>
      </c>
      <c r="AU103" s="95"/>
      <c r="AV103" s="87"/>
      <c r="AW103" s="87"/>
      <c r="AX103" s="89" t="str">
        <f t="shared" si="21"/>
        <v/>
      </c>
      <c r="AY103" s="90"/>
      <c r="AZ103" s="89" t="str">
        <f t="shared" si="22"/>
        <v/>
      </c>
      <c r="BA103" s="95"/>
      <c r="BB103" s="88" t="str">
        <f t="shared" si="28"/>
        <v/>
      </c>
      <c r="BC103" s="87"/>
      <c r="BD103" s="89" t="str">
        <f t="shared" si="23"/>
        <v/>
      </c>
      <c r="BE103" s="90"/>
      <c r="BF103" s="89" t="str">
        <f t="shared" si="24"/>
        <v/>
      </c>
      <c r="BG103" s="96"/>
    </row>
    <row r="104">
      <c r="A104" s="87"/>
      <c r="B104" s="87"/>
      <c r="C104" s="87"/>
      <c r="D104" s="87"/>
      <c r="E104" s="87"/>
      <c r="F104" s="87"/>
      <c r="G104" s="87"/>
      <c r="H104" s="88" t="str">
        <f t="shared" si="1"/>
        <v/>
      </c>
      <c r="I104" s="87"/>
      <c r="J104" s="89" t="str">
        <f t="shared" si="2"/>
        <v/>
      </c>
      <c r="K104" s="90"/>
      <c r="L104" s="89" t="str">
        <f t="shared" si="3"/>
        <v/>
      </c>
      <c r="M104" s="89"/>
      <c r="N104" s="93">
        <f t="shared" si="5"/>
        <v>0</v>
      </c>
      <c r="O104" s="94">
        <f t="shared" si="6"/>
        <v>0</v>
      </c>
      <c r="P104" s="87"/>
      <c r="Q104" s="87"/>
      <c r="R104" s="89" t="str">
        <f t="shared" si="7"/>
        <v/>
      </c>
      <c r="S104" s="90"/>
      <c r="T104" s="89" t="str">
        <f t="shared" si="8"/>
        <v/>
      </c>
      <c r="U104" s="95"/>
      <c r="V104" s="87"/>
      <c r="W104" s="87"/>
      <c r="X104" s="89" t="str">
        <f t="shared" si="9"/>
        <v/>
      </c>
      <c r="Y104" s="90"/>
      <c r="Z104" s="89" t="str">
        <f t="shared" si="10"/>
        <v/>
      </c>
      <c r="AA104" s="95"/>
      <c r="AB104" s="88" t="str">
        <f t="shared" si="27"/>
        <v/>
      </c>
      <c r="AC104" s="87"/>
      <c r="AD104" s="89" t="str">
        <f t="shared" si="11"/>
        <v/>
      </c>
      <c r="AE104" s="90"/>
      <c r="AF104" s="89" t="str">
        <f t="shared" si="12"/>
        <v/>
      </c>
      <c r="AG104" s="96"/>
      <c r="AH104" s="88" t="str">
        <f t="shared" si="13"/>
        <v/>
      </c>
      <c r="AI104" s="87"/>
      <c r="AJ104" s="89" t="str">
        <f t="shared" si="14"/>
        <v/>
      </c>
      <c r="AK104" s="90"/>
      <c r="AL104" s="89" t="str">
        <f t="shared" si="15"/>
        <v/>
      </c>
      <c r="AM104" s="89"/>
      <c r="AN104" s="93">
        <f t="shared" si="17"/>
        <v>0</v>
      </c>
      <c r="AO104" s="94">
        <f t="shared" si="18"/>
        <v>0</v>
      </c>
      <c r="AP104" s="87"/>
      <c r="AQ104" s="87"/>
      <c r="AR104" s="89" t="str">
        <f t="shared" si="19"/>
        <v/>
      </c>
      <c r="AS104" s="90"/>
      <c r="AT104" s="89" t="str">
        <f t="shared" si="20"/>
        <v/>
      </c>
      <c r="AU104" s="95"/>
      <c r="AV104" s="87"/>
      <c r="AW104" s="87"/>
      <c r="AX104" s="89" t="str">
        <f t="shared" si="21"/>
        <v/>
      </c>
      <c r="AY104" s="90"/>
      <c r="AZ104" s="89" t="str">
        <f t="shared" si="22"/>
        <v/>
      </c>
      <c r="BA104" s="95"/>
      <c r="BB104" s="88" t="str">
        <f t="shared" si="28"/>
        <v/>
      </c>
      <c r="BC104" s="87"/>
      <c r="BD104" s="89" t="str">
        <f t="shared" si="23"/>
        <v/>
      </c>
      <c r="BE104" s="90"/>
      <c r="BF104" s="89" t="str">
        <f t="shared" si="24"/>
        <v/>
      </c>
      <c r="BG104" s="96"/>
    </row>
    <row r="105">
      <c r="A105" s="87"/>
      <c r="B105" s="87"/>
      <c r="C105" s="87"/>
      <c r="D105" s="87"/>
      <c r="E105" s="87"/>
      <c r="F105" s="87"/>
      <c r="G105" s="87"/>
      <c r="H105" s="88" t="str">
        <f t="shared" si="1"/>
        <v/>
      </c>
      <c r="I105" s="87"/>
      <c r="J105" s="89" t="str">
        <f t="shared" si="2"/>
        <v/>
      </c>
      <c r="K105" s="90"/>
      <c r="L105" s="89" t="str">
        <f t="shared" si="3"/>
        <v/>
      </c>
      <c r="M105" s="89"/>
      <c r="N105" s="93">
        <f t="shared" si="5"/>
        <v>0</v>
      </c>
      <c r="O105" s="94">
        <f t="shared" si="6"/>
        <v>0</v>
      </c>
      <c r="P105" s="87"/>
      <c r="Q105" s="87"/>
      <c r="R105" s="89" t="str">
        <f t="shared" si="7"/>
        <v/>
      </c>
      <c r="S105" s="90"/>
      <c r="T105" s="89" t="str">
        <f t="shared" si="8"/>
        <v/>
      </c>
      <c r="U105" s="95"/>
      <c r="V105" s="87"/>
      <c r="W105" s="87"/>
      <c r="X105" s="89" t="str">
        <f t="shared" si="9"/>
        <v/>
      </c>
      <c r="Y105" s="90"/>
      <c r="Z105" s="89" t="str">
        <f t="shared" si="10"/>
        <v/>
      </c>
      <c r="AA105" s="95"/>
      <c r="AB105" s="88" t="str">
        <f t="shared" si="27"/>
        <v/>
      </c>
      <c r="AC105" s="87"/>
      <c r="AD105" s="89" t="str">
        <f t="shared" si="11"/>
        <v/>
      </c>
      <c r="AE105" s="90"/>
      <c r="AF105" s="89" t="str">
        <f t="shared" si="12"/>
        <v/>
      </c>
      <c r="AG105" s="96"/>
      <c r="AH105" s="88" t="str">
        <f t="shared" si="13"/>
        <v/>
      </c>
      <c r="AI105" s="87"/>
      <c r="AJ105" s="89" t="str">
        <f t="shared" si="14"/>
        <v/>
      </c>
      <c r="AK105" s="90"/>
      <c r="AL105" s="89" t="str">
        <f t="shared" si="15"/>
        <v/>
      </c>
      <c r="AM105" s="89"/>
      <c r="AN105" s="93">
        <f t="shared" si="17"/>
        <v>0</v>
      </c>
      <c r="AO105" s="94">
        <f t="shared" si="18"/>
        <v>0</v>
      </c>
      <c r="AP105" s="87"/>
      <c r="AQ105" s="87"/>
      <c r="AR105" s="89" t="str">
        <f t="shared" si="19"/>
        <v/>
      </c>
      <c r="AS105" s="90"/>
      <c r="AT105" s="89" t="str">
        <f t="shared" si="20"/>
        <v/>
      </c>
      <c r="AU105" s="95"/>
      <c r="AV105" s="87"/>
      <c r="AW105" s="87"/>
      <c r="AX105" s="89" t="str">
        <f t="shared" si="21"/>
        <v/>
      </c>
      <c r="AY105" s="90"/>
      <c r="AZ105" s="89" t="str">
        <f t="shared" si="22"/>
        <v/>
      </c>
      <c r="BA105" s="95"/>
      <c r="BB105" s="88" t="str">
        <f t="shared" si="28"/>
        <v/>
      </c>
      <c r="BC105" s="87"/>
      <c r="BD105" s="89" t="str">
        <f t="shared" si="23"/>
        <v/>
      </c>
      <c r="BE105" s="90"/>
      <c r="BF105" s="89" t="str">
        <f t="shared" si="24"/>
        <v/>
      </c>
      <c r="BG105" s="96"/>
    </row>
    <row r="106">
      <c r="A106" s="87"/>
      <c r="B106" s="87"/>
      <c r="C106" s="87"/>
      <c r="D106" s="87"/>
      <c r="E106" s="87"/>
      <c r="F106" s="87"/>
      <c r="G106" s="87"/>
      <c r="H106" s="88" t="str">
        <f t="shared" si="1"/>
        <v/>
      </c>
      <c r="I106" s="87"/>
      <c r="J106" s="89" t="str">
        <f t="shared" si="2"/>
        <v/>
      </c>
      <c r="K106" s="90"/>
      <c r="L106" s="89" t="str">
        <f t="shared" si="3"/>
        <v/>
      </c>
      <c r="M106" s="89"/>
      <c r="N106" s="93">
        <f t="shared" si="5"/>
        <v>0</v>
      </c>
      <c r="O106" s="94">
        <f t="shared" si="6"/>
        <v>0</v>
      </c>
      <c r="P106" s="87"/>
      <c r="Q106" s="87"/>
      <c r="R106" s="89" t="str">
        <f t="shared" si="7"/>
        <v/>
      </c>
      <c r="S106" s="90"/>
      <c r="T106" s="89" t="str">
        <f t="shared" si="8"/>
        <v/>
      </c>
      <c r="U106" s="95"/>
      <c r="V106" s="87"/>
      <c r="W106" s="87"/>
      <c r="X106" s="89" t="str">
        <f t="shared" si="9"/>
        <v/>
      </c>
      <c r="Y106" s="90"/>
      <c r="Z106" s="89" t="str">
        <f t="shared" si="10"/>
        <v/>
      </c>
      <c r="AA106" s="95"/>
      <c r="AB106" s="88" t="str">
        <f t="shared" si="27"/>
        <v/>
      </c>
      <c r="AC106" s="87"/>
      <c r="AD106" s="89" t="str">
        <f t="shared" si="11"/>
        <v/>
      </c>
      <c r="AE106" s="90"/>
      <c r="AF106" s="89" t="str">
        <f t="shared" si="12"/>
        <v/>
      </c>
      <c r="AG106" s="96"/>
      <c r="AH106" s="88" t="str">
        <f t="shared" si="13"/>
        <v/>
      </c>
      <c r="AI106" s="87"/>
      <c r="AJ106" s="89" t="str">
        <f t="shared" si="14"/>
        <v/>
      </c>
      <c r="AK106" s="90"/>
      <c r="AL106" s="89" t="str">
        <f t="shared" si="15"/>
        <v/>
      </c>
      <c r="AM106" s="89"/>
      <c r="AN106" s="93">
        <f t="shared" si="17"/>
        <v>0</v>
      </c>
      <c r="AO106" s="94">
        <f t="shared" si="18"/>
        <v>0</v>
      </c>
      <c r="AP106" s="87"/>
      <c r="AQ106" s="87"/>
      <c r="AR106" s="89" t="str">
        <f t="shared" si="19"/>
        <v/>
      </c>
      <c r="AS106" s="90"/>
      <c r="AT106" s="89" t="str">
        <f t="shared" si="20"/>
        <v/>
      </c>
      <c r="AU106" s="95"/>
      <c r="AV106" s="87"/>
      <c r="AW106" s="87"/>
      <c r="AX106" s="89" t="str">
        <f t="shared" si="21"/>
        <v/>
      </c>
      <c r="AY106" s="90"/>
      <c r="AZ106" s="89" t="str">
        <f t="shared" si="22"/>
        <v/>
      </c>
      <c r="BA106" s="95"/>
      <c r="BB106" s="88" t="str">
        <f t="shared" si="28"/>
        <v/>
      </c>
      <c r="BC106" s="87"/>
      <c r="BD106" s="89" t="str">
        <f t="shared" si="23"/>
        <v/>
      </c>
      <c r="BE106" s="90"/>
      <c r="BF106" s="89" t="str">
        <f t="shared" si="24"/>
        <v/>
      </c>
      <c r="BG106" s="96"/>
    </row>
    <row r="107">
      <c r="A107" s="87"/>
      <c r="B107" s="87"/>
      <c r="C107" s="87"/>
      <c r="D107" s="87"/>
      <c r="E107" s="87"/>
      <c r="F107" s="87"/>
      <c r="G107" s="87"/>
      <c r="H107" s="88" t="str">
        <f t="shared" si="1"/>
        <v/>
      </c>
      <c r="I107" s="87"/>
      <c r="J107" s="89" t="str">
        <f t="shared" si="2"/>
        <v/>
      </c>
      <c r="K107" s="90"/>
      <c r="L107" s="89" t="str">
        <f t="shared" si="3"/>
        <v/>
      </c>
      <c r="M107" s="89"/>
      <c r="N107" s="93">
        <f t="shared" si="5"/>
        <v>0</v>
      </c>
      <c r="O107" s="94">
        <f t="shared" si="6"/>
        <v>0</v>
      </c>
      <c r="P107" s="87"/>
      <c r="Q107" s="87"/>
      <c r="R107" s="89" t="str">
        <f t="shared" si="7"/>
        <v/>
      </c>
      <c r="S107" s="90"/>
      <c r="T107" s="89" t="str">
        <f t="shared" si="8"/>
        <v/>
      </c>
      <c r="U107" s="95"/>
      <c r="V107" s="87"/>
      <c r="W107" s="87"/>
      <c r="X107" s="89" t="str">
        <f t="shared" si="9"/>
        <v/>
      </c>
      <c r="Y107" s="90"/>
      <c r="Z107" s="89" t="str">
        <f t="shared" si="10"/>
        <v/>
      </c>
      <c r="AA107" s="95"/>
      <c r="AB107" s="88" t="str">
        <f t="shared" si="27"/>
        <v/>
      </c>
      <c r="AC107" s="87"/>
      <c r="AD107" s="89" t="str">
        <f t="shared" si="11"/>
        <v/>
      </c>
      <c r="AE107" s="90"/>
      <c r="AF107" s="89" t="str">
        <f t="shared" si="12"/>
        <v/>
      </c>
      <c r="AG107" s="96"/>
      <c r="AH107" s="88" t="str">
        <f t="shared" si="13"/>
        <v/>
      </c>
      <c r="AI107" s="87"/>
      <c r="AJ107" s="89" t="str">
        <f t="shared" si="14"/>
        <v/>
      </c>
      <c r="AK107" s="90"/>
      <c r="AL107" s="89" t="str">
        <f t="shared" si="15"/>
        <v/>
      </c>
      <c r="AM107" s="89"/>
      <c r="AN107" s="93">
        <f t="shared" si="17"/>
        <v>0</v>
      </c>
      <c r="AO107" s="94">
        <f t="shared" si="18"/>
        <v>0</v>
      </c>
      <c r="AP107" s="87"/>
      <c r="AQ107" s="87"/>
      <c r="AR107" s="89" t="str">
        <f t="shared" si="19"/>
        <v/>
      </c>
      <c r="AS107" s="90"/>
      <c r="AT107" s="89" t="str">
        <f t="shared" si="20"/>
        <v/>
      </c>
      <c r="AU107" s="95"/>
      <c r="AV107" s="87"/>
      <c r="AW107" s="87"/>
      <c r="AX107" s="89" t="str">
        <f t="shared" si="21"/>
        <v/>
      </c>
      <c r="AY107" s="90"/>
      <c r="AZ107" s="89" t="str">
        <f t="shared" si="22"/>
        <v/>
      </c>
      <c r="BA107" s="95"/>
      <c r="BB107" s="88" t="str">
        <f t="shared" si="28"/>
        <v/>
      </c>
      <c r="BC107" s="87"/>
      <c r="BD107" s="89" t="str">
        <f t="shared" si="23"/>
        <v/>
      </c>
      <c r="BE107" s="90"/>
      <c r="BF107" s="89" t="str">
        <f t="shared" si="24"/>
        <v/>
      </c>
      <c r="BG107" s="96"/>
    </row>
    <row r="108">
      <c r="A108" s="87"/>
      <c r="B108" s="87"/>
      <c r="C108" s="87"/>
      <c r="D108" s="87"/>
      <c r="E108" s="87"/>
      <c r="F108" s="87"/>
      <c r="G108" s="87"/>
      <c r="H108" s="88" t="str">
        <f t="shared" si="1"/>
        <v/>
      </c>
      <c r="I108" s="87"/>
      <c r="J108" s="89" t="str">
        <f t="shared" si="2"/>
        <v/>
      </c>
      <c r="K108" s="90"/>
      <c r="L108" s="89" t="str">
        <f t="shared" si="3"/>
        <v/>
      </c>
      <c r="M108" s="89"/>
      <c r="N108" s="93">
        <f t="shared" si="5"/>
        <v>0</v>
      </c>
      <c r="O108" s="94">
        <f t="shared" si="6"/>
        <v>0</v>
      </c>
      <c r="P108" s="87"/>
      <c r="Q108" s="87"/>
      <c r="R108" s="89" t="str">
        <f t="shared" si="7"/>
        <v/>
      </c>
      <c r="S108" s="90"/>
      <c r="T108" s="89" t="str">
        <f t="shared" si="8"/>
        <v/>
      </c>
      <c r="U108" s="95"/>
      <c r="V108" s="87"/>
      <c r="W108" s="87"/>
      <c r="X108" s="89" t="str">
        <f t="shared" si="9"/>
        <v/>
      </c>
      <c r="Y108" s="90"/>
      <c r="Z108" s="89" t="str">
        <f t="shared" si="10"/>
        <v/>
      </c>
      <c r="AA108" s="95"/>
      <c r="AB108" s="88" t="str">
        <f t="shared" si="27"/>
        <v/>
      </c>
      <c r="AC108" s="87"/>
      <c r="AD108" s="89" t="str">
        <f t="shared" si="11"/>
        <v/>
      </c>
      <c r="AE108" s="90"/>
      <c r="AF108" s="89" t="str">
        <f t="shared" si="12"/>
        <v/>
      </c>
      <c r="AG108" s="96"/>
      <c r="AH108" s="88" t="str">
        <f t="shared" si="13"/>
        <v/>
      </c>
      <c r="AI108" s="87"/>
      <c r="AJ108" s="89" t="str">
        <f t="shared" si="14"/>
        <v/>
      </c>
      <c r="AK108" s="90"/>
      <c r="AL108" s="89" t="str">
        <f t="shared" si="15"/>
        <v/>
      </c>
      <c r="AM108" s="89"/>
      <c r="AN108" s="93">
        <f t="shared" si="17"/>
        <v>0</v>
      </c>
      <c r="AO108" s="94">
        <f t="shared" si="18"/>
        <v>0</v>
      </c>
      <c r="AP108" s="87"/>
      <c r="AQ108" s="87"/>
      <c r="AR108" s="89" t="str">
        <f t="shared" si="19"/>
        <v/>
      </c>
      <c r="AS108" s="90"/>
      <c r="AT108" s="89" t="str">
        <f t="shared" si="20"/>
        <v/>
      </c>
      <c r="AU108" s="95"/>
      <c r="AV108" s="87"/>
      <c r="AW108" s="87"/>
      <c r="AX108" s="89" t="str">
        <f t="shared" si="21"/>
        <v/>
      </c>
      <c r="AY108" s="90"/>
      <c r="AZ108" s="89" t="str">
        <f t="shared" si="22"/>
        <v/>
      </c>
      <c r="BA108" s="95"/>
      <c r="BB108" s="88" t="str">
        <f t="shared" si="28"/>
        <v/>
      </c>
      <c r="BC108" s="87"/>
      <c r="BD108" s="89" t="str">
        <f t="shared" si="23"/>
        <v/>
      </c>
      <c r="BE108" s="90"/>
      <c r="BF108" s="89" t="str">
        <f t="shared" si="24"/>
        <v/>
      </c>
      <c r="BG108" s="96"/>
    </row>
    <row r="109">
      <c r="A109" s="87"/>
      <c r="B109" s="87"/>
      <c r="C109" s="87"/>
      <c r="D109" s="87"/>
      <c r="E109" s="87"/>
      <c r="F109" s="87"/>
      <c r="G109" s="87"/>
      <c r="H109" s="88" t="str">
        <f t="shared" si="1"/>
        <v/>
      </c>
      <c r="I109" s="87"/>
      <c r="J109" s="89" t="str">
        <f t="shared" si="2"/>
        <v/>
      </c>
      <c r="K109" s="90"/>
      <c r="L109" s="89" t="str">
        <f t="shared" si="3"/>
        <v/>
      </c>
      <c r="M109" s="89"/>
      <c r="N109" s="93">
        <f t="shared" si="5"/>
        <v>0</v>
      </c>
      <c r="O109" s="94">
        <f t="shared" si="6"/>
        <v>0</v>
      </c>
      <c r="P109" s="87"/>
      <c r="Q109" s="87"/>
      <c r="R109" s="89" t="str">
        <f t="shared" si="7"/>
        <v/>
      </c>
      <c r="S109" s="90"/>
      <c r="T109" s="89" t="str">
        <f t="shared" si="8"/>
        <v/>
      </c>
      <c r="U109" s="95"/>
      <c r="V109" s="87"/>
      <c r="W109" s="87"/>
      <c r="X109" s="89" t="str">
        <f t="shared" si="9"/>
        <v/>
      </c>
      <c r="Y109" s="90"/>
      <c r="Z109" s="89" t="str">
        <f t="shared" si="10"/>
        <v/>
      </c>
      <c r="AA109" s="95"/>
      <c r="AB109" s="88" t="str">
        <f t="shared" si="27"/>
        <v/>
      </c>
      <c r="AC109" s="87"/>
      <c r="AD109" s="89" t="str">
        <f t="shared" si="11"/>
        <v/>
      </c>
      <c r="AE109" s="90"/>
      <c r="AF109" s="89" t="str">
        <f t="shared" si="12"/>
        <v/>
      </c>
      <c r="AG109" s="96"/>
      <c r="AH109" s="88" t="str">
        <f t="shared" si="13"/>
        <v/>
      </c>
      <c r="AI109" s="87"/>
      <c r="AJ109" s="89" t="str">
        <f t="shared" si="14"/>
        <v/>
      </c>
      <c r="AK109" s="90"/>
      <c r="AL109" s="89" t="str">
        <f t="shared" si="15"/>
        <v/>
      </c>
      <c r="AM109" s="89"/>
      <c r="AN109" s="93">
        <f t="shared" si="17"/>
        <v>0</v>
      </c>
      <c r="AO109" s="94">
        <f t="shared" si="18"/>
        <v>0</v>
      </c>
      <c r="AP109" s="87"/>
      <c r="AQ109" s="87"/>
      <c r="AR109" s="89" t="str">
        <f t="shared" si="19"/>
        <v/>
      </c>
      <c r="AS109" s="90"/>
      <c r="AT109" s="89" t="str">
        <f t="shared" si="20"/>
        <v/>
      </c>
      <c r="AU109" s="95"/>
      <c r="AV109" s="87"/>
      <c r="AW109" s="87"/>
      <c r="AX109" s="89" t="str">
        <f t="shared" si="21"/>
        <v/>
      </c>
      <c r="AY109" s="90"/>
      <c r="AZ109" s="89" t="str">
        <f t="shared" si="22"/>
        <v/>
      </c>
      <c r="BA109" s="95"/>
      <c r="BB109" s="88" t="str">
        <f t="shared" si="28"/>
        <v/>
      </c>
      <c r="BC109" s="87"/>
      <c r="BD109" s="89" t="str">
        <f t="shared" si="23"/>
        <v/>
      </c>
      <c r="BE109" s="90"/>
      <c r="BF109" s="89" t="str">
        <f t="shared" si="24"/>
        <v/>
      </c>
      <c r="BG109" s="96"/>
    </row>
    <row r="110">
      <c r="A110" s="87"/>
      <c r="B110" s="87"/>
      <c r="C110" s="87"/>
      <c r="D110" s="87"/>
      <c r="E110" s="87"/>
      <c r="F110" s="87"/>
      <c r="G110" s="87"/>
      <c r="H110" s="88" t="str">
        <f t="shared" si="1"/>
        <v/>
      </c>
      <c r="I110" s="87"/>
      <c r="J110" s="89" t="str">
        <f t="shared" si="2"/>
        <v/>
      </c>
      <c r="K110" s="90"/>
      <c r="L110" s="89" t="str">
        <f t="shared" si="3"/>
        <v/>
      </c>
      <c r="M110" s="89"/>
      <c r="N110" s="93">
        <f t="shared" si="5"/>
        <v>0</v>
      </c>
      <c r="O110" s="94">
        <f t="shared" si="6"/>
        <v>0</v>
      </c>
      <c r="P110" s="87"/>
      <c r="Q110" s="87"/>
      <c r="R110" s="89" t="str">
        <f t="shared" si="7"/>
        <v/>
      </c>
      <c r="S110" s="90"/>
      <c r="T110" s="89" t="str">
        <f t="shared" si="8"/>
        <v/>
      </c>
      <c r="U110" s="95"/>
      <c r="V110" s="87"/>
      <c r="W110" s="87"/>
      <c r="X110" s="89" t="str">
        <f t="shared" si="9"/>
        <v/>
      </c>
      <c r="Y110" s="90"/>
      <c r="Z110" s="89" t="str">
        <f t="shared" si="10"/>
        <v/>
      </c>
      <c r="AA110" s="95"/>
      <c r="AB110" s="88" t="str">
        <f t="shared" si="27"/>
        <v/>
      </c>
      <c r="AC110" s="87"/>
      <c r="AD110" s="89" t="str">
        <f t="shared" si="11"/>
        <v/>
      </c>
      <c r="AE110" s="90"/>
      <c r="AF110" s="89" t="str">
        <f t="shared" si="12"/>
        <v/>
      </c>
      <c r="AG110" s="96"/>
      <c r="AH110" s="88" t="str">
        <f t="shared" si="13"/>
        <v/>
      </c>
      <c r="AI110" s="87"/>
      <c r="AJ110" s="89" t="str">
        <f t="shared" si="14"/>
        <v/>
      </c>
      <c r="AK110" s="90"/>
      <c r="AL110" s="89" t="str">
        <f t="shared" si="15"/>
        <v/>
      </c>
      <c r="AM110" s="89"/>
      <c r="AN110" s="93">
        <f t="shared" si="17"/>
        <v>0</v>
      </c>
      <c r="AO110" s="94">
        <f t="shared" si="18"/>
        <v>0</v>
      </c>
      <c r="AP110" s="87"/>
      <c r="AQ110" s="87"/>
      <c r="AR110" s="89" t="str">
        <f t="shared" si="19"/>
        <v/>
      </c>
      <c r="AS110" s="90"/>
      <c r="AT110" s="89" t="str">
        <f t="shared" si="20"/>
        <v/>
      </c>
      <c r="AU110" s="95"/>
      <c r="AV110" s="87"/>
      <c r="AW110" s="87"/>
      <c r="AX110" s="89" t="str">
        <f t="shared" si="21"/>
        <v/>
      </c>
      <c r="AY110" s="90"/>
      <c r="AZ110" s="89" t="str">
        <f t="shared" si="22"/>
        <v/>
      </c>
      <c r="BA110" s="95"/>
      <c r="BB110" s="88" t="str">
        <f t="shared" si="28"/>
        <v/>
      </c>
      <c r="BC110" s="87"/>
      <c r="BD110" s="89" t="str">
        <f t="shared" si="23"/>
        <v/>
      </c>
      <c r="BE110" s="90"/>
      <c r="BF110" s="89" t="str">
        <f t="shared" si="24"/>
        <v/>
      </c>
      <c r="BG110" s="96"/>
    </row>
    <row r="111">
      <c r="A111" s="87"/>
      <c r="B111" s="87"/>
      <c r="C111" s="87"/>
      <c r="D111" s="87"/>
      <c r="E111" s="87"/>
      <c r="F111" s="87"/>
      <c r="G111" s="87"/>
      <c r="H111" s="88" t="str">
        <f t="shared" si="1"/>
        <v/>
      </c>
      <c r="I111" s="87"/>
      <c r="J111" s="89" t="str">
        <f t="shared" si="2"/>
        <v/>
      </c>
      <c r="K111" s="90"/>
      <c r="L111" s="89" t="str">
        <f t="shared" si="3"/>
        <v/>
      </c>
      <c r="M111" s="89"/>
      <c r="N111" s="93">
        <f t="shared" si="5"/>
        <v>0</v>
      </c>
      <c r="O111" s="94">
        <f t="shared" si="6"/>
        <v>0</v>
      </c>
      <c r="P111" s="87"/>
      <c r="Q111" s="87"/>
      <c r="R111" s="89" t="str">
        <f t="shared" si="7"/>
        <v/>
      </c>
      <c r="S111" s="90"/>
      <c r="T111" s="89" t="str">
        <f t="shared" si="8"/>
        <v/>
      </c>
      <c r="U111" s="95"/>
      <c r="V111" s="87"/>
      <c r="W111" s="87"/>
      <c r="X111" s="89" t="str">
        <f t="shared" si="9"/>
        <v/>
      </c>
      <c r="Y111" s="90"/>
      <c r="Z111" s="89" t="str">
        <f t="shared" si="10"/>
        <v/>
      </c>
      <c r="AA111" s="95"/>
      <c r="AB111" s="88" t="str">
        <f t="shared" si="27"/>
        <v/>
      </c>
      <c r="AC111" s="87"/>
      <c r="AD111" s="89" t="str">
        <f t="shared" si="11"/>
        <v/>
      </c>
      <c r="AE111" s="90"/>
      <c r="AF111" s="89" t="str">
        <f t="shared" si="12"/>
        <v/>
      </c>
      <c r="AG111" s="96"/>
      <c r="AH111" s="88" t="str">
        <f t="shared" si="13"/>
        <v/>
      </c>
      <c r="AI111" s="87"/>
      <c r="AJ111" s="89" t="str">
        <f t="shared" si="14"/>
        <v/>
      </c>
      <c r="AK111" s="90"/>
      <c r="AL111" s="89" t="str">
        <f t="shared" si="15"/>
        <v/>
      </c>
      <c r="AM111" s="89"/>
      <c r="AN111" s="93">
        <f t="shared" si="17"/>
        <v>0</v>
      </c>
      <c r="AO111" s="94">
        <f t="shared" si="18"/>
        <v>0</v>
      </c>
      <c r="AP111" s="87"/>
      <c r="AQ111" s="87"/>
      <c r="AR111" s="89" t="str">
        <f t="shared" si="19"/>
        <v/>
      </c>
      <c r="AS111" s="90"/>
      <c r="AT111" s="89" t="str">
        <f t="shared" si="20"/>
        <v/>
      </c>
      <c r="AU111" s="95"/>
      <c r="AV111" s="87"/>
      <c r="AW111" s="87"/>
      <c r="AX111" s="89" t="str">
        <f t="shared" si="21"/>
        <v/>
      </c>
      <c r="AY111" s="90"/>
      <c r="AZ111" s="89" t="str">
        <f t="shared" si="22"/>
        <v/>
      </c>
      <c r="BA111" s="95"/>
      <c r="BB111" s="88" t="str">
        <f t="shared" si="28"/>
        <v/>
      </c>
      <c r="BC111" s="87"/>
      <c r="BD111" s="89" t="str">
        <f t="shared" si="23"/>
        <v/>
      </c>
      <c r="BE111" s="90"/>
      <c r="BF111" s="89" t="str">
        <f t="shared" si="24"/>
        <v/>
      </c>
      <c r="BG111" s="96"/>
    </row>
    <row r="112">
      <c r="A112" s="87"/>
      <c r="B112" s="87"/>
      <c r="C112" s="87"/>
      <c r="D112" s="87"/>
      <c r="E112" s="87"/>
      <c r="F112" s="87"/>
      <c r="G112" s="87"/>
      <c r="H112" s="88" t="str">
        <f t="shared" si="1"/>
        <v/>
      </c>
      <c r="I112" s="87"/>
      <c r="J112" s="89" t="str">
        <f t="shared" si="2"/>
        <v/>
      </c>
      <c r="K112" s="90"/>
      <c r="L112" s="89" t="str">
        <f t="shared" si="3"/>
        <v/>
      </c>
      <c r="M112" s="89"/>
      <c r="N112" s="93">
        <f t="shared" si="5"/>
        <v>0</v>
      </c>
      <c r="O112" s="94">
        <f t="shared" si="6"/>
        <v>0</v>
      </c>
      <c r="P112" s="87"/>
      <c r="Q112" s="87"/>
      <c r="R112" s="89" t="str">
        <f t="shared" si="7"/>
        <v/>
      </c>
      <c r="S112" s="90"/>
      <c r="T112" s="89" t="str">
        <f t="shared" si="8"/>
        <v/>
      </c>
      <c r="U112" s="95"/>
      <c r="V112" s="87"/>
      <c r="W112" s="87"/>
      <c r="X112" s="89" t="str">
        <f t="shared" si="9"/>
        <v/>
      </c>
      <c r="Y112" s="90"/>
      <c r="Z112" s="89" t="str">
        <f t="shared" si="10"/>
        <v/>
      </c>
      <c r="AA112" s="95"/>
      <c r="AB112" s="88" t="str">
        <f t="shared" si="27"/>
        <v/>
      </c>
      <c r="AC112" s="87"/>
      <c r="AD112" s="89" t="str">
        <f t="shared" si="11"/>
        <v/>
      </c>
      <c r="AE112" s="90"/>
      <c r="AF112" s="89" t="str">
        <f t="shared" si="12"/>
        <v/>
      </c>
      <c r="AG112" s="96"/>
      <c r="AH112" s="88" t="str">
        <f t="shared" si="13"/>
        <v/>
      </c>
      <c r="AI112" s="87"/>
      <c r="AJ112" s="89" t="str">
        <f t="shared" si="14"/>
        <v/>
      </c>
      <c r="AK112" s="90"/>
      <c r="AL112" s="89" t="str">
        <f t="shared" si="15"/>
        <v/>
      </c>
      <c r="AM112" s="89"/>
      <c r="AN112" s="93">
        <f t="shared" si="17"/>
        <v>0</v>
      </c>
      <c r="AO112" s="94">
        <f t="shared" si="18"/>
        <v>0</v>
      </c>
      <c r="AP112" s="87"/>
      <c r="AQ112" s="87"/>
      <c r="AR112" s="89" t="str">
        <f t="shared" si="19"/>
        <v/>
      </c>
      <c r="AS112" s="90"/>
      <c r="AT112" s="89" t="str">
        <f t="shared" si="20"/>
        <v/>
      </c>
      <c r="AU112" s="95"/>
      <c r="AV112" s="87"/>
      <c r="AW112" s="87"/>
      <c r="AX112" s="89" t="str">
        <f t="shared" si="21"/>
        <v/>
      </c>
      <c r="AY112" s="90"/>
      <c r="AZ112" s="89" t="str">
        <f t="shared" si="22"/>
        <v/>
      </c>
      <c r="BA112" s="95"/>
      <c r="BB112" s="88" t="str">
        <f t="shared" si="28"/>
        <v/>
      </c>
      <c r="BC112" s="87"/>
      <c r="BD112" s="89" t="str">
        <f t="shared" si="23"/>
        <v/>
      </c>
      <c r="BE112" s="90"/>
      <c r="BF112" s="89" t="str">
        <f t="shared" si="24"/>
        <v/>
      </c>
      <c r="BG112" s="96"/>
    </row>
    <row r="113">
      <c r="A113" s="87"/>
      <c r="B113" s="87"/>
      <c r="C113" s="87"/>
      <c r="D113" s="87"/>
      <c r="E113" s="87"/>
      <c r="F113" s="87"/>
      <c r="G113" s="87"/>
      <c r="H113" s="88" t="str">
        <f t="shared" si="1"/>
        <v/>
      </c>
      <c r="I113" s="87"/>
      <c r="J113" s="89" t="str">
        <f t="shared" si="2"/>
        <v/>
      </c>
      <c r="K113" s="90"/>
      <c r="L113" s="89" t="str">
        <f t="shared" si="3"/>
        <v/>
      </c>
      <c r="M113" s="89"/>
      <c r="N113" s="93">
        <f t="shared" si="5"/>
        <v>0</v>
      </c>
      <c r="O113" s="94">
        <f t="shared" si="6"/>
        <v>0</v>
      </c>
      <c r="P113" s="87"/>
      <c r="Q113" s="87"/>
      <c r="R113" s="89" t="str">
        <f t="shared" si="7"/>
        <v/>
      </c>
      <c r="S113" s="90"/>
      <c r="T113" s="89" t="str">
        <f t="shared" si="8"/>
        <v/>
      </c>
      <c r="U113" s="95"/>
      <c r="V113" s="87"/>
      <c r="W113" s="87"/>
      <c r="X113" s="89" t="str">
        <f t="shared" si="9"/>
        <v/>
      </c>
      <c r="Y113" s="90"/>
      <c r="Z113" s="89" t="str">
        <f t="shared" si="10"/>
        <v/>
      </c>
      <c r="AA113" s="95"/>
      <c r="AB113" s="88" t="str">
        <f t="shared" si="27"/>
        <v/>
      </c>
      <c r="AC113" s="87"/>
      <c r="AD113" s="89" t="str">
        <f t="shared" si="11"/>
        <v/>
      </c>
      <c r="AE113" s="90"/>
      <c r="AF113" s="89" t="str">
        <f t="shared" si="12"/>
        <v/>
      </c>
      <c r="AG113" s="96"/>
      <c r="AH113" s="88" t="str">
        <f t="shared" si="13"/>
        <v/>
      </c>
      <c r="AI113" s="87"/>
      <c r="AJ113" s="89" t="str">
        <f t="shared" si="14"/>
        <v/>
      </c>
      <c r="AK113" s="90"/>
      <c r="AL113" s="89" t="str">
        <f t="shared" si="15"/>
        <v/>
      </c>
      <c r="AM113" s="89"/>
      <c r="AN113" s="93">
        <f t="shared" si="17"/>
        <v>0</v>
      </c>
      <c r="AO113" s="94">
        <f t="shared" si="18"/>
        <v>0</v>
      </c>
      <c r="AP113" s="87"/>
      <c r="AQ113" s="87"/>
      <c r="AR113" s="89" t="str">
        <f t="shared" si="19"/>
        <v/>
      </c>
      <c r="AS113" s="90"/>
      <c r="AT113" s="89" t="str">
        <f t="shared" si="20"/>
        <v/>
      </c>
      <c r="AU113" s="95"/>
      <c r="AV113" s="87"/>
      <c r="AW113" s="87"/>
      <c r="AX113" s="89" t="str">
        <f t="shared" si="21"/>
        <v/>
      </c>
      <c r="AY113" s="90"/>
      <c r="AZ113" s="89" t="str">
        <f t="shared" si="22"/>
        <v/>
      </c>
      <c r="BA113" s="95"/>
      <c r="BB113" s="88" t="str">
        <f t="shared" si="28"/>
        <v/>
      </c>
      <c r="BC113" s="87"/>
      <c r="BD113" s="89" t="str">
        <f t="shared" si="23"/>
        <v/>
      </c>
      <c r="BE113" s="90"/>
      <c r="BF113" s="89" t="str">
        <f t="shared" si="24"/>
        <v/>
      </c>
      <c r="BG113" s="96"/>
    </row>
    <row r="114">
      <c r="A114" s="87"/>
      <c r="B114" s="87"/>
      <c r="C114" s="87"/>
      <c r="D114" s="87"/>
      <c r="E114" s="87"/>
      <c r="F114" s="87"/>
      <c r="G114" s="87"/>
      <c r="H114" s="88" t="str">
        <f t="shared" si="1"/>
        <v/>
      </c>
      <c r="I114" s="87"/>
      <c r="J114" s="89" t="str">
        <f t="shared" si="2"/>
        <v/>
      </c>
      <c r="K114" s="90"/>
      <c r="L114" s="89" t="str">
        <f t="shared" si="3"/>
        <v/>
      </c>
      <c r="M114" s="89"/>
      <c r="N114" s="93">
        <f t="shared" si="5"/>
        <v>0</v>
      </c>
      <c r="O114" s="94">
        <f t="shared" si="6"/>
        <v>0</v>
      </c>
      <c r="P114" s="87"/>
      <c r="Q114" s="87"/>
      <c r="R114" s="89" t="str">
        <f t="shared" si="7"/>
        <v/>
      </c>
      <c r="S114" s="90"/>
      <c r="T114" s="89" t="str">
        <f t="shared" si="8"/>
        <v/>
      </c>
      <c r="U114" s="95"/>
      <c r="V114" s="87"/>
      <c r="W114" s="87"/>
      <c r="X114" s="89" t="str">
        <f t="shared" si="9"/>
        <v/>
      </c>
      <c r="Y114" s="90"/>
      <c r="Z114" s="89" t="str">
        <f t="shared" si="10"/>
        <v/>
      </c>
      <c r="AA114" s="95"/>
      <c r="AB114" s="88" t="str">
        <f t="shared" si="27"/>
        <v/>
      </c>
      <c r="AC114" s="87"/>
      <c r="AD114" s="89" t="str">
        <f t="shared" si="11"/>
        <v/>
      </c>
      <c r="AE114" s="90"/>
      <c r="AF114" s="89" t="str">
        <f t="shared" si="12"/>
        <v/>
      </c>
      <c r="AG114" s="96"/>
      <c r="AH114" s="88" t="str">
        <f t="shared" si="13"/>
        <v/>
      </c>
      <c r="AI114" s="87"/>
      <c r="AJ114" s="89" t="str">
        <f t="shared" si="14"/>
        <v/>
      </c>
      <c r="AK114" s="90"/>
      <c r="AL114" s="89" t="str">
        <f t="shared" si="15"/>
        <v/>
      </c>
      <c r="AM114" s="89"/>
      <c r="AN114" s="93">
        <f t="shared" si="17"/>
        <v>0</v>
      </c>
      <c r="AO114" s="94">
        <f t="shared" si="18"/>
        <v>0</v>
      </c>
      <c r="AP114" s="87"/>
      <c r="AQ114" s="87"/>
      <c r="AR114" s="89" t="str">
        <f t="shared" si="19"/>
        <v/>
      </c>
      <c r="AS114" s="90"/>
      <c r="AT114" s="89" t="str">
        <f t="shared" si="20"/>
        <v/>
      </c>
      <c r="AU114" s="95"/>
      <c r="AV114" s="87"/>
      <c r="AW114" s="87"/>
      <c r="AX114" s="89" t="str">
        <f t="shared" si="21"/>
        <v/>
      </c>
      <c r="AY114" s="90"/>
      <c r="AZ114" s="89" t="str">
        <f t="shared" si="22"/>
        <v/>
      </c>
      <c r="BA114" s="95"/>
      <c r="BB114" s="88" t="str">
        <f t="shared" si="28"/>
        <v/>
      </c>
      <c r="BC114" s="87"/>
      <c r="BD114" s="89" t="str">
        <f t="shared" si="23"/>
        <v/>
      </c>
      <c r="BE114" s="90"/>
      <c r="BF114" s="89" t="str">
        <f t="shared" si="24"/>
        <v/>
      </c>
      <c r="BG114" s="96"/>
    </row>
    <row r="115">
      <c r="A115" s="87"/>
      <c r="B115" s="87"/>
      <c r="C115" s="87"/>
      <c r="D115" s="87"/>
      <c r="E115" s="87"/>
      <c r="F115" s="87"/>
      <c r="G115" s="87"/>
      <c r="H115" s="88" t="str">
        <f t="shared" si="1"/>
        <v/>
      </c>
      <c r="I115" s="87"/>
      <c r="J115" s="89" t="str">
        <f t="shared" si="2"/>
        <v/>
      </c>
      <c r="K115" s="90"/>
      <c r="L115" s="89" t="str">
        <f t="shared" si="3"/>
        <v/>
      </c>
      <c r="M115" s="89"/>
      <c r="N115" s="93">
        <f t="shared" si="5"/>
        <v>0</v>
      </c>
      <c r="O115" s="94">
        <f t="shared" si="6"/>
        <v>0</v>
      </c>
      <c r="P115" s="87"/>
      <c r="Q115" s="87"/>
      <c r="R115" s="89" t="str">
        <f t="shared" si="7"/>
        <v/>
      </c>
      <c r="S115" s="90"/>
      <c r="T115" s="89" t="str">
        <f t="shared" si="8"/>
        <v/>
      </c>
      <c r="U115" s="95"/>
      <c r="V115" s="87"/>
      <c r="W115" s="87"/>
      <c r="X115" s="89" t="str">
        <f t="shared" si="9"/>
        <v/>
      </c>
      <c r="Y115" s="90"/>
      <c r="Z115" s="89" t="str">
        <f t="shared" si="10"/>
        <v/>
      </c>
      <c r="AA115" s="95"/>
      <c r="AB115" s="88" t="str">
        <f t="shared" si="27"/>
        <v/>
      </c>
      <c r="AC115" s="87"/>
      <c r="AD115" s="89" t="str">
        <f t="shared" si="11"/>
        <v/>
      </c>
      <c r="AE115" s="90"/>
      <c r="AF115" s="89" t="str">
        <f t="shared" si="12"/>
        <v/>
      </c>
      <c r="AG115" s="96"/>
      <c r="AH115" s="88" t="str">
        <f t="shared" si="13"/>
        <v/>
      </c>
      <c r="AI115" s="87"/>
      <c r="AJ115" s="89" t="str">
        <f t="shared" si="14"/>
        <v/>
      </c>
      <c r="AK115" s="90"/>
      <c r="AL115" s="89" t="str">
        <f t="shared" si="15"/>
        <v/>
      </c>
      <c r="AM115" s="89"/>
      <c r="AN115" s="93">
        <f t="shared" si="17"/>
        <v>0</v>
      </c>
      <c r="AO115" s="94">
        <f t="shared" si="18"/>
        <v>0</v>
      </c>
      <c r="AP115" s="87"/>
      <c r="AQ115" s="87"/>
      <c r="AR115" s="89" t="str">
        <f t="shared" si="19"/>
        <v/>
      </c>
      <c r="AS115" s="90"/>
      <c r="AT115" s="89" t="str">
        <f t="shared" si="20"/>
        <v/>
      </c>
      <c r="AU115" s="95"/>
      <c r="AV115" s="87"/>
      <c r="AW115" s="87"/>
      <c r="AX115" s="89" t="str">
        <f t="shared" si="21"/>
        <v/>
      </c>
      <c r="AY115" s="90"/>
      <c r="AZ115" s="89" t="str">
        <f t="shared" si="22"/>
        <v/>
      </c>
      <c r="BA115" s="95"/>
      <c r="BB115" s="88" t="str">
        <f t="shared" si="28"/>
        <v/>
      </c>
      <c r="BC115" s="87"/>
      <c r="BD115" s="89" t="str">
        <f t="shared" si="23"/>
        <v/>
      </c>
      <c r="BE115" s="90"/>
      <c r="BF115" s="89" t="str">
        <f t="shared" si="24"/>
        <v/>
      </c>
      <c r="BG115" s="96"/>
    </row>
    <row r="116">
      <c r="A116" s="87"/>
      <c r="B116" s="87"/>
      <c r="C116" s="87"/>
      <c r="D116" s="87"/>
      <c r="E116" s="87"/>
      <c r="F116" s="87"/>
      <c r="G116" s="87"/>
      <c r="H116" s="88" t="str">
        <f t="shared" si="1"/>
        <v/>
      </c>
      <c r="I116" s="87"/>
      <c r="J116" s="89" t="str">
        <f t="shared" si="2"/>
        <v/>
      </c>
      <c r="K116" s="90"/>
      <c r="L116" s="89" t="str">
        <f t="shared" si="3"/>
        <v/>
      </c>
      <c r="M116" s="89"/>
      <c r="N116" s="93">
        <f t="shared" si="5"/>
        <v>0</v>
      </c>
      <c r="O116" s="94">
        <f t="shared" si="6"/>
        <v>0</v>
      </c>
      <c r="P116" s="87"/>
      <c r="Q116" s="87"/>
      <c r="R116" s="89" t="str">
        <f t="shared" si="7"/>
        <v/>
      </c>
      <c r="S116" s="90"/>
      <c r="T116" s="89" t="str">
        <f t="shared" si="8"/>
        <v/>
      </c>
      <c r="U116" s="95"/>
      <c r="V116" s="87"/>
      <c r="W116" s="87"/>
      <c r="X116" s="89" t="str">
        <f t="shared" si="9"/>
        <v/>
      </c>
      <c r="Y116" s="90"/>
      <c r="Z116" s="89" t="str">
        <f t="shared" si="10"/>
        <v/>
      </c>
      <c r="AA116" s="95"/>
      <c r="AB116" s="88" t="str">
        <f t="shared" si="27"/>
        <v/>
      </c>
      <c r="AC116" s="87"/>
      <c r="AD116" s="89" t="str">
        <f t="shared" si="11"/>
        <v/>
      </c>
      <c r="AE116" s="90"/>
      <c r="AF116" s="89" t="str">
        <f t="shared" si="12"/>
        <v/>
      </c>
      <c r="AG116" s="96"/>
      <c r="AH116" s="88" t="str">
        <f t="shared" si="13"/>
        <v/>
      </c>
      <c r="AI116" s="87"/>
      <c r="AJ116" s="89" t="str">
        <f t="shared" si="14"/>
        <v/>
      </c>
      <c r="AK116" s="90"/>
      <c r="AL116" s="89" t="str">
        <f t="shared" si="15"/>
        <v/>
      </c>
      <c r="AM116" s="89"/>
      <c r="AN116" s="93">
        <f t="shared" si="17"/>
        <v>0</v>
      </c>
      <c r="AO116" s="94">
        <f t="shared" si="18"/>
        <v>0</v>
      </c>
      <c r="AP116" s="87"/>
      <c r="AQ116" s="87"/>
      <c r="AR116" s="89" t="str">
        <f t="shared" si="19"/>
        <v/>
      </c>
      <c r="AS116" s="90"/>
      <c r="AT116" s="89" t="str">
        <f t="shared" si="20"/>
        <v/>
      </c>
      <c r="AU116" s="95"/>
      <c r="AV116" s="87"/>
      <c r="AW116" s="87"/>
      <c r="AX116" s="89" t="str">
        <f t="shared" si="21"/>
        <v/>
      </c>
      <c r="AY116" s="90"/>
      <c r="AZ116" s="89" t="str">
        <f t="shared" si="22"/>
        <v/>
      </c>
      <c r="BA116" s="95"/>
      <c r="BB116" s="88" t="str">
        <f t="shared" si="28"/>
        <v/>
      </c>
      <c r="BC116" s="87"/>
      <c r="BD116" s="89" t="str">
        <f t="shared" si="23"/>
        <v/>
      </c>
      <c r="BE116" s="90"/>
      <c r="BF116" s="89" t="str">
        <f t="shared" si="24"/>
        <v/>
      </c>
      <c r="BG116" s="96"/>
    </row>
    <row r="117">
      <c r="A117" s="87"/>
      <c r="B117" s="87"/>
      <c r="C117" s="87"/>
      <c r="D117" s="87"/>
      <c r="E117" s="87"/>
      <c r="F117" s="87"/>
      <c r="G117" s="87"/>
      <c r="H117" s="88" t="str">
        <f t="shared" si="1"/>
        <v/>
      </c>
      <c r="I117" s="87"/>
      <c r="J117" s="89" t="str">
        <f t="shared" si="2"/>
        <v/>
      </c>
      <c r="K117" s="90"/>
      <c r="L117" s="89" t="str">
        <f t="shared" si="3"/>
        <v/>
      </c>
      <c r="M117" s="89"/>
      <c r="N117" s="93">
        <f t="shared" si="5"/>
        <v>0</v>
      </c>
      <c r="O117" s="94">
        <f t="shared" si="6"/>
        <v>0</v>
      </c>
      <c r="P117" s="87"/>
      <c r="Q117" s="87"/>
      <c r="R117" s="89" t="str">
        <f t="shared" si="7"/>
        <v/>
      </c>
      <c r="S117" s="90"/>
      <c r="T117" s="89" t="str">
        <f t="shared" si="8"/>
        <v/>
      </c>
      <c r="U117" s="95"/>
      <c r="V117" s="87"/>
      <c r="W117" s="87"/>
      <c r="X117" s="89" t="str">
        <f t="shared" si="9"/>
        <v/>
      </c>
      <c r="Y117" s="90"/>
      <c r="Z117" s="89" t="str">
        <f t="shared" si="10"/>
        <v/>
      </c>
      <c r="AA117" s="95"/>
      <c r="AB117" s="88" t="str">
        <f t="shared" si="27"/>
        <v/>
      </c>
      <c r="AC117" s="87"/>
      <c r="AD117" s="89" t="str">
        <f t="shared" si="11"/>
        <v/>
      </c>
      <c r="AE117" s="90"/>
      <c r="AF117" s="89" t="str">
        <f t="shared" si="12"/>
        <v/>
      </c>
      <c r="AG117" s="96"/>
      <c r="AH117" s="88" t="str">
        <f t="shared" si="13"/>
        <v/>
      </c>
      <c r="AI117" s="87"/>
      <c r="AJ117" s="89" t="str">
        <f t="shared" si="14"/>
        <v/>
      </c>
      <c r="AK117" s="90"/>
      <c r="AL117" s="89" t="str">
        <f t="shared" si="15"/>
        <v/>
      </c>
      <c r="AM117" s="89"/>
      <c r="AN117" s="93">
        <f t="shared" si="17"/>
        <v>0</v>
      </c>
      <c r="AO117" s="94">
        <f t="shared" si="18"/>
        <v>0</v>
      </c>
      <c r="AP117" s="87"/>
      <c r="AQ117" s="87"/>
      <c r="AR117" s="89" t="str">
        <f t="shared" si="19"/>
        <v/>
      </c>
      <c r="AS117" s="90"/>
      <c r="AT117" s="89" t="str">
        <f t="shared" si="20"/>
        <v/>
      </c>
      <c r="AU117" s="95"/>
      <c r="AV117" s="87"/>
      <c r="AW117" s="87"/>
      <c r="AX117" s="89" t="str">
        <f t="shared" si="21"/>
        <v/>
      </c>
      <c r="AY117" s="90"/>
      <c r="AZ117" s="89" t="str">
        <f t="shared" si="22"/>
        <v/>
      </c>
      <c r="BA117" s="95"/>
      <c r="BB117" s="88" t="str">
        <f t="shared" si="28"/>
        <v/>
      </c>
      <c r="BC117" s="87"/>
      <c r="BD117" s="89" t="str">
        <f t="shared" si="23"/>
        <v/>
      </c>
      <c r="BE117" s="90"/>
      <c r="BF117" s="89" t="str">
        <f t="shared" si="24"/>
        <v/>
      </c>
      <c r="BG117" s="96"/>
    </row>
    <row r="118">
      <c r="A118" s="87"/>
      <c r="B118" s="87"/>
      <c r="C118" s="87"/>
      <c r="D118" s="87"/>
      <c r="E118" s="87"/>
      <c r="F118" s="87"/>
      <c r="G118" s="87"/>
      <c r="H118" s="88" t="str">
        <f t="shared" si="1"/>
        <v/>
      </c>
      <c r="I118" s="87"/>
      <c r="J118" s="89" t="str">
        <f t="shared" si="2"/>
        <v/>
      </c>
      <c r="K118" s="90"/>
      <c r="L118" s="89" t="str">
        <f t="shared" si="3"/>
        <v/>
      </c>
      <c r="M118" s="89"/>
      <c r="N118" s="93">
        <f t="shared" si="5"/>
        <v>0</v>
      </c>
      <c r="O118" s="94">
        <f t="shared" si="6"/>
        <v>0</v>
      </c>
      <c r="P118" s="87"/>
      <c r="Q118" s="87"/>
      <c r="R118" s="89" t="str">
        <f t="shared" si="7"/>
        <v/>
      </c>
      <c r="S118" s="90"/>
      <c r="T118" s="89" t="str">
        <f t="shared" si="8"/>
        <v/>
      </c>
      <c r="U118" s="95"/>
      <c r="V118" s="87"/>
      <c r="W118" s="87"/>
      <c r="X118" s="89" t="str">
        <f t="shared" si="9"/>
        <v/>
      </c>
      <c r="Y118" s="90"/>
      <c r="Z118" s="89" t="str">
        <f t="shared" si="10"/>
        <v/>
      </c>
      <c r="AA118" s="95"/>
      <c r="AB118" s="88" t="str">
        <f t="shared" si="27"/>
        <v/>
      </c>
      <c r="AC118" s="87"/>
      <c r="AD118" s="89" t="str">
        <f t="shared" si="11"/>
        <v/>
      </c>
      <c r="AE118" s="90"/>
      <c r="AF118" s="89" t="str">
        <f t="shared" si="12"/>
        <v/>
      </c>
      <c r="AG118" s="96"/>
      <c r="AH118" s="88" t="str">
        <f t="shared" si="13"/>
        <v/>
      </c>
      <c r="AI118" s="87"/>
      <c r="AJ118" s="89" t="str">
        <f t="shared" si="14"/>
        <v/>
      </c>
      <c r="AK118" s="90"/>
      <c r="AL118" s="89" t="str">
        <f t="shared" si="15"/>
        <v/>
      </c>
      <c r="AM118" s="89"/>
      <c r="AN118" s="93">
        <f t="shared" si="17"/>
        <v>0</v>
      </c>
      <c r="AO118" s="94">
        <f t="shared" si="18"/>
        <v>0</v>
      </c>
      <c r="AP118" s="87"/>
      <c r="AQ118" s="87"/>
      <c r="AR118" s="89" t="str">
        <f t="shared" si="19"/>
        <v/>
      </c>
      <c r="AS118" s="90"/>
      <c r="AT118" s="89" t="str">
        <f t="shared" si="20"/>
        <v/>
      </c>
      <c r="AU118" s="95"/>
      <c r="AV118" s="87"/>
      <c r="AW118" s="87"/>
      <c r="AX118" s="89" t="str">
        <f t="shared" si="21"/>
        <v/>
      </c>
      <c r="AY118" s="90"/>
      <c r="AZ118" s="89" t="str">
        <f t="shared" si="22"/>
        <v/>
      </c>
      <c r="BA118" s="95"/>
      <c r="BB118" s="88" t="str">
        <f t="shared" si="28"/>
        <v/>
      </c>
      <c r="BC118" s="87"/>
      <c r="BD118" s="89" t="str">
        <f t="shared" si="23"/>
        <v/>
      </c>
      <c r="BE118" s="90"/>
      <c r="BF118" s="89" t="str">
        <f t="shared" si="24"/>
        <v/>
      </c>
      <c r="BG118" s="96"/>
    </row>
    <row r="119">
      <c r="A119" s="87"/>
      <c r="B119" s="87"/>
      <c r="C119" s="87"/>
      <c r="D119" s="87"/>
      <c r="E119" s="87"/>
      <c r="F119" s="87"/>
      <c r="G119" s="87"/>
      <c r="H119" s="88" t="str">
        <f t="shared" si="1"/>
        <v/>
      </c>
      <c r="I119" s="87"/>
      <c r="J119" s="89" t="str">
        <f t="shared" si="2"/>
        <v/>
      </c>
      <c r="K119" s="90"/>
      <c r="L119" s="89" t="str">
        <f t="shared" si="3"/>
        <v/>
      </c>
      <c r="M119" s="89"/>
      <c r="N119" s="93">
        <f t="shared" si="5"/>
        <v>0</v>
      </c>
      <c r="O119" s="94">
        <f t="shared" si="6"/>
        <v>0</v>
      </c>
      <c r="P119" s="87"/>
      <c r="Q119" s="87"/>
      <c r="R119" s="89" t="str">
        <f t="shared" si="7"/>
        <v/>
      </c>
      <c r="S119" s="90"/>
      <c r="T119" s="89" t="str">
        <f t="shared" si="8"/>
        <v/>
      </c>
      <c r="U119" s="95"/>
      <c r="V119" s="87"/>
      <c r="W119" s="87"/>
      <c r="X119" s="89" t="str">
        <f t="shared" si="9"/>
        <v/>
      </c>
      <c r="Y119" s="90"/>
      <c r="Z119" s="89" t="str">
        <f t="shared" si="10"/>
        <v/>
      </c>
      <c r="AA119" s="95"/>
      <c r="AB119" s="88" t="str">
        <f t="shared" si="27"/>
        <v/>
      </c>
      <c r="AC119" s="87"/>
      <c r="AD119" s="89" t="str">
        <f t="shared" si="11"/>
        <v/>
      </c>
      <c r="AE119" s="90"/>
      <c r="AF119" s="89" t="str">
        <f t="shared" si="12"/>
        <v/>
      </c>
      <c r="AG119" s="96"/>
      <c r="AH119" s="88" t="str">
        <f t="shared" si="13"/>
        <v/>
      </c>
      <c r="AI119" s="87"/>
      <c r="AJ119" s="89" t="str">
        <f t="shared" si="14"/>
        <v/>
      </c>
      <c r="AK119" s="90"/>
      <c r="AL119" s="89" t="str">
        <f t="shared" si="15"/>
        <v/>
      </c>
      <c r="AM119" s="89"/>
      <c r="AN119" s="93">
        <f t="shared" si="17"/>
        <v>0</v>
      </c>
      <c r="AO119" s="94">
        <f t="shared" si="18"/>
        <v>0</v>
      </c>
      <c r="AP119" s="87"/>
      <c r="AQ119" s="87"/>
      <c r="AR119" s="89" t="str">
        <f t="shared" si="19"/>
        <v/>
      </c>
      <c r="AS119" s="90"/>
      <c r="AT119" s="89" t="str">
        <f t="shared" si="20"/>
        <v/>
      </c>
      <c r="AU119" s="95"/>
      <c r="AV119" s="87"/>
      <c r="AW119" s="87"/>
      <c r="AX119" s="89" t="str">
        <f t="shared" si="21"/>
        <v/>
      </c>
      <c r="AY119" s="90"/>
      <c r="AZ119" s="89" t="str">
        <f t="shared" si="22"/>
        <v/>
      </c>
      <c r="BA119" s="95"/>
      <c r="BB119" s="88" t="str">
        <f t="shared" si="28"/>
        <v/>
      </c>
      <c r="BC119" s="87"/>
      <c r="BD119" s="89" t="str">
        <f t="shared" si="23"/>
        <v/>
      </c>
      <c r="BE119" s="90"/>
      <c r="BF119" s="89" t="str">
        <f t="shared" si="24"/>
        <v/>
      </c>
      <c r="BG119" s="96"/>
    </row>
    <row r="120">
      <c r="A120" s="87"/>
      <c r="B120" s="87"/>
      <c r="C120" s="87"/>
      <c r="D120" s="87"/>
      <c r="E120" s="87"/>
      <c r="F120" s="87"/>
      <c r="G120" s="87"/>
      <c r="H120" s="88" t="str">
        <f t="shared" si="1"/>
        <v/>
      </c>
      <c r="I120" s="87"/>
      <c r="J120" s="89" t="str">
        <f t="shared" si="2"/>
        <v/>
      </c>
      <c r="K120" s="90"/>
      <c r="L120" s="89" t="str">
        <f t="shared" si="3"/>
        <v/>
      </c>
      <c r="M120" s="89"/>
      <c r="N120" s="93">
        <f t="shared" si="5"/>
        <v>0</v>
      </c>
      <c r="O120" s="94">
        <f t="shared" si="6"/>
        <v>0</v>
      </c>
      <c r="P120" s="87"/>
      <c r="Q120" s="87"/>
      <c r="R120" s="89" t="str">
        <f t="shared" si="7"/>
        <v/>
      </c>
      <c r="S120" s="90"/>
      <c r="T120" s="89" t="str">
        <f t="shared" si="8"/>
        <v/>
      </c>
      <c r="U120" s="95"/>
      <c r="V120" s="87"/>
      <c r="W120" s="87"/>
      <c r="X120" s="89" t="str">
        <f t="shared" si="9"/>
        <v/>
      </c>
      <c r="Y120" s="90"/>
      <c r="Z120" s="89" t="str">
        <f t="shared" si="10"/>
        <v/>
      </c>
      <c r="AA120" s="95"/>
      <c r="AB120" s="88" t="str">
        <f t="shared" si="27"/>
        <v/>
      </c>
      <c r="AC120" s="87"/>
      <c r="AD120" s="89" t="str">
        <f t="shared" si="11"/>
        <v/>
      </c>
      <c r="AE120" s="90"/>
      <c r="AF120" s="89" t="str">
        <f t="shared" si="12"/>
        <v/>
      </c>
      <c r="AG120" s="96"/>
      <c r="AH120" s="88" t="str">
        <f t="shared" si="13"/>
        <v/>
      </c>
      <c r="AI120" s="87"/>
      <c r="AJ120" s="89" t="str">
        <f t="shared" si="14"/>
        <v/>
      </c>
      <c r="AK120" s="90"/>
      <c r="AL120" s="89" t="str">
        <f t="shared" si="15"/>
        <v/>
      </c>
      <c r="AM120" s="89"/>
      <c r="AN120" s="93">
        <f t="shared" si="17"/>
        <v>0</v>
      </c>
      <c r="AO120" s="94">
        <f t="shared" si="18"/>
        <v>0</v>
      </c>
      <c r="AP120" s="87"/>
      <c r="AQ120" s="87"/>
      <c r="AR120" s="89" t="str">
        <f t="shared" si="19"/>
        <v/>
      </c>
      <c r="AS120" s="90"/>
      <c r="AT120" s="89" t="str">
        <f t="shared" si="20"/>
        <v/>
      </c>
      <c r="AU120" s="95"/>
      <c r="AV120" s="87"/>
      <c r="AW120" s="87"/>
      <c r="AX120" s="89" t="str">
        <f t="shared" si="21"/>
        <v/>
      </c>
      <c r="AY120" s="90"/>
      <c r="AZ120" s="89" t="str">
        <f t="shared" si="22"/>
        <v/>
      </c>
      <c r="BA120" s="95"/>
      <c r="BB120" s="88" t="str">
        <f t="shared" si="28"/>
        <v/>
      </c>
      <c r="BC120" s="87"/>
      <c r="BD120" s="89" t="str">
        <f t="shared" si="23"/>
        <v/>
      </c>
      <c r="BE120" s="90"/>
      <c r="BF120" s="89" t="str">
        <f t="shared" si="24"/>
        <v/>
      </c>
      <c r="BG120" s="96"/>
    </row>
    <row r="121">
      <c r="A121" s="87"/>
      <c r="B121" s="87"/>
      <c r="C121" s="87"/>
      <c r="D121" s="87"/>
      <c r="E121" s="87"/>
      <c r="F121" s="87"/>
      <c r="G121" s="87"/>
      <c r="H121" s="88" t="str">
        <f t="shared" si="1"/>
        <v/>
      </c>
      <c r="I121" s="87"/>
      <c r="J121" s="89" t="str">
        <f t="shared" si="2"/>
        <v/>
      </c>
      <c r="K121" s="90"/>
      <c r="L121" s="89" t="str">
        <f t="shared" si="3"/>
        <v/>
      </c>
      <c r="M121" s="89"/>
      <c r="N121" s="93">
        <f t="shared" si="5"/>
        <v>0</v>
      </c>
      <c r="O121" s="94">
        <f t="shared" si="6"/>
        <v>0</v>
      </c>
      <c r="P121" s="87"/>
      <c r="Q121" s="87"/>
      <c r="R121" s="89" t="str">
        <f t="shared" si="7"/>
        <v/>
      </c>
      <c r="S121" s="90"/>
      <c r="T121" s="89" t="str">
        <f t="shared" si="8"/>
        <v/>
      </c>
      <c r="U121" s="95"/>
      <c r="V121" s="87"/>
      <c r="W121" s="87"/>
      <c r="X121" s="89" t="str">
        <f t="shared" si="9"/>
        <v/>
      </c>
      <c r="Y121" s="90"/>
      <c r="Z121" s="89" t="str">
        <f t="shared" si="10"/>
        <v/>
      </c>
      <c r="AA121" s="95"/>
      <c r="AB121" s="88" t="str">
        <f t="shared" si="27"/>
        <v/>
      </c>
      <c r="AC121" s="87"/>
      <c r="AD121" s="89" t="str">
        <f t="shared" si="11"/>
        <v/>
      </c>
      <c r="AE121" s="90"/>
      <c r="AF121" s="89" t="str">
        <f t="shared" si="12"/>
        <v/>
      </c>
      <c r="AG121" s="96"/>
      <c r="AH121" s="88" t="str">
        <f t="shared" si="13"/>
        <v/>
      </c>
      <c r="AI121" s="87"/>
      <c r="AJ121" s="89" t="str">
        <f t="shared" si="14"/>
        <v/>
      </c>
      <c r="AK121" s="90"/>
      <c r="AL121" s="89" t="str">
        <f t="shared" si="15"/>
        <v/>
      </c>
      <c r="AM121" s="89"/>
      <c r="AN121" s="93">
        <f t="shared" si="17"/>
        <v>0</v>
      </c>
      <c r="AO121" s="94">
        <f t="shared" si="18"/>
        <v>0</v>
      </c>
      <c r="AP121" s="87"/>
      <c r="AQ121" s="87"/>
      <c r="AR121" s="89" t="str">
        <f t="shared" si="19"/>
        <v/>
      </c>
      <c r="AS121" s="90"/>
      <c r="AT121" s="89" t="str">
        <f t="shared" si="20"/>
        <v/>
      </c>
      <c r="AU121" s="95"/>
      <c r="AV121" s="87"/>
      <c r="AW121" s="87"/>
      <c r="AX121" s="89" t="str">
        <f t="shared" si="21"/>
        <v/>
      </c>
      <c r="AY121" s="90"/>
      <c r="AZ121" s="89" t="str">
        <f t="shared" si="22"/>
        <v/>
      </c>
      <c r="BA121" s="95"/>
      <c r="BB121" s="88" t="str">
        <f t="shared" si="28"/>
        <v/>
      </c>
      <c r="BC121" s="87"/>
      <c r="BD121" s="89" t="str">
        <f t="shared" si="23"/>
        <v/>
      </c>
      <c r="BE121" s="90"/>
      <c r="BF121" s="89" t="str">
        <f t="shared" si="24"/>
        <v/>
      </c>
      <c r="BG121" s="96"/>
    </row>
    <row r="122">
      <c r="A122" s="87"/>
      <c r="B122" s="87"/>
      <c r="C122" s="87"/>
      <c r="D122" s="87"/>
      <c r="E122" s="87"/>
      <c r="F122" s="87"/>
      <c r="G122" s="87"/>
      <c r="H122" s="88" t="str">
        <f t="shared" si="1"/>
        <v/>
      </c>
      <c r="I122" s="87"/>
      <c r="J122" s="89" t="str">
        <f t="shared" si="2"/>
        <v/>
      </c>
      <c r="K122" s="90"/>
      <c r="L122" s="89" t="str">
        <f t="shared" si="3"/>
        <v/>
      </c>
      <c r="M122" s="89"/>
      <c r="N122" s="93">
        <f t="shared" si="5"/>
        <v>0</v>
      </c>
      <c r="O122" s="94">
        <f t="shared" si="6"/>
        <v>0</v>
      </c>
      <c r="P122" s="87"/>
      <c r="Q122" s="87"/>
      <c r="R122" s="89" t="str">
        <f t="shared" si="7"/>
        <v/>
      </c>
      <c r="S122" s="90"/>
      <c r="T122" s="89" t="str">
        <f t="shared" si="8"/>
        <v/>
      </c>
      <c r="U122" s="95"/>
      <c r="V122" s="87"/>
      <c r="W122" s="87"/>
      <c r="X122" s="89" t="str">
        <f t="shared" si="9"/>
        <v/>
      </c>
      <c r="Y122" s="90"/>
      <c r="Z122" s="89" t="str">
        <f t="shared" si="10"/>
        <v/>
      </c>
      <c r="AA122" s="95"/>
      <c r="AB122" s="88" t="str">
        <f t="shared" si="27"/>
        <v/>
      </c>
      <c r="AC122" s="87"/>
      <c r="AD122" s="89" t="str">
        <f t="shared" si="11"/>
        <v/>
      </c>
      <c r="AE122" s="90"/>
      <c r="AF122" s="89" t="str">
        <f t="shared" si="12"/>
        <v/>
      </c>
      <c r="AG122" s="96"/>
      <c r="AH122" s="88" t="str">
        <f t="shared" si="13"/>
        <v/>
      </c>
      <c r="AI122" s="87"/>
      <c r="AJ122" s="89" t="str">
        <f t="shared" si="14"/>
        <v/>
      </c>
      <c r="AK122" s="90"/>
      <c r="AL122" s="89" t="str">
        <f t="shared" si="15"/>
        <v/>
      </c>
      <c r="AM122" s="89"/>
      <c r="AN122" s="93">
        <f t="shared" si="17"/>
        <v>0</v>
      </c>
      <c r="AO122" s="94">
        <f t="shared" si="18"/>
        <v>0</v>
      </c>
      <c r="AP122" s="87"/>
      <c r="AQ122" s="87"/>
      <c r="AR122" s="89" t="str">
        <f t="shared" si="19"/>
        <v/>
      </c>
      <c r="AS122" s="90"/>
      <c r="AT122" s="89" t="str">
        <f t="shared" si="20"/>
        <v/>
      </c>
      <c r="AU122" s="95"/>
      <c r="AV122" s="87"/>
      <c r="AW122" s="87"/>
      <c r="AX122" s="89" t="str">
        <f t="shared" si="21"/>
        <v/>
      </c>
      <c r="AY122" s="90"/>
      <c r="AZ122" s="89" t="str">
        <f t="shared" si="22"/>
        <v/>
      </c>
      <c r="BA122" s="95"/>
      <c r="BB122" s="88" t="str">
        <f t="shared" si="28"/>
        <v/>
      </c>
      <c r="BC122" s="87"/>
      <c r="BD122" s="89" t="str">
        <f t="shared" si="23"/>
        <v/>
      </c>
      <c r="BE122" s="90"/>
      <c r="BF122" s="89" t="str">
        <f t="shared" si="24"/>
        <v/>
      </c>
      <c r="BG122" s="96"/>
    </row>
    <row r="123">
      <c r="A123" s="87"/>
      <c r="B123" s="87"/>
      <c r="C123" s="87"/>
      <c r="D123" s="87"/>
      <c r="E123" s="87"/>
      <c r="F123" s="87"/>
      <c r="G123" s="87"/>
      <c r="H123" s="88" t="str">
        <f t="shared" si="1"/>
        <v/>
      </c>
      <c r="I123" s="87"/>
      <c r="J123" s="89" t="str">
        <f t="shared" si="2"/>
        <v/>
      </c>
      <c r="K123" s="90"/>
      <c r="L123" s="89" t="str">
        <f t="shared" si="3"/>
        <v/>
      </c>
      <c r="M123" s="89"/>
      <c r="N123" s="93">
        <f t="shared" si="5"/>
        <v>0</v>
      </c>
      <c r="O123" s="94">
        <f t="shared" si="6"/>
        <v>0</v>
      </c>
      <c r="P123" s="87"/>
      <c r="Q123" s="87"/>
      <c r="R123" s="89" t="str">
        <f t="shared" si="7"/>
        <v/>
      </c>
      <c r="S123" s="90"/>
      <c r="T123" s="89" t="str">
        <f t="shared" si="8"/>
        <v/>
      </c>
      <c r="U123" s="95"/>
      <c r="V123" s="87"/>
      <c r="W123" s="87"/>
      <c r="X123" s="89" t="str">
        <f t="shared" si="9"/>
        <v/>
      </c>
      <c r="Y123" s="90"/>
      <c r="Z123" s="89" t="str">
        <f t="shared" si="10"/>
        <v/>
      </c>
      <c r="AA123" s="95"/>
      <c r="AB123" s="88" t="str">
        <f t="shared" si="27"/>
        <v/>
      </c>
      <c r="AC123" s="87"/>
      <c r="AD123" s="89" t="str">
        <f t="shared" si="11"/>
        <v/>
      </c>
      <c r="AE123" s="90"/>
      <c r="AF123" s="89" t="str">
        <f t="shared" si="12"/>
        <v/>
      </c>
      <c r="AG123" s="96"/>
      <c r="AH123" s="88" t="str">
        <f t="shared" si="13"/>
        <v/>
      </c>
      <c r="AI123" s="87"/>
      <c r="AJ123" s="89" t="str">
        <f t="shared" si="14"/>
        <v/>
      </c>
      <c r="AK123" s="90"/>
      <c r="AL123" s="89" t="str">
        <f t="shared" si="15"/>
        <v/>
      </c>
      <c r="AM123" s="89"/>
      <c r="AN123" s="93">
        <f t="shared" si="17"/>
        <v>0</v>
      </c>
      <c r="AO123" s="94">
        <f t="shared" si="18"/>
        <v>0</v>
      </c>
      <c r="AP123" s="87"/>
      <c r="AQ123" s="87"/>
      <c r="AR123" s="89" t="str">
        <f t="shared" si="19"/>
        <v/>
      </c>
      <c r="AS123" s="90"/>
      <c r="AT123" s="89" t="str">
        <f t="shared" si="20"/>
        <v/>
      </c>
      <c r="AU123" s="95"/>
      <c r="AV123" s="87"/>
      <c r="AW123" s="87"/>
      <c r="AX123" s="89" t="str">
        <f t="shared" si="21"/>
        <v/>
      </c>
      <c r="AY123" s="90"/>
      <c r="AZ123" s="89" t="str">
        <f t="shared" si="22"/>
        <v/>
      </c>
      <c r="BA123" s="95"/>
      <c r="BB123" s="88" t="str">
        <f t="shared" si="28"/>
        <v/>
      </c>
      <c r="BC123" s="87"/>
      <c r="BD123" s="89" t="str">
        <f t="shared" si="23"/>
        <v/>
      </c>
      <c r="BE123" s="90"/>
      <c r="BF123" s="89" t="str">
        <f t="shared" si="24"/>
        <v/>
      </c>
      <c r="BG123" s="96"/>
    </row>
    <row r="124">
      <c r="A124" s="87"/>
      <c r="B124" s="87"/>
      <c r="C124" s="87"/>
      <c r="D124" s="87"/>
      <c r="E124" s="87"/>
      <c r="F124" s="87"/>
      <c r="G124" s="87"/>
      <c r="H124" s="88" t="str">
        <f t="shared" si="1"/>
        <v/>
      </c>
      <c r="I124" s="87"/>
      <c r="J124" s="89" t="str">
        <f t="shared" si="2"/>
        <v/>
      </c>
      <c r="K124" s="90"/>
      <c r="L124" s="89" t="str">
        <f t="shared" si="3"/>
        <v/>
      </c>
      <c r="M124" s="89"/>
      <c r="N124" s="93">
        <f t="shared" si="5"/>
        <v>0</v>
      </c>
      <c r="O124" s="94">
        <f t="shared" si="6"/>
        <v>0</v>
      </c>
      <c r="P124" s="87"/>
      <c r="Q124" s="87"/>
      <c r="R124" s="89" t="str">
        <f t="shared" si="7"/>
        <v/>
      </c>
      <c r="S124" s="90"/>
      <c r="T124" s="89" t="str">
        <f t="shared" si="8"/>
        <v/>
      </c>
      <c r="U124" s="95"/>
      <c r="V124" s="87"/>
      <c r="W124" s="87"/>
      <c r="X124" s="89" t="str">
        <f t="shared" si="9"/>
        <v/>
      </c>
      <c r="Y124" s="90"/>
      <c r="Z124" s="89" t="str">
        <f t="shared" si="10"/>
        <v/>
      </c>
      <c r="AA124" s="95"/>
      <c r="AB124" s="88" t="str">
        <f t="shared" si="27"/>
        <v/>
      </c>
      <c r="AC124" s="87"/>
      <c r="AD124" s="89" t="str">
        <f t="shared" si="11"/>
        <v/>
      </c>
      <c r="AE124" s="90"/>
      <c r="AF124" s="89" t="str">
        <f t="shared" si="12"/>
        <v/>
      </c>
      <c r="AG124" s="96"/>
      <c r="AH124" s="88" t="str">
        <f t="shared" si="13"/>
        <v/>
      </c>
      <c r="AI124" s="87"/>
      <c r="AJ124" s="89" t="str">
        <f t="shared" si="14"/>
        <v/>
      </c>
      <c r="AK124" s="90"/>
      <c r="AL124" s="89" t="str">
        <f t="shared" si="15"/>
        <v/>
      </c>
      <c r="AM124" s="89"/>
      <c r="AN124" s="93">
        <f t="shared" si="17"/>
        <v>0</v>
      </c>
      <c r="AO124" s="94">
        <f t="shared" si="18"/>
        <v>0</v>
      </c>
      <c r="AP124" s="87"/>
      <c r="AQ124" s="87"/>
      <c r="AR124" s="89" t="str">
        <f t="shared" si="19"/>
        <v/>
      </c>
      <c r="AS124" s="90"/>
      <c r="AT124" s="89" t="str">
        <f t="shared" si="20"/>
        <v/>
      </c>
      <c r="AU124" s="95"/>
      <c r="AV124" s="87"/>
      <c r="AW124" s="87"/>
      <c r="AX124" s="89" t="str">
        <f t="shared" si="21"/>
        <v/>
      </c>
      <c r="AY124" s="90"/>
      <c r="AZ124" s="89" t="str">
        <f t="shared" si="22"/>
        <v/>
      </c>
      <c r="BA124" s="95"/>
      <c r="BB124" s="88" t="str">
        <f t="shared" si="28"/>
        <v/>
      </c>
      <c r="BC124" s="87"/>
      <c r="BD124" s="89" t="str">
        <f t="shared" si="23"/>
        <v/>
      </c>
      <c r="BE124" s="90"/>
      <c r="BF124" s="89" t="str">
        <f t="shared" si="24"/>
        <v/>
      </c>
      <c r="BG124" s="96"/>
    </row>
    <row r="125">
      <c r="A125" s="87"/>
      <c r="B125" s="87"/>
      <c r="C125" s="87"/>
      <c r="D125" s="87"/>
      <c r="E125" s="87"/>
      <c r="F125" s="87"/>
      <c r="G125" s="87"/>
      <c r="H125" s="88" t="str">
        <f t="shared" si="1"/>
        <v/>
      </c>
      <c r="I125" s="87"/>
      <c r="J125" s="89" t="str">
        <f t="shared" si="2"/>
        <v/>
      </c>
      <c r="K125" s="90"/>
      <c r="L125" s="89" t="str">
        <f t="shared" si="3"/>
        <v/>
      </c>
      <c r="M125" s="89"/>
      <c r="N125" s="93">
        <f t="shared" si="5"/>
        <v>0</v>
      </c>
      <c r="O125" s="94">
        <f t="shared" si="6"/>
        <v>0</v>
      </c>
      <c r="P125" s="87"/>
      <c r="Q125" s="87"/>
      <c r="R125" s="89" t="str">
        <f t="shared" si="7"/>
        <v/>
      </c>
      <c r="S125" s="90"/>
      <c r="T125" s="89" t="str">
        <f t="shared" si="8"/>
        <v/>
      </c>
      <c r="U125" s="95"/>
      <c r="V125" s="87"/>
      <c r="W125" s="87"/>
      <c r="X125" s="89" t="str">
        <f t="shared" si="9"/>
        <v/>
      </c>
      <c r="Y125" s="90"/>
      <c r="Z125" s="89" t="str">
        <f t="shared" si="10"/>
        <v/>
      </c>
      <c r="AA125" s="95"/>
      <c r="AB125" s="88" t="str">
        <f t="shared" si="27"/>
        <v/>
      </c>
      <c r="AC125" s="87"/>
      <c r="AD125" s="89" t="str">
        <f t="shared" si="11"/>
        <v/>
      </c>
      <c r="AE125" s="90"/>
      <c r="AF125" s="89" t="str">
        <f t="shared" si="12"/>
        <v/>
      </c>
      <c r="AG125" s="96"/>
      <c r="AH125" s="88" t="str">
        <f t="shared" si="13"/>
        <v/>
      </c>
      <c r="AI125" s="87"/>
      <c r="AJ125" s="89" t="str">
        <f t="shared" si="14"/>
        <v/>
      </c>
      <c r="AK125" s="90"/>
      <c r="AL125" s="89" t="str">
        <f t="shared" si="15"/>
        <v/>
      </c>
      <c r="AM125" s="89"/>
      <c r="AN125" s="93">
        <f t="shared" si="17"/>
        <v>0</v>
      </c>
      <c r="AO125" s="94">
        <f t="shared" si="18"/>
        <v>0</v>
      </c>
      <c r="AP125" s="87"/>
      <c r="AQ125" s="87"/>
      <c r="AR125" s="89" t="str">
        <f t="shared" si="19"/>
        <v/>
      </c>
      <c r="AS125" s="90"/>
      <c r="AT125" s="89" t="str">
        <f t="shared" si="20"/>
        <v/>
      </c>
      <c r="AU125" s="95"/>
      <c r="AV125" s="87"/>
      <c r="AW125" s="87"/>
      <c r="AX125" s="89" t="str">
        <f t="shared" si="21"/>
        <v/>
      </c>
      <c r="AY125" s="90"/>
      <c r="AZ125" s="89" t="str">
        <f t="shared" si="22"/>
        <v/>
      </c>
      <c r="BA125" s="95"/>
      <c r="BB125" s="88" t="str">
        <f t="shared" si="28"/>
        <v/>
      </c>
      <c r="BC125" s="87"/>
      <c r="BD125" s="89" t="str">
        <f t="shared" si="23"/>
        <v/>
      </c>
      <c r="BE125" s="90"/>
      <c r="BF125" s="89" t="str">
        <f t="shared" si="24"/>
        <v/>
      </c>
      <c r="BG125" s="96"/>
    </row>
    <row r="126">
      <c r="A126" s="87"/>
      <c r="B126" s="87"/>
      <c r="C126" s="87"/>
      <c r="D126" s="87"/>
      <c r="E126" s="87"/>
      <c r="F126" s="87"/>
      <c r="G126" s="87"/>
      <c r="H126" s="88" t="str">
        <f t="shared" si="1"/>
        <v/>
      </c>
      <c r="I126" s="87"/>
      <c r="J126" s="89" t="str">
        <f t="shared" si="2"/>
        <v/>
      </c>
      <c r="K126" s="90"/>
      <c r="L126" s="89" t="str">
        <f t="shared" si="3"/>
        <v/>
      </c>
      <c r="M126" s="89"/>
      <c r="N126" s="93">
        <f t="shared" si="5"/>
        <v>0</v>
      </c>
      <c r="O126" s="94">
        <f t="shared" si="6"/>
        <v>0</v>
      </c>
      <c r="P126" s="87"/>
      <c r="Q126" s="87"/>
      <c r="R126" s="89" t="str">
        <f t="shared" si="7"/>
        <v/>
      </c>
      <c r="S126" s="90"/>
      <c r="T126" s="89" t="str">
        <f t="shared" si="8"/>
        <v/>
      </c>
      <c r="U126" s="95"/>
      <c r="V126" s="87"/>
      <c r="W126" s="87"/>
      <c r="X126" s="89" t="str">
        <f t="shared" si="9"/>
        <v/>
      </c>
      <c r="Y126" s="90"/>
      <c r="Z126" s="89" t="str">
        <f t="shared" si="10"/>
        <v/>
      </c>
      <c r="AA126" s="95"/>
      <c r="AB126" s="88" t="str">
        <f t="shared" si="27"/>
        <v/>
      </c>
      <c r="AC126" s="87"/>
      <c r="AD126" s="89" t="str">
        <f t="shared" si="11"/>
        <v/>
      </c>
      <c r="AE126" s="90"/>
      <c r="AF126" s="89" t="str">
        <f t="shared" si="12"/>
        <v/>
      </c>
      <c r="AG126" s="96"/>
      <c r="AH126" s="88" t="str">
        <f t="shared" si="13"/>
        <v/>
      </c>
      <c r="AI126" s="87"/>
      <c r="AJ126" s="89" t="str">
        <f t="shared" si="14"/>
        <v/>
      </c>
      <c r="AK126" s="90"/>
      <c r="AL126" s="89" t="str">
        <f t="shared" si="15"/>
        <v/>
      </c>
      <c r="AM126" s="89"/>
      <c r="AN126" s="93">
        <f t="shared" si="17"/>
        <v>0</v>
      </c>
      <c r="AO126" s="94">
        <f t="shared" si="18"/>
        <v>0</v>
      </c>
      <c r="AP126" s="87"/>
      <c r="AQ126" s="87"/>
      <c r="AR126" s="89" t="str">
        <f t="shared" si="19"/>
        <v/>
      </c>
      <c r="AS126" s="90"/>
      <c r="AT126" s="89" t="str">
        <f t="shared" si="20"/>
        <v/>
      </c>
      <c r="AU126" s="95"/>
      <c r="AV126" s="87"/>
      <c r="AW126" s="87"/>
      <c r="AX126" s="89" t="str">
        <f t="shared" si="21"/>
        <v/>
      </c>
      <c r="AY126" s="90"/>
      <c r="AZ126" s="89" t="str">
        <f t="shared" si="22"/>
        <v/>
      </c>
      <c r="BA126" s="95"/>
      <c r="BB126" s="88" t="str">
        <f t="shared" si="28"/>
        <v/>
      </c>
      <c r="BC126" s="87"/>
      <c r="BD126" s="89" t="str">
        <f t="shared" si="23"/>
        <v/>
      </c>
      <c r="BE126" s="90"/>
      <c r="BF126" s="89" t="str">
        <f t="shared" si="24"/>
        <v/>
      </c>
      <c r="BG126" s="96"/>
    </row>
    <row r="127">
      <c r="A127" s="87"/>
      <c r="B127" s="87"/>
      <c r="C127" s="87"/>
      <c r="D127" s="87"/>
      <c r="E127" s="87"/>
      <c r="F127" s="87"/>
      <c r="G127" s="87"/>
      <c r="H127" s="88" t="str">
        <f t="shared" si="1"/>
        <v/>
      </c>
      <c r="I127" s="87"/>
      <c r="J127" s="89" t="str">
        <f t="shared" si="2"/>
        <v/>
      </c>
      <c r="K127" s="90"/>
      <c r="L127" s="89" t="str">
        <f t="shared" si="3"/>
        <v/>
      </c>
      <c r="M127" s="89"/>
      <c r="N127" s="93">
        <f t="shared" si="5"/>
        <v>0</v>
      </c>
      <c r="O127" s="94">
        <f t="shared" si="6"/>
        <v>0</v>
      </c>
      <c r="P127" s="87"/>
      <c r="Q127" s="87"/>
      <c r="R127" s="89" t="str">
        <f t="shared" si="7"/>
        <v/>
      </c>
      <c r="S127" s="90"/>
      <c r="T127" s="89" t="str">
        <f t="shared" si="8"/>
        <v/>
      </c>
      <c r="U127" s="95"/>
      <c r="V127" s="87"/>
      <c r="W127" s="87"/>
      <c r="X127" s="89" t="str">
        <f t="shared" si="9"/>
        <v/>
      </c>
      <c r="Y127" s="90"/>
      <c r="Z127" s="89" t="str">
        <f t="shared" si="10"/>
        <v/>
      </c>
      <c r="AA127" s="95"/>
      <c r="AB127" s="88" t="str">
        <f t="shared" si="27"/>
        <v/>
      </c>
      <c r="AC127" s="87"/>
      <c r="AD127" s="89" t="str">
        <f t="shared" si="11"/>
        <v/>
      </c>
      <c r="AE127" s="90"/>
      <c r="AF127" s="89" t="str">
        <f t="shared" si="12"/>
        <v/>
      </c>
      <c r="AG127" s="96"/>
      <c r="AH127" s="88" t="str">
        <f t="shared" si="13"/>
        <v/>
      </c>
      <c r="AI127" s="87"/>
      <c r="AJ127" s="89" t="str">
        <f t="shared" si="14"/>
        <v/>
      </c>
      <c r="AK127" s="90"/>
      <c r="AL127" s="89" t="str">
        <f t="shared" si="15"/>
        <v/>
      </c>
      <c r="AM127" s="89"/>
      <c r="AN127" s="93">
        <f t="shared" si="17"/>
        <v>0</v>
      </c>
      <c r="AO127" s="94">
        <f t="shared" si="18"/>
        <v>0</v>
      </c>
      <c r="AP127" s="87"/>
      <c r="AQ127" s="87"/>
      <c r="AR127" s="89" t="str">
        <f t="shared" si="19"/>
        <v/>
      </c>
      <c r="AS127" s="90"/>
      <c r="AT127" s="89" t="str">
        <f t="shared" si="20"/>
        <v/>
      </c>
      <c r="AU127" s="95"/>
      <c r="AV127" s="87"/>
      <c r="AW127" s="87"/>
      <c r="AX127" s="89" t="str">
        <f t="shared" si="21"/>
        <v/>
      </c>
      <c r="AY127" s="90"/>
      <c r="AZ127" s="89" t="str">
        <f t="shared" si="22"/>
        <v/>
      </c>
      <c r="BA127" s="95"/>
      <c r="BB127" s="88" t="str">
        <f t="shared" si="28"/>
        <v/>
      </c>
      <c r="BC127" s="87"/>
      <c r="BD127" s="89" t="str">
        <f t="shared" si="23"/>
        <v/>
      </c>
      <c r="BE127" s="90"/>
      <c r="BF127" s="89" t="str">
        <f t="shared" si="24"/>
        <v/>
      </c>
      <c r="BG127" s="96"/>
    </row>
    <row r="128">
      <c r="A128" s="87"/>
      <c r="B128" s="87"/>
      <c r="C128" s="87"/>
      <c r="D128" s="87"/>
      <c r="E128" s="87"/>
      <c r="F128" s="87"/>
      <c r="G128" s="87"/>
      <c r="H128" s="88" t="str">
        <f t="shared" si="1"/>
        <v/>
      </c>
      <c r="I128" s="87"/>
      <c r="J128" s="89" t="str">
        <f t="shared" si="2"/>
        <v/>
      </c>
      <c r="K128" s="90"/>
      <c r="L128" s="89" t="str">
        <f t="shared" si="3"/>
        <v/>
      </c>
      <c r="M128" s="89"/>
      <c r="N128" s="93">
        <f t="shared" si="5"/>
        <v>0</v>
      </c>
      <c r="O128" s="94">
        <f t="shared" si="6"/>
        <v>0</v>
      </c>
      <c r="P128" s="87"/>
      <c r="Q128" s="87"/>
      <c r="R128" s="89" t="str">
        <f t="shared" si="7"/>
        <v/>
      </c>
      <c r="S128" s="90"/>
      <c r="T128" s="89" t="str">
        <f t="shared" si="8"/>
        <v/>
      </c>
      <c r="U128" s="95"/>
      <c r="V128" s="87"/>
      <c r="W128" s="87"/>
      <c r="X128" s="89" t="str">
        <f t="shared" si="9"/>
        <v/>
      </c>
      <c r="Y128" s="90"/>
      <c r="Z128" s="89" t="str">
        <f t="shared" si="10"/>
        <v/>
      </c>
      <c r="AA128" s="95"/>
      <c r="AB128" s="88" t="str">
        <f t="shared" si="27"/>
        <v/>
      </c>
      <c r="AC128" s="87"/>
      <c r="AD128" s="89" t="str">
        <f t="shared" si="11"/>
        <v/>
      </c>
      <c r="AE128" s="90"/>
      <c r="AF128" s="89" t="str">
        <f t="shared" si="12"/>
        <v/>
      </c>
      <c r="AG128" s="96"/>
      <c r="AH128" s="88" t="str">
        <f t="shared" si="13"/>
        <v/>
      </c>
      <c r="AI128" s="87"/>
      <c r="AJ128" s="89" t="str">
        <f t="shared" si="14"/>
        <v/>
      </c>
      <c r="AK128" s="90"/>
      <c r="AL128" s="89" t="str">
        <f t="shared" si="15"/>
        <v/>
      </c>
      <c r="AM128" s="89"/>
      <c r="AN128" s="93">
        <f t="shared" si="17"/>
        <v>0</v>
      </c>
      <c r="AO128" s="94">
        <f t="shared" si="18"/>
        <v>0</v>
      </c>
      <c r="AP128" s="87"/>
      <c r="AQ128" s="87"/>
      <c r="AR128" s="89" t="str">
        <f t="shared" si="19"/>
        <v/>
      </c>
      <c r="AS128" s="90"/>
      <c r="AT128" s="89" t="str">
        <f t="shared" si="20"/>
        <v/>
      </c>
      <c r="AU128" s="95"/>
      <c r="AV128" s="87"/>
      <c r="AW128" s="87"/>
      <c r="AX128" s="89" t="str">
        <f t="shared" si="21"/>
        <v/>
      </c>
      <c r="AY128" s="90"/>
      <c r="AZ128" s="89" t="str">
        <f t="shared" si="22"/>
        <v/>
      </c>
      <c r="BA128" s="95"/>
      <c r="BB128" s="88" t="str">
        <f t="shared" si="28"/>
        <v/>
      </c>
      <c r="BC128" s="87"/>
      <c r="BD128" s="89" t="str">
        <f t="shared" si="23"/>
        <v/>
      </c>
      <c r="BE128" s="90"/>
      <c r="BF128" s="89" t="str">
        <f t="shared" si="24"/>
        <v/>
      </c>
      <c r="BG128" s="96"/>
    </row>
    <row r="129">
      <c r="A129" s="87"/>
      <c r="B129" s="87"/>
      <c r="C129" s="87"/>
      <c r="D129" s="87"/>
      <c r="E129" s="87"/>
      <c r="F129" s="87"/>
      <c r="G129" s="87"/>
      <c r="H129" s="88" t="str">
        <f t="shared" si="1"/>
        <v/>
      </c>
      <c r="I129" s="87"/>
      <c r="J129" s="89" t="str">
        <f t="shared" si="2"/>
        <v/>
      </c>
      <c r="K129" s="90"/>
      <c r="L129" s="89" t="str">
        <f t="shared" si="3"/>
        <v/>
      </c>
      <c r="M129" s="89"/>
      <c r="N129" s="93">
        <f t="shared" si="5"/>
        <v>0</v>
      </c>
      <c r="O129" s="94">
        <f t="shared" si="6"/>
        <v>0</v>
      </c>
      <c r="P129" s="87"/>
      <c r="Q129" s="87"/>
      <c r="R129" s="89" t="str">
        <f t="shared" si="7"/>
        <v/>
      </c>
      <c r="S129" s="90"/>
      <c r="T129" s="89" t="str">
        <f t="shared" si="8"/>
        <v/>
      </c>
      <c r="U129" s="95"/>
      <c r="V129" s="87"/>
      <c r="W129" s="87"/>
      <c r="X129" s="89" t="str">
        <f t="shared" si="9"/>
        <v/>
      </c>
      <c r="Y129" s="90"/>
      <c r="Z129" s="89" t="str">
        <f t="shared" si="10"/>
        <v/>
      </c>
      <c r="AA129" s="95"/>
      <c r="AB129" s="88" t="str">
        <f t="shared" si="27"/>
        <v/>
      </c>
      <c r="AC129" s="87"/>
      <c r="AD129" s="89" t="str">
        <f t="shared" si="11"/>
        <v/>
      </c>
      <c r="AE129" s="90"/>
      <c r="AF129" s="89" t="str">
        <f t="shared" si="12"/>
        <v/>
      </c>
      <c r="AG129" s="96"/>
      <c r="AH129" s="88" t="str">
        <f t="shared" si="13"/>
        <v/>
      </c>
      <c r="AI129" s="87"/>
      <c r="AJ129" s="89" t="str">
        <f t="shared" si="14"/>
        <v/>
      </c>
      <c r="AK129" s="90"/>
      <c r="AL129" s="89" t="str">
        <f t="shared" si="15"/>
        <v/>
      </c>
      <c r="AM129" s="89"/>
      <c r="AN129" s="93">
        <f t="shared" si="17"/>
        <v>0</v>
      </c>
      <c r="AO129" s="94">
        <f t="shared" si="18"/>
        <v>0</v>
      </c>
      <c r="AP129" s="87"/>
      <c r="AQ129" s="87"/>
      <c r="AR129" s="89" t="str">
        <f t="shared" si="19"/>
        <v/>
      </c>
      <c r="AS129" s="90"/>
      <c r="AT129" s="89" t="str">
        <f t="shared" si="20"/>
        <v/>
      </c>
      <c r="AU129" s="95"/>
      <c r="AV129" s="87"/>
      <c r="AW129" s="87"/>
      <c r="AX129" s="89" t="str">
        <f t="shared" si="21"/>
        <v/>
      </c>
      <c r="AY129" s="90"/>
      <c r="AZ129" s="89" t="str">
        <f t="shared" si="22"/>
        <v/>
      </c>
      <c r="BA129" s="95"/>
      <c r="BB129" s="88" t="str">
        <f t="shared" si="28"/>
        <v/>
      </c>
      <c r="BC129" s="87"/>
      <c r="BD129" s="89" t="str">
        <f t="shared" si="23"/>
        <v/>
      </c>
      <c r="BE129" s="90"/>
      <c r="BF129" s="89" t="str">
        <f t="shared" si="24"/>
        <v/>
      </c>
      <c r="BG129" s="96"/>
    </row>
    <row r="130">
      <c r="A130" s="87"/>
      <c r="B130" s="87"/>
      <c r="C130" s="87"/>
      <c r="D130" s="87"/>
      <c r="E130" s="87"/>
      <c r="F130" s="87"/>
      <c r="G130" s="87"/>
      <c r="H130" s="88" t="str">
        <f t="shared" si="1"/>
        <v/>
      </c>
      <c r="I130" s="87"/>
      <c r="J130" s="89" t="str">
        <f t="shared" si="2"/>
        <v/>
      </c>
      <c r="K130" s="90"/>
      <c r="L130" s="89" t="str">
        <f t="shared" si="3"/>
        <v/>
      </c>
      <c r="M130" s="89"/>
      <c r="N130" s="93">
        <f t="shared" si="5"/>
        <v>0</v>
      </c>
      <c r="O130" s="94">
        <f t="shared" si="6"/>
        <v>0</v>
      </c>
      <c r="P130" s="87"/>
      <c r="Q130" s="87"/>
      <c r="R130" s="89" t="str">
        <f t="shared" si="7"/>
        <v/>
      </c>
      <c r="S130" s="90"/>
      <c r="T130" s="89" t="str">
        <f t="shared" si="8"/>
        <v/>
      </c>
      <c r="U130" s="95"/>
      <c r="V130" s="87"/>
      <c r="W130" s="87"/>
      <c r="X130" s="89" t="str">
        <f t="shared" si="9"/>
        <v/>
      </c>
      <c r="Y130" s="90"/>
      <c r="Z130" s="89" t="str">
        <f t="shared" si="10"/>
        <v/>
      </c>
      <c r="AA130" s="95"/>
      <c r="AB130" s="88" t="str">
        <f t="shared" si="27"/>
        <v/>
      </c>
      <c r="AC130" s="87"/>
      <c r="AD130" s="89" t="str">
        <f t="shared" si="11"/>
        <v/>
      </c>
      <c r="AE130" s="90"/>
      <c r="AF130" s="89" t="str">
        <f t="shared" si="12"/>
        <v/>
      </c>
      <c r="AG130" s="96"/>
      <c r="AH130" s="88" t="str">
        <f t="shared" si="13"/>
        <v/>
      </c>
      <c r="AI130" s="87"/>
      <c r="AJ130" s="89" t="str">
        <f t="shared" si="14"/>
        <v/>
      </c>
      <c r="AK130" s="90"/>
      <c r="AL130" s="89" t="str">
        <f t="shared" si="15"/>
        <v/>
      </c>
      <c r="AM130" s="89"/>
      <c r="AN130" s="93">
        <f t="shared" si="17"/>
        <v>0</v>
      </c>
      <c r="AO130" s="94">
        <f t="shared" si="18"/>
        <v>0</v>
      </c>
      <c r="AP130" s="87"/>
      <c r="AQ130" s="87"/>
      <c r="AR130" s="89" t="str">
        <f t="shared" si="19"/>
        <v/>
      </c>
      <c r="AS130" s="90"/>
      <c r="AT130" s="89" t="str">
        <f t="shared" si="20"/>
        <v/>
      </c>
      <c r="AU130" s="95"/>
      <c r="AV130" s="87"/>
      <c r="AW130" s="87"/>
      <c r="AX130" s="89" t="str">
        <f t="shared" si="21"/>
        <v/>
      </c>
      <c r="AY130" s="90"/>
      <c r="AZ130" s="89" t="str">
        <f t="shared" si="22"/>
        <v/>
      </c>
      <c r="BA130" s="95"/>
      <c r="BB130" s="88" t="str">
        <f t="shared" si="28"/>
        <v/>
      </c>
      <c r="BC130" s="87"/>
      <c r="BD130" s="89" t="str">
        <f t="shared" si="23"/>
        <v/>
      </c>
      <c r="BE130" s="90"/>
      <c r="BF130" s="89" t="str">
        <f t="shared" si="24"/>
        <v/>
      </c>
      <c r="BG130" s="96"/>
    </row>
    <row r="131">
      <c r="A131" s="87"/>
      <c r="B131" s="87"/>
      <c r="C131" s="87"/>
      <c r="D131" s="87"/>
      <c r="E131" s="87"/>
      <c r="F131" s="87"/>
      <c r="G131" s="87"/>
      <c r="H131" s="88" t="str">
        <f t="shared" si="1"/>
        <v/>
      </c>
      <c r="I131" s="87"/>
      <c r="J131" s="89" t="str">
        <f t="shared" si="2"/>
        <v/>
      </c>
      <c r="K131" s="90"/>
      <c r="L131" s="89" t="str">
        <f t="shared" si="3"/>
        <v/>
      </c>
      <c r="M131" s="89"/>
      <c r="N131" s="93">
        <f t="shared" si="5"/>
        <v>0</v>
      </c>
      <c r="O131" s="94">
        <f t="shared" si="6"/>
        <v>0</v>
      </c>
      <c r="P131" s="87"/>
      <c r="Q131" s="87"/>
      <c r="R131" s="89" t="str">
        <f t="shared" si="7"/>
        <v/>
      </c>
      <c r="S131" s="90"/>
      <c r="T131" s="89" t="str">
        <f t="shared" si="8"/>
        <v/>
      </c>
      <c r="U131" s="95"/>
      <c r="V131" s="87"/>
      <c r="W131" s="87"/>
      <c r="X131" s="89" t="str">
        <f t="shared" si="9"/>
        <v/>
      </c>
      <c r="Y131" s="90"/>
      <c r="Z131" s="89" t="str">
        <f t="shared" si="10"/>
        <v/>
      </c>
      <c r="AA131" s="95"/>
      <c r="AB131" s="88" t="str">
        <f t="shared" si="27"/>
        <v/>
      </c>
      <c r="AC131" s="87"/>
      <c r="AD131" s="89" t="str">
        <f t="shared" si="11"/>
        <v/>
      </c>
      <c r="AE131" s="90"/>
      <c r="AF131" s="89" t="str">
        <f t="shared" si="12"/>
        <v/>
      </c>
      <c r="AG131" s="96"/>
      <c r="AH131" s="88" t="str">
        <f t="shared" si="13"/>
        <v/>
      </c>
      <c r="AI131" s="87"/>
      <c r="AJ131" s="89" t="str">
        <f t="shared" si="14"/>
        <v/>
      </c>
      <c r="AK131" s="90"/>
      <c r="AL131" s="89" t="str">
        <f t="shared" si="15"/>
        <v/>
      </c>
      <c r="AM131" s="89"/>
      <c r="AN131" s="93">
        <f t="shared" si="17"/>
        <v>0</v>
      </c>
      <c r="AO131" s="94">
        <f t="shared" si="18"/>
        <v>0</v>
      </c>
      <c r="AP131" s="87"/>
      <c r="AQ131" s="87"/>
      <c r="AR131" s="89" t="str">
        <f t="shared" si="19"/>
        <v/>
      </c>
      <c r="AS131" s="90"/>
      <c r="AT131" s="89" t="str">
        <f t="shared" si="20"/>
        <v/>
      </c>
      <c r="AU131" s="95"/>
      <c r="AV131" s="87"/>
      <c r="AW131" s="87"/>
      <c r="AX131" s="89" t="str">
        <f t="shared" si="21"/>
        <v/>
      </c>
      <c r="AY131" s="90"/>
      <c r="AZ131" s="89" t="str">
        <f t="shared" si="22"/>
        <v/>
      </c>
      <c r="BA131" s="95"/>
      <c r="BB131" s="88" t="str">
        <f t="shared" si="28"/>
        <v/>
      </c>
      <c r="BC131" s="87"/>
      <c r="BD131" s="89" t="str">
        <f t="shared" si="23"/>
        <v/>
      </c>
      <c r="BE131" s="90"/>
      <c r="BF131" s="89" t="str">
        <f t="shared" si="24"/>
        <v/>
      </c>
      <c r="BG131" s="96"/>
    </row>
    <row r="132">
      <c r="A132" s="87"/>
      <c r="B132" s="87"/>
      <c r="C132" s="87"/>
      <c r="D132" s="87"/>
      <c r="E132" s="87"/>
      <c r="F132" s="87"/>
      <c r="G132" s="87"/>
      <c r="H132" s="88" t="str">
        <f t="shared" si="1"/>
        <v/>
      </c>
      <c r="I132" s="87"/>
      <c r="J132" s="89" t="str">
        <f t="shared" si="2"/>
        <v/>
      </c>
      <c r="K132" s="90"/>
      <c r="L132" s="89" t="str">
        <f t="shared" si="3"/>
        <v/>
      </c>
      <c r="M132" s="89"/>
      <c r="N132" s="93">
        <f t="shared" si="5"/>
        <v>0</v>
      </c>
      <c r="O132" s="94">
        <f t="shared" si="6"/>
        <v>0</v>
      </c>
      <c r="P132" s="87"/>
      <c r="Q132" s="87"/>
      <c r="R132" s="89" t="str">
        <f t="shared" si="7"/>
        <v/>
      </c>
      <c r="S132" s="90"/>
      <c r="T132" s="89" t="str">
        <f t="shared" si="8"/>
        <v/>
      </c>
      <c r="U132" s="95"/>
      <c r="V132" s="87"/>
      <c r="W132" s="87"/>
      <c r="X132" s="89" t="str">
        <f t="shared" si="9"/>
        <v/>
      </c>
      <c r="Y132" s="90"/>
      <c r="Z132" s="89" t="str">
        <f t="shared" si="10"/>
        <v/>
      </c>
      <c r="AA132" s="95"/>
      <c r="AB132" s="88" t="str">
        <f t="shared" si="27"/>
        <v/>
      </c>
      <c r="AC132" s="87"/>
      <c r="AD132" s="89" t="str">
        <f t="shared" si="11"/>
        <v/>
      </c>
      <c r="AE132" s="90"/>
      <c r="AF132" s="89" t="str">
        <f t="shared" si="12"/>
        <v/>
      </c>
      <c r="AG132" s="96"/>
      <c r="AH132" s="88" t="str">
        <f t="shared" si="13"/>
        <v/>
      </c>
      <c r="AI132" s="87"/>
      <c r="AJ132" s="89" t="str">
        <f t="shared" si="14"/>
        <v/>
      </c>
      <c r="AK132" s="90"/>
      <c r="AL132" s="89" t="str">
        <f t="shared" si="15"/>
        <v/>
      </c>
      <c r="AM132" s="89"/>
      <c r="AN132" s="93">
        <f t="shared" si="17"/>
        <v>0</v>
      </c>
      <c r="AO132" s="94">
        <f t="shared" si="18"/>
        <v>0</v>
      </c>
      <c r="AP132" s="87"/>
      <c r="AQ132" s="87"/>
      <c r="AR132" s="89" t="str">
        <f t="shared" si="19"/>
        <v/>
      </c>
      <c r="AS132" s="90"/>
      <c r="AT132" s="89" t="str">
        <f t="shared" si="20"/>
        <v/>
      </c>
      <c r="AU132" s="95"/>
      <c r="AV132" s="87"/>
      <c r="AW132" s="87"/>
      <c r="AX132" s="89" t="str">
        <f t="shared" si="21"/>
        <v/>
      </c>
      <c r="AY132" s="90"/>
      <c r="AZ132" s="89" t="str">
        <f t="shared" si="22"/>
        <v/>
      </c>
      <c r="BA132" s="95"/>
      <c r="BB132" s="88" t="str">
        <f t="shared" si="28"/>
        <v/>
      </c>
      <c r="BC132" s="87"/>
      <c r="BD132" s="89" t="str">
        <f t="shared" si="23"/>
        <v/>
      </c>
      <c r="BE132" s="90"/>
      <c r="BF132" s="89" t="str">
        <f t="shared" si="24"/>
        <v/>
      </c>
      <c r="BG132" s="96"/>
    </row>
    <row r="133">
      <c r="A133" s="87"/>
      <c r="B133" s="87"/>
      <c r="C133" s="87"/>
      <c r="D133" s="87"/>
      <c r="E133" s="87"/>
      <c r="F133" s="87"/>
      <c r="G133" s="87"/>
      <c r="H133" s="88" t="str">
        <f t="shared" si="1"/>
        <v/>
      </c>
      <c r="I133" s="87"/>
      <c r="J133" s="89" t="str">
        <f t="shared" si="2"/>
        <v/>
      </c>
      <c r="K133" s="90"/>
      <c r="L133" s="89" t="str">
        <f t="shared" si="3"/>
        <v/>
      </c>
      <c r="M133" s="89"/>
      <c r="N133" s="93">
        <f t="shared" si="5"/>
        <v>0</v>
      </c>
      <c r="O133" s="94">
        <f t="shared" si="6"/>
        <v>0</v>
      </c>
      <c r="P133" s="87"/>
      <c r="Q133" s="87"/>
      <c r="R133" s="89" t="str">
        <f t="shared" si="7"/>
        <v/>
      </c>
      <c r="S133" s="90"/>
      <c r="T133" s="89" t="str">
        <f t="shared" si="8"/>
        <v/>
      </c>
      <c r="U133" s="95"/>
      <c r="V133" s="87"/>
      <c r="W133" s="87"/>
      <c r="X133" s="89" t="str">
        <f t="shared" si="9"/>
        <v/>
      </c>
      <c r="Y133" s="90"/>
      <c r="Z133" s="89" t="str">
        <f t="shared" si="10"/>
        <v/>
      </c>
      <c r="AA133" s="95"/>
      <c r="AB133" s="88" t="str">
        <f t="shared" si="27"/>
        <v/>
      </c>
      <c r="AC133" s="87"/>
      <c r="AD133" s="89" t="str">
        <f t="shared" si="11"/>
        <v/>
      </c>
      <c r="AE133" s="90"/>
      <c r="AF133" s="89" t="str">
        <f t="shared" si="12"/>
        <v/>
      </c>
      <c r="AG133" s="96"/>
      <c r="AH133" s="88" t="str">
        <f t="shared" si="13"/>
        <v/>
      </c>
      <c r="AI133" s="87"/>
      <c r="AJ133" s="89" t="str">
        <f t="shared" si="14"/>
        <v/>
      </c>
      <c r="AK133" s="90"/>
      <c r="AL133" s="89" t="str">
        <f t="shared" si="15"/>
        <v/>
      </c>
      <c r="AM133" s="89"/>
      <c r="AN133" s="93">
        <f t="shared" si="17"/>
        <v>0</v>
      </c>
      <c r="AO133" s="94">
        <f t="shared" si="18"/>
        <v>0</v>
      </c>
      <c r="AP133" s="87"/>
      <c r="AQ133" s="87"/>
      <c r="AR133" s="89" t="str">
        <f t="shared" si="19"/>
        <v/>
      </c>
      <c r="AS133" s="90"/>
      <c r="AT133" s="89" t="str">
        <f t="shared" si="20"/>
        <v/>
      </c>
      <c r="AU133" s="95"/>
      <c r="AV133" s="87"/>
      <c r="AW133" s="87"/>
      <c r="AX133" s="89" t="str">
        <f t="shared" si="21"/>
        <v/>
      </c>
      <c r="AY133" s="90"/>
      <c r="AZ133" s="89" t="str">
        <f t="shared" si="22"/>
        <v/>
      </c>
      <c r="BA133" s="95"/>
      <c r="BB133" s="88" t="str">
        <f t="shared" si="28"/>
        <v/>
      </c>
      <c r="BC133" s="87"/>
      <c r="BD133" s="89" t="str">
        <f t="shared" si="23"/>
        <v/>
      </c>
      <c r="BE133" s="90"/>
      <c r="BF133" s="89" t="str">
        <f t="shared" si="24"/>
        <v/>
      </c>
      <c r="BG133" s="96"/>
    </row>
    <row r="134">
      <c r="A134" s="87"/>
      <c r="B134" s="87"/>
      <c r="C134" s="87"/>
      <c r="D134" s="87"/>
      <c r="E134" s="87"/>
      <c r="F134" s="87"/>
      <c r="G134" s="87"/>
      <c r="H134" s="88" t="str">
        <f t="shared" si="1"/>
        <v/>
      </c>
      <c r="I134" s="87"/>
      <c r="J134" s="89" t="str">
        <f t="shared" si="2"/>
        <v/>
      </c>
      <c r="K134" s="90"/>
      <c r="L134" s="89" t="str">
        <f t="shared" si="3"/>
        <v/>
      </c>
      <c r="M134" s="89"/>
      <c r="N134" s="93">
        <f t="shared" si="5"/>
        <v>0</v>
      </c>
      <c r="O134" s="94">
        <f t="shared" si="6"/>
        <v>0</v>
      </c>
      <c r="P134" s="87"/>
      <c r="Q134" s="87"/>
      <c r="R134" s="89" t="str">
        <f t="shared" si="7"/>
        <v/>
      </c>
      <c r="S134" s="90"/>
      <c r="T134" s="89" t="str">
        <f t="shared" si="8"/>
        <v/>
      </c>
      <c r="U134" s="95"/>
      <c r="V134" s="87"/>
      <c r="W134" s="87"/>
      <c r="X134" s="89" t="str">
        <f t="shared" si="9"/>
        <v/>
      </c>
      <c r="Y134" s="90"/>
      <c r="Z134" s="89" t="str">
        <f t="shared" si="10"/>
        <v/>
      </c>
      <c r="AA134" s="95"/>
      <c r="AB134" s="88" t="str">
        <f t="shared" si="27"/>
        <v/>
      </c>
      <c r="AC134" s="87"/>
      <c r="AD134" s="89" t="str">
        <f t="shared" si="11"/>
        <v/>
      </c>
      <c r="AE134" s="90"/>
      <c r="AF134" s="89" t="str">
        <f t="shared" si="12"/>
        <v/>
      </c>
      <c r="AG134" s="96"/>
      <c r="AH134" s="88" t="str">
        <f t="shared" si="13"/>
        <v/>
      </c>
      <c r="AI134" s="87"/>
      <c r="AJ134" s="89" t="str">
        <f t="shared" si="14"/>
        <v/>
      </c>
      <c r="AK134" s="90"/>
      <c r="AL134" s="89" t="str">
        <f t="shared" si="15"/>
        <v/>
      </c>
      <c r="AM134" s="89"/>
      <c r="AN134" s="93">
        <f t="shared" si="17"/>
        <v>0</v>
      </c>
      <c r="AO134" s="94">
        <f t="shared" si="18"/>
        <v>0</v>
      </c>
      <c r="AP134" s="87"/>
      <c r="AQ134" s="87"/>
      <c r="AR134" s="89" t="str">
        <f t="shared" si="19"/>
        <v/>
      </c>
      <c r="AS134" s="90"/>
      <c r="AT134" s="89" t="str">
        <f t="shared" si="20"/>
        <v/>
      </c>
      <c r="AU134" s="95"/>
      <c r="AV134" s="87"/>
      <c r="AW134" s="87"/>
      <c r="AX134" s="89" t="str">
        <f t="shared" si="21"/>
        <v/>
      </c>
      <c r="AY134" s="90"/>
      <c r="AZ134" s="89" t="str">
        <f t="shared" si="22"/>
        <v/>
      </c>
      <c r="BA134" s="95"/>
      <c r="BB134" s="88" t="str">
        <f t="shared" si="28"/>
        <v/>
      </c>
      <c r="BC134" s="87"/>
      <c r="BD134" s="89" t="str">
        <f t="shared" si="23"/>
        <v/>
      </c>
      <c r="BE134" s="90"/>
      <c r="BF134" s="89" t="str">
        <f t="shared" si="24"/>
        <v/>
      </c>
      <c r="BG134" s="96"/>
    </row>
    <row r="135">
      <c r="A135" s="87"/>
      <c r="B135" s="87"/>
      <c r="C135" s="87"/>
      <c r="D135" s="87"/>
      <c r="E135" s="87"/>
      <c r="F135" s="87"/>
      <c r="G135" s="87"/>
      <c r="H135" s="88" t="str">
        <f t="shared" si="1"/>
        <v/>
      </c>
      <c r="I135" s="87"/>
      <c r="J135" s="89" t="str">
        <f t="shared" si="2"/>
        <v/>
      </c>
      <c r="K135" s="90"/>
      <c r="L135" s="89" t="str">
        <f t="shared" si="3"/>
        <v/>
      </c>
      <c r="M135" s="89"/>
      <c r="N135" s="93">
        <f t="shared" si="5"/>
        <v>0</v>
      </c>
      <c r="O135" s="94">
        <f t="shared" si="6"/>
        <v>0</v>
      </c>
      <c r="P135" s="87"/>
      <c r="Q135" s="87"/>
      <c r="R135" s="89" t="str">
        <f t="shared" si="7"/>
        <v/>
      </c>
      <c r="S135" s="90"/>
      <c r="T135" s="89" t="str">
        <f t="shared" si="8"/>
        <v/>
      </c>
      <c r="U135" s="95"/>
      <c r="V135" s="87"/>
      <c r="W135" s="87"/>
      <c r="X135" s="89" t="str">
        <f t="shared" si="9"/>
        <v/>
      </c>
      <c r="Y135" s="90"/>
      <c r="Z135" s="89" t="str">
        <f t="shared" si="10"/>
        <v/>
      </c>
      <c r="AA135" s="95"/>
      <c r="AB135" s="88" t="str">
        <f t="shared" si="27"/>
        <v/>
      </c>
      <c r="AC135" s="87"/>
      <c r="AD135" s="89" t="str">
        <f t="shared" si="11"/>
        <v/>
      </c>
      <c r="AE135" s="90"/>
      <c r="AF135" s="89" t="str">
        <f t="shared" si="12"/>
        <v/>
      </c>
      <c r="AG135" s="96"/>
      <c r="AH135" s="88" t="str">
        <f t="shared" si="13"/>
        <v/>
      </c>
      <c r="AI135" s="87"/>
      <c r="AJ135" s="89" t="str">
        <f t="shared" si="14"/>
        <v/>
      </c>
      <c r="AK135" s="90"/>
      <c r="AL135" s="89" t="str">
        <f t="shared" si="15"/>
        <v/>
      </c>
      <c r="AM135" s="89"/>
      <c r="AN135" s="93">
        <f t="shared" si="17"/>
        <v>0</v>
      </c>
      <c r="AO135" s="94">
        <f t="shared" si="18"/>
        <v>0</v>
      </c>
      <c r="AP135" s="87"/>
      <c r="AQ135" s="87"/>
      <c r="AR135" s="89" t="str">
        <f t="shared" si="19"/>
        <v/>
      </c>
      <c r="AS135" s="90"/>
      <c r="AT135" s="89" t="str">
        <f t="shared" si="20"/>
        <v/>
      </c>
      <c r="AU135" s="95"/>
      <c r="AV135" s="87"/>
      <c r="AW135" s="87"/>
      <c r="AX135" s="89" t="str">
        <f t="shared" si="21"/>
        <v/>
      </c>
      <c r="AY135" s="90"/>
      <c r="AZ135" s="89" t="str">
        <f t="shared" si="22"/>
        <v/>
      </c>
      <c r="BA135" s="95"/>
      <c r="BB135" s="88" t="str">
        <f t="shared" si="28"/>
        <v/>
      </c>
      <c r="BC135" s="87"/>
      <c r="BD135" s="89" t="str">
        <f t="shared" si="23"/>
        <v/>
      </c>
      <c r="BE135" s="90"/>
      <c r="BF135" s="89" t="str">
        <f t="shared" si="24"/>
        <v/>
      </c>
      <c r="BG135" s="96"/>
    </row>
    <row r="136">
      <c r="A136" s="87"/>
      <c r="B136" s="87"/>
      <c r="C136" s="87"/>
      <c r="D136" s="87"/>
      <c r="E136" s="87"/>
      <c r="F136" s="87"/>
      <c r="G136" s="87"/>
      <c r="H136" s="88" t="str">
        <f t="shared" si="1"/>
        <v/>
      </c>
      <c r="I136" s="87"/>
      <c r="J136" s="89" t="str">
        <f t="shared" si="2"/>
        <v/>
      </c>
      <c r="K136" s="90"/>
      <c r="L136" s="89" t="str">
        <f t="shared" si="3"/>
        <v/>
      </c>
      <c r="M136" s="89"/>
      <c r="N136" s="93">
        <f t="shared" si="5"/>
        <v>0</v>
      </c>
      <c r="O136" s="94">
        <f t="shared" si="6"/>
        <v>0</v>
      </c>
      <c r="P136" s="87"/>
      <c r="Q136" s="87"/>
      <c r="R136" s="89" t="str">
        <f t="shared" si="7"/>
        <v/>
      </c>
      <c r="S136" s="90"/>
      <c r="T136" s="89" t="str">
        <f t="shared" si="8"/>
        <v/>
      </c>
      <c r="U136" s="95"/>
      <c r="V136" s="87"/>
      <c r="W136" s="87"/>
      <c r="X136" s="89" t="str">
        <f t="shared" si="9"/>
        <v/>
      </c>
      <c r="Y136" s="90"/>
      <c r="Z136" s="89" t="str">
        <f t="shared" si="10"/>
        <v/>
      </c>
      <c r="AA136" s="95"/>
      <c r="AB136" s="88" t="str">
        <f t="shared" si="27"/>
        <v/>
      </c>
      <c r="AC136" s="87"/>
      <c r="AD136" s="89" t="str">
        <f t="shared" si="11"/>
        <v/>
      </c>
      <c r="AE136" s="90"/>
      <c r="AF136" s="89" t="str">
        <f t="shared" si="12"/>
        <v/>
      </c>
      <c r="AG136" s="96"/>
      <c r="AH136" s="88" t="str">
        <f t="shared" si="13"/>
        <v/>
      </c>
      <c r="AI136" s="87"/>
      <c r="AJ136" s="89" t="str">
        <f t="shared" si="14"/>
        <v/>
      </c>
      <c r="AK136" s="90"/>
      <c r="AL136" s="89" t="str">
        <f t="shared" si="15"/>
        <v/>
      </c>
      <c r="AM136" s="89"/>
      <c r="AN136" s="93">
        <f t="shared" si="17"/>
        <v>0</v>
      </c>
      <c r="AO136" s="94">
        <f t="shared" si="18"/>
        <v>0</v>
      </c>
      <c r="AP136" s="87"/>
      <c r="AQ136" s="87"/>
      <c r="AR136" s="89" t="str">
        <f t="shared" si="19"/>
        <v/>
      </c>
      <c r="AS136" s="90"/>
      <c r="AT136" s="89" t="str">
        <f t="shared" si="20"/>
        <v/>
      </c>
      <c r="AU136" s="95"/>
      <c r="AV136" s="87"/>
      <c r="AW136" s="87"/>
      <c r="AX136" s="89" t="str">
        <f t="shared" si="21"/>
        <v/>
      </c>
      <c r="AY136" s="90"/>
      <c r="AZ136" s="89" t="str">
        <f t="shared" si="22"/>
        <v/>
      </c>
      <c r="BA136" s="95"/>
      <c r="BB136" s="88" t="str">
        <f t="shared" si="28"/>
        <v/>
      </c>
      <c r="BC136" s="87"/>
      <c r="BD136" s="89" t="str">
        <f t="shared" si="23"/>
        <v/>
      </c>
      <c r="BE136" s="90"/>
      <c r="BF136" s="89" t="str">
        <f t="shared" si="24"/>
        <v/>
      </c>
      <c r="BG136" s="96"/>
    </row>
    <row r="137">
      <c r="A137" s="87"/>
      <c r="B137" s="87"/>
      <c r="C137" s="87"/>
      <c r="D137" s="87"/>
      <c r="E137" s="87"/>
      <c r="F137" s="87"/>
      <c r="G137" s="87"/>
      <c r="H137" s="88" t="str">
        <f t="shared" si="1"/>
        <v/>
      </c>
      <c r="I137" s="87"/>
      <c r="J137" s="89" t="str">
        <f t="shared" si="2"/>
        <v/>
      </c>
      <c r="K137" s="90"/>
      <c r="L137" s="89" t="str">
        <f t="shared" si="3"/>
        <v/>
      </c>
      <c r="M137" s="89"/>
      <c r="N137" s="93">
        <f t="shared" si="5"/>
        <v>0</v>
      </c>
      <c r="O137" s="94">
        <f t="shared" si="6"/>
        <v>0</v>
      </c>
      <c r="P137" s="87"/>
      <c r="Q137" s="87"/>
      <c r="R137" s="89" t="str">
        <f t="shared" si="7"/>
        <v/>
      </c>
      <c r="S137" s="90"/>
      <c r="T137" s="89" t="str">
        <f t="shared" si="8"/>
        <v/>
      </c>
      <c r="U137" s="95"/>
      <c r="V137" s="87"/>
      <c r="W137" s="87"/>
      <c r="X137" s="89" t="str">
        <f t="shared" si="9"/>
        <v/>
      </c>
      <c r="Y137" s="90"/>
      <c r="Z137" s="89" t="str">
        <f t="shared" si="10"/>
        <v/>
      </c>
      <c r="AA137" s="95"/>
      <c r="AB137" s="88" t="str">
        <f t="shared" si="27"/>
        <v/>
      </c>
      <c r="AC137" s="87"/>
      <c r="AD137" s="89" t="str">
        <f t="shared" si="11"/>
        <v/>
      </c>
      <c r="AE137" s="90"/>
      <c r="AF137" s="89" t="str">
        <f t="shared" si="12"/>
        <v/>
      </c>
      <c r="AG137" s="96"/>
      <c r="AH137" s="88" t="str">
        <f t="shared" si="13"/>
        <v/>
      </c>
      <c r="AI137" s="87"/>
      <c r="AJ137" s="89" t="str">
        <f t="shared" si="14"/>
        <v/>
      </c>
      <c r="AK137" s="90"/>
      <c r="AL137" s="89" t="str">
        <f t="shared" si="15"/>
        <v/>
      </c>
      <c r="AM137" s="89"/>
      <c r="AN137" s="93">
        <f t="shared" si="17"/>
        <v>0</v>
      </c>
      <c r="AO137" s="94">
        <f t="shared" si="18"/>
        <v>0</v>
      </c>
      <c r="AP137" s="87"/>
      <c r="AQ137" s="87"/>
      <c r="AR137" s="89" t="str">
        <f t="shared" si="19"/>
        <v/>
      </c>
      <c r="AS137" s="90"/>
      <c r="AT137" s="89" t="str">
        <f t="shared" si="20"/>
        <v/>
      </c>
      <c r="AU137" s="95"/>
      <c r="AV137" s="87"/>
      <c r="AW137" s="87"/>
      <c r="AX137" s="89" t="str">
        <f t="shared" si="21"/>
        <v/>
      </c>
      <c r="AY137" s="90"/>
      <c r="AZ137" s="89" t="str">
        <f t="shared" si="22"/>
        <v/>
      </c>
      <c r="BA137" s="95"/>
      <c r="BB137" s="88" t="str">
        <f t="shared" si="28"/>
        <v/>
      </c>
      <c r="BC137" s="87"/>
      <c r="BD137" s="89" t="str">
        <f t="shared" si="23"/>
        <v/>
      </c>
      <c r="BE137" s="90"/>
      <c r="BF137" s="89" t="str">
        <f t="shared" si="24"/>
        <v/>
      </c>
      <c r="BG137" s="96"/>
    </row>
    <row r="138">
      <c r="A138" s="87"/>
      <c r="B138" s="87"/>
      <c r="C138" s="87"/>
      <c r="D138" s="87"/>
      <c r="E138" s="87"/>
      <c r="F138" s="87"/>
      <c r="G138" s="87"/>
      <c r="H138" s="88" t="str">
        <f t="shared" si="1"/>
        <v/>
      </c>
      <c r="I138" s="87"/>
      <c r="J138" s="89" t="str">
        <f t="shared" si="2"/>
        <v/>
      </c>
      <c r="K138" s="90"/>
      <c r="L138" s="89" t="str">
        <f t="shared" si="3"/>
        <v/>
      </c>
      <c r="M138" s="89"/>
      <c r="N138" s="93">
        <f t="shared" si="5"/>
        <v>0</v>
      </c>
      <c r="O138" s="94">
        <f t="shared" si="6"/>
        <v>0</v>
      </c>
      <c r="P138" s="87"/>
      <c r="Q138" s="87"/>
      <c r="R138" s="89" t="str">
        <f t="shared" si="7"/>
        <v/>
      </c>
      <c r="S138" s="90"/>
      <c r="T138" s="89" t="str">
        <f t="shared" si="8"/>
        <v/>
      </c>
      <c r="U138" s="95"/>
      <c r="V138" s="87"/>
      <c r="W138" s="87"/>
      <c r="X138" s="89" t="str">
        <f t="shared" si="9"/>
        <v/>
      </c>
      <c r="Y138" s="90"/>
      <c r="Z138" s="89" t="str">
        <f t="shared" si="10"/>
        <v/>
      </c>
      <c r="AA138" s="95"/>
      <c r="AB138" s="88" t="str">
        <f t="shared" si="27"/>
        <v/>
      </c>
      <c r="AC138" s="87"/>
      <c r="AD138" s="89" t="str">
        <f t="shared" si="11"/>
        <v/>
      </c>
      <c r="AE138" s="90"/>
      <c r="AF138" s="89" t="str">
        <f t="shared" si="12"/>
        <v/>
      </c>
      <c r="AG138" s="96"/>
      <c r="AH138" s="88" t="str">
        <f t="shared" si="13"/>
        <v/>
      </c>
      <c r="AI138" s="87"/>
      <c r="AJ138" s="89" t="str">
        <f t="shared" si="14"/>
        <v/>
      </c>
      <c r="AK138" s="90"/>
      <c r="AL138" s="89" t="str">
        <f t="shared" si="15"/>
        <v/>
      </c>
      <c r="AM138" s="89"/>
      <c r="AN138" s="93">
        <f t="shared" si="17"/>
        <v>0</v>
      </c>
      <c r="AO138" s="94">
        <f t="shared" si="18"/>
        <v>0</v>
      </c>
      <c r="AP138" s="87"/>
      <c r="AQ138" s="87"/>
      <c r="AR138" s="89" t="str">
        <f t="shared" si="19"/>
        <v/>
      </c>
      <c r="AS138" s="90"/>
      <c r="AT138" s="89" t="str">
        <f t="shared" si="20"/>
        <v/>
      </c>
      <c r="AU138" s="95"/>
      <c r="AV138" s="87"/>
      <c r="AW138" s="87"/>
      <c r="AX138" s="89" t="str">
        <f t="shared" si="21"/>
        <v/>
      </c>
      <c r="AY138" s="90"/>
      <c r="AZ138" s="89" t="str">
        <f t="shared" si="22"/>
        <v/>
      </c>
      <c r="BA138" s="95"/>
      <c r="BB138" s="88" t="str">
        <f t="shared" si="28"/>
        <v/>
      </c>
      <c r="BC138" s="87"/>
      <c r="BD138" s="89" t="str">
        <f t="shared" si="23"/>
        <v/>
      </c>
      <c r="BE138" s="90"/>
      <c r="BF138" s="89" t="str">
        <f t="shared" si="24"/>
        <v/>
      </c>
      <c r="BG138" s="96"/>
    </row>
    <row r="139">
      <c r="A139" s="87"/>
      <c r="B139" s="87"/>
      <c r="C139" s="87"/>
      <c r="D139" s="87"/>
      <c r="E139" s="87"/>
      <c r="F139" s="87"/>
      <c r="G139" s="87"/>
      <c r="H139" s="88" t="str">
        <f t="shared" si="1"/>
        <v/>
      </c>
      <c r="I139" s="87"/>
      <c r="J139" s="89" t="str">
        <f t="shared" si="2"/>
        <v/>
      </c>
      <c r="K139" s="90"/>
      <c r="L139" s="89" t="str">
        <f t="shared" si="3"/>
        <v/>
      </c>
      <c r="M139" s="89"/>
      <c r="N139" s="93">
        <f t="shared" si="5"/>
        <v>0</v>
      </c>
      <c r="O139" s="94">
        <f t="shared" si="6"/>
        <v>0</v>
      </c>
      <c r="P139" s="87"/>
      <c r="Q139" s="87"/>
      <c r="R139" s="89" t="str">
        <f t="shared" si="7"/>
        <v/>
      </c>
      <c r="S139" s="90"/>
      <c r="T139" s="89" t="str">
        <f t="shared" si="8"/>
        <v/>
      </c>
      <c r="U139" s="95"/>
      <c r="V139" s="87"/>
      <c r="W139" s="87"/>
      <c r="X139" s="89" t="str">
        <f t="shared" si="9"/>
        <v/>
      </c>
      <c r="Y139" s="90"/>
      <c r="Z139" s="89" t="str">
        <f t="shared" si="10"/>
        <v/>
      </c>
      <c r="AA139" s="95"/>
      <c r="AB139" s="88" t="str">
        <f t="shared" si="27"/>
        <v/>
      </c>
      <c r="AC139" s="87"/>
      <c r="AD139" s="89" t="str">
        <f t="shared" si="11"/>
        <v/>
      </c>
      <c r="AE139" s="90"/>
      <c r="AF139" s="89" t="str">
        <f t="shared" si="12"/>
        <v/>
      </c>
      <c r="AG139" s="96"/>
      <c r="AH139" s="88" t="str">
        <f t="shared" si="13"/>
        <v/>
      </c>
      <c r="AI139" s="87"/>
      <c r="AJ139" s="89" t="str">
        <f t="shared" si="14"/>
        <v/>
      </c>
      <c r="AK139" s="90"/>
      <c r="AL139" s="89" t="str">
        <f t="shared" si="15"/>
        <v/>
      </c>
      <c r="AM139" s="89"/>
      <c r="AN139" s="93">
        <f t="shared" si="17"/>
        <v>0</v>
      </c>
      <c r="AO139" s="94">
        <f t="shared" si="18"/>
        <v>0</v>
      </c>
      <c r="AP139" s="87"/>
      <c r="AQ139" s="87"/>
      <c r="AR139" s="89" t="str">
        <f t="shared" si="19"/>
        <v/>
      </c>
      <c r="AS139" s="90"/>
      <c r="AT139" s="89" t="str">
        <f t="shared" si="20"/>
        <v/>
      </c>
      <c r="AU139" s="95"/>
      <c r="AV139" s="87"/>
      <c r="AW139" s="87"/>
      <c r="AX139" s="89" t="str">
        <f t="shared" si="21"/>
        <v/>
      </c>
      <c r="AY139" s="90"/>
      <c r="AZ139" s="89" t="str">
        <f t="shared" si="22"/>
        <v/>
      </c>
      <c r="BA139" s="95"/>
      <c r="BB139" s="88" t="str">
        <f t="shared" si="28"/>
        <v/>
      </c>
      <c r="BC139" s="87"/>
      <c r="BD139" s="89" t="str">
        <f t="shared" si="23"/>
        <v/>
      </c>
      <c r="BE139" s="90"/>
      <c r="BF139" s="89" t="str">
        <f t="shared" si="24"/>
        <v/>
      </c>
      <c r="BG139" s="96"/>
    </row>
    <row r="140">
      <c r="A140" s="87"/>
      <c r="B140" s="87"/>
      <c r="C140" s="87"/>
      <c r="D140" s="87"/>
      <c r="E140" s="87"/>
      <c r="F140" s="87"/>
      <c r="G140" s="87"/>
      <c r="H140" s="88" t="str">
        <f t="shared" si="1"/>
        <v/>
      </c>
      <c r="I140" s="87"/>
      <c r="J140" s="89" t="str">
        <f t="shared" si="2"/>
        <v/>
      </c>
      <c r="K140" s="90"/>
      <c r="L140" s="89" t="str">
        <f t="shared" si="3"/>
        <v/>
      </c>
      <c r="M140" s="89"/>
      <c r="N140" s="93">
        <f t="shared" si="5"/>
        <v>0</v>
      </c>
      <c r="O140" s="94">
        <f t="shared" si="6"/>
        <v>0</v>
      </c>
      <c r="P140" s="87"/>
      <c r="Q140" s="87"/>
      <c r="R140" s="89" t="str">
        <f t="shared" si="7"/>
        <v/>
      </c>
      <c r="S140" s="90"/>
      <c r="T140" s="89" t="str">
        <f t="shared" si="8"/>
        <v/>
      </c>
      <c r="U140" s="95"/>
      <c r="V140" s="87"/>
      <c r="W140" s="87"/>
      <c r="X140" s="89" t="str">
        <f t="shared" si="9"/>
        <v/>
      </c>
      <c r="Y140" s="90"/>
      <c r="Z140" s="89" t="str">
        <f t="shared" si="10"/>
        <v/>
      </c>
      <c r="AA140" s="95"/>
      <c r="AB140" s="88" t="str">
        <f t="shared" si="27"/>
        <v/>
      </c>
      <c r="AC140" s="87"/>
      <c r="AD140" s="89" t="str">
        <f t="shared" si="11"/>
        <v/>
      </c>
      <c r="AE140" s="90"/>
      <c r="AF140" s="89" t="str">
        <f t="shared" si="12"/>
        <v/>
      </c>
      <c r="AG140" s="96"/>
      <c r="AH140" s="88" t="str">
        <f t="shared" si="13"/>
        <v/>
      </c>
      <c r="AI140" s="87"/>
      <c r="AJ140" s="89" t="str">
        <f t="shared" si="14"/>
        <v/>
      </c>
      <c r="AK140" s="90"/>
      <c r="AL140" s="89" t="str">
        <f t="shared" si="15"/>
        <v/>
      </c>
      <c r="AM140" s="89"/>
      <c r="AN140" s="93">
        <f t="shared" si="17"/>
        <v>0</v>
      </c>
      <c r="AO140" s="94">
        <f t="shared" si="18"/>
        <v>0</v>
      </c>
      <c r="AP140" s="87"/>
      <c r="AQ140" s="87"/>
      <c r="AR140" s="89" t="str">
        <f t="shared" si="19"/>
        <v/>
      </c>
      <c r="AS140" s="90"/>
      <c r="AT140" s="89" t="str">
        <f t="shared" si="20"/>
        <v/>
      </c>
      <c r="AU140" s="95"/>
      <c r="AV140" s="87"/>
      <c r="AW140" s="87"/>
      <c r="AX140" s="89" t="str">
        <f t="shared" si="21"/>
        <v/>
      </c>
      <c r="AY140" s="90"/>
      <c r="AZ140" s="89" t="str">
        <f t="shared" si="22"/>
        <v/>
      </c>
      <c r="BA140" s="95"/>
      <c r="BB140" s="88" t="str">
        <f t="shared" si="28"/>
        <v/>
      </c>
      <c r="BC140" s="87"/>
      <c r="BD140" s="89" t="str">
        <f t="shared" si="23"/>
        <v/>
      </c>
      <c r="BE140" s="90"/>
      <c r="BF140" s="89" t="str">
        <f t="shared" si="24"/>
        <v/>
      </c>
      <c r="BG140" s="96"/>
    </row>
    <row r="141">
      <c r="A141" s="87"/>
      <c r="B141" s="87"/>
      <c r="C141" s="87"/>
      <c r="D141" s="87"/>
      <c r="E141" s="87"/>
      <c r="F141" s="87"/>
      <c r="G141" s="87"/>
      <c r="H141" s="88" t="str">
        <f t="shared" si="1"/>
        <v/>
      </c>
      <c r="I141" s="87"/>
      <c r="J141" s="89" t="str">
        <f t="shared" si="2"/>
        <v/>
      </c>
      <c r="K141" s="90"/>
      <c r="L141" s="89" t="str">
        <f t="shared" si="3"/>
        <v/>
      </c>
      <c r="M141" s="89"/>
      <c r="N141" s="93">
        <f t="shared" si="5"/>
        <v>0</v>
      </c>
      <c r="O141" s="94">
        <f t="shared" si="6"/>
        <v>0</v>
      </c>
      <c r="P141" s="87"/>
      <c r="Q141" s="87"/>
      <c r="R141" s="89" t="str">
        <f t="shared" si="7"/>
        <v/>
      </c>
      <c r="S141" s="90"/>
      <c r="T141" s="89" t="str">
        <f t="shared" si="8"/>
        <v/>
      </c>
      <c r="U141" s="95"/>
      <c r="V141" s="87"/>
      <c r="W141" s="87"/>
      <c r="X141" s="89" t="str">
        <f t="shared" si="9"/>
        <v/>
      </c>
      <c r="Y141" s="90"/>
      <c r="Z141" s="89" t="str">
        <f t="shared" si="10"/>
        <v/>
      </c>
      <c r="AA141" s="95"/>
      <c r="AB141" s="88" t="str">
        <f t="shared" si="27"/>
        <v/>
      </c>
      <c r="AC141" s="87"/>
      <c r="AD141" s="89" t="str">
        <f t="shared" si="11"/>
        <v/>
      </c>
      <c r="AE141" s="90"/>
      <c r="AF141" s="89" t="str">
        <f t="shared" si="12"/>
        <v/>
      </c>
      <c r="AG141" s="96"/>
      <c r="AH141" s="88" t="str">
        <f t="shared" si="13"/>
        <v/>
      </c>
      <c r="AI141" s="87"/>
      <c r="AJ141" s="89" t="str">
        <f t="shared" si="14"/>
        <v/>
      </c>
      <c r="AK141" s="90"/>
      <c r="AL141" s="89" t="str">
        <f t="shared" si="15"/>
        <v/>
      </c>
      <c r="AM141" s="89"/>
      <c r="AN141" s="93">
        <f t="shared" si="17"/>
        <v>0</v>
      </c>
      <c r="AO141" s="94">
        <f t="shared" si="18"/>
        <v>0</v>
      </c>
      <c r="AP141" s="87"/>
      <c r="AQ141" s="87"/>
      <c r="AR141" s="89" t="str">
        <f t="shared" si="19"/>
        <v/>
      </c>
      <c r="AS141" s="90"/>
      <c r="AT141" s="89" t="str">
        <f t="shared" si="20"/>
        <v/>
      </c>
      <c r="AU141" s="95"/>
      <c r="AV141" s="87"/>
      <c r="AW141" s="87"/>
      <c r="AX141" s="89" t="str">
        <f t="shared" si="21"/>
        <v/>
      </c>
      <c r="AY141" s="90"/>
      <c r="AZ141" s="89" t="str">
        <f t="shared" si="22"/>
        <v/>
      </c>
      <c r="BA141" s="95"/>
      <c r="BB141" s="88" t="str">
        <f t="shared" si="28"/>
        <v/>
      </c>
      <c r="BC141" s="87"/>
      <c r="BD141" s="89" t="str">
        <f t="shared" si="23"/>
        <v/>
      </c>
      <c r="BE141" s="90"/>
      <c r="BF141" s="89" t="str">
        <f t="shared" si="24"/>
        <v/>
      </c>
      <c r="BG141" s="96"/>
    </row>
    <row r="142">
      <c r="A142" s="87"/>
      <c r="B142" s="87"/>
      <c r="C142" s="87"/>
      <c r="D142" s="87"/>
      <c r="E142" s="87"/>
      <c r="F142" s="87"/>
      <c r="G142" s="87"/>
      <c r="H142" s="88" t="str">
        <f t="shared" si="1"/>
        <v/>
      </c>
      <c r="I142" s="87"/>
      <c r="J142" s="89" t="str">
        <f t="shared" si="2"/>
        <v/>
      </c>
      <c r="K142" s="90"/>
      <c r="L142" s="89" t="str">
        <f t="shared" si="3"/>
        <v/>
      </c>
      <c r="M142" s="89"/>
      <c r="N142" s="93">
        <f t="shared" si="5"/>
        <v>0</v>
      </c>
      <c r="O142" s="94">
        <f t="shared" si="6"/>
        <v>0</v>
      </c>
      <c r="P142" s="87"/>
      <c r="Q142" s="87"/>
      <c r="R142" s="89" t="str">
        <f t="shared" si="7"/>
        <v/>
      </c>
      <c r="S142" s="90"/>
      <c r="T142" s="89" t="str">
        <f t="shared" si="8"/>
        <v/>
      </c>
      <c r="U142" s="95"/>
      <c r="V142" s="87"/>
      <c r="W142" s="87"/>
      <c r="X142" s="89" t="str">
        <f t="shared" si="9"/>
        <v/>
      </c>
      <c r="Y142" s="90"/>
      <c r="Z142" s="89" t="str">
        <f t="shared" si="10"/>
        <v/>
      </c>
      <c r="AA142" s="95"/>
      <c r="AB142" s="88" t="str">
        <f t="shared" si="27"/>
        <v/>
      </c>
      <c r="AC142" s="87"/>
      <c r="AD142" s="89" t="str">
        <f t="shared" si="11"/>
        <v/>
      </c>
      <c r="AE142" s="90"/>
      <c r="AF142" s="89" t="str">
        <f t="shared" si="12"/>
        <v/>
      </c>
      <c r="AG142" s="96"/>
      <c r="AH142" s="88" t="str">
        <f t="shared" si="13"/>
        <v/>
      </c>
      <c r="AI142" s="87"/>
      <c r="AJ142" s="89" t="str">
        <f t="shared" si="14"/>
        <v/>
      </c>
      <c r="AK142" s="90"/>
      <c r="AL142" s="89" t="str">
        <f t="shared" si="15"/>
        <v/>
      </c>
      <c r="AM142" s="89"/>
      <c r="AN142" s="93">
        <f t="shared" si="17"/>
        <v>0</v>
      </c>
      <c r="AO142" s="94">
        <f t="shared" si="18"/>
        <v>0</v>
      </c>
      <c r="AP142" s="87"/>
      <c r="AQ142" s="87"/>
      <c r="AR142" s="89" t="str">
        <f t="shared" si="19"/>
        <v/>
      </c>
      <c r="AS142" s="90"/>
      <c r="AT142" s="89" t="str">
        <f t="shared" si="20"/>
        <v/>
      </c>
      <c r="AU142" s="95"/>
      <c r="AV142" s="87"/>
      <c r="AW142" s="87"/>
      <c r="AX142" s="89" t="str">
        <f t="shared" si="21"/>
        <v/>
      </c>
      <c r="AY142" s="90"/>
      <c r="AZ142" s="89" t="str">
        <f t="shared" si="22"/>
        <v/>
      </c>
      <c r="BA142" s="95"/>
      <c r="BB142" s="88" t="str">
        <f t="shared" si="28"/>
        <v/>
      </c>
      <c r="BC142" s="87"/>
      <c r="BD142" s="89" t="str">
        <f t="shared" si="23"/>
        <v/>
      </c>
      <c r="BE142" s="90"/>
      <c r="BF142" s="89" t="str">
        <f t="shared" si="24"/>
        <v/>
      </c>
      <c r="BG142" s="96"/>
    </row>
    <row r="143">
      <c r="A143" s="87"/>
      <c r="B143" s="87"/>
      <c r="C143" s="87"/>
      <c r="D143" s="87"/>
      <c r="E143" s="87"/>
      <c r="F143" s="87"/>
      <c r="G143" s="87"/>
      <c r="H143" s="88" t="str">
        <f t="shared" si="1"/>
        <v/>
      </c>
      <c r="I143" s="87"/>
      <c r="J143" s="89" t="str">
        <f t="shared" si="2"/>
        <v/>
      </c>
      <c r="K143" s="90"/>
      <c r="L143" s="89" t="str">
        <f t="shared" si="3"/>
        <v/>
      </c>
      <c r="M143" s="89"/>
      <c r="N143" s="93">
        <f t="shared" si="5"/>
        <v>0</v>
      </c>
      <c r="O143" s="94">
        <f t="shared" si="6"/>
        <v>0</v>
      </c>
      <c r="P143" s="87"/>
      <c r="Q143" s="87"/>
      <c r="R143" s="89" t="str">
        <f t="shared" si="7"/>
        <v/>
      </c>
      <c r="S143" s="90"/>
      <c r="T143" s="89" t="str">
        <f t="shared" si="8"/>
        <v/>
      </c>
      <c r="U143" s="95"/>
      <c r="V143" s="87"/>
      <c r="W143" s="87"/>
      <c r="X143" s="89" t="str">
        <f t="shared" si="9"/>
        <v/>
      </c>
      <c r="Y143" s="90"/>
      <c r="Z143" s="89" t="str">
        <f t="shared" si="10"/>
        <v/>
      </c>
      <c r="AA143" s="95"/>
      <c r="AB143" s="88" t="str">
        <f t="shared" si="27"/>
        <v/>
      </c>
      <c r="AC143" s="87"/>
      <c r="AD143" s="89" t="str">
        <f t="shared" si="11"/>
        <v/>
      </c>
      <c r="AE143" s="90"/>
      <c r="AF143" s="89" t="str">
        <f t="shared" si="12"/>
        <v/>
      </c>
      <c r="AG143" s="96"/>
      <c r="AH143" s="88" t="str">
        <f t="shared" si="13"/>
        <v/>
      </c>
      <c r="AI143" s="87"/>
      <c r="AJ143" s="89" t="str">
        <f t="shared" si="14"/>
        <v/>
      </c>
      <c r="AK143" s="90"/>
      <c r="AL143" s="89" t="str">
        <f t="shared" si="15"/>
        <v/>
      </c>
      <c r="AM143" s="89"/>
      <c r="AN143" s="93">
        <f t="shared" si="17"/>
        <v>0</v>
      </c>
      <c r="AO143" s="94">
        <f t="shared" si="18"/>
        <v>0</v>
      </c>
      <c r="AP143" s="87"/>
      <c r="AQ143" s="87"/>
      <c r="AR143" s="89" t="str">
        <f t="shared" si="19"/>
        <v/>
      </c>
      <c r="AS143" s="90"/>
      <c r="AT143" s="89" t="str">
        <f t="shared" si="20"/>
        <v/>
      </c>
      <c r="AU143" s="95"/>
      <c r="AV143" s="87"/>
      <c r="AW143" s="87"/>
      <c r="AX143" s="89" t="str">
        <f t="shared" si="21"/>
        <v/>
      </c>
      <c r="AY143" s="90"/>
      <c r="AZ143" s="89" t="str">
        <f t="shared" si="22"/>
        <v/>
      </c>
      <c r="BA143" s="95"/>
      <c r="BB143" s="88" t="str">
        <f t="shared" si="28"/>
        <v/>
      </c>
      <c r="BC143" s="87"/>
      <c r="BD143" s="89" t="str">
        <f t="shared" si="23"/>
        <v/>
      </c>
      <c r="BE143" s="90"/>
      <c r="BF143" s="89" t="str">
        <f t="shared" si="24"/>
        <v/>
      </c>
      <c r="BG143" s="96"/>
    </row>
    <row r="144">
      <c r="A144" s="87"/>
      <c r="B144" s="87"/>
      <c r="C144" s="87"/>
      <c r="D144" s="87"/>
      <c r="E144" s="87"/>
      <c r="F144" s="87"/>
      <c r="G144" s="87"/>
      <c r="H144" s="88" t="str">
        <f t="shared" si="1"/>
        <v/>
      </c>
      <c r="I144" s="87"/>
      <c r="J144" s="89" t="str">
        <f t="shared" si="2"/>
        <v/>
      </c>
      <c r="K144" s="90"/>
      <c r="L144" s="89" t="str">
        <f t="shared" si="3"/>
        <v/>
      </c>
      <c r="M144" s="89"/>
      <c r="N144" s="93">
        <f t="shared" si="5"/>
        <v>0</v>
      </c>
      <c r="O144" s="94">
        <f t="shared" si="6"/>
        <v>0</v>
      </c>
      <c r="P144" s="87"/>
      <c r="Q144" s="87"/>
      <c r="R144" s="89" t="str">
        <f t="shared" si="7"/>
        <v/>
      </c>
      <c r="S144" s="90"/>
      <c r="T144" s="89" t="str">
        <f t="shared" si="8"/>
        <v/>
      </c>
      <c r="U144" s="95"/>
      <c r="V144" s="87"/>
      <c r="W144" s="87"/>
      <c r="X144" s="89" t="str">
        <f t="shared" si="9"/>
        <v/>
      </c>
      <c r="Y144" s="90"/>
      <c r="Z144" s="89" t="str">
        <f t="shared" si="10"/>
        <v/>
      </c>
      <c r="AA144" s="95"/>
      <c r="AB144" s="88" t="str">
        <f t="shared" si="27"/>
        <v/>
      </c>
      <c r="AC144" s="87"/>
      <c r="AD144" s="89" t="str">
        <f t="shared" si="11"/>
        <v/>
      </c>
      <c r="AE144" s="90"/>
      <c r="AF144" s="89" t="str">
        <f t="shared" si="12"/>
        <v/>
      </c>
      <c r="AG144" s="96"/>
      <c r="AH144" s="88" t="str">
        <f t="shared" si="13"/>
        <v/>
      </c>
      <c r="AI144" s="87"/>
      <c r="AJ144" s="89" t="str">
        <f t="shared" si="14"/>
        <v/>
      </c>
      <c r="AK144" s="90"/>
      <c r="AL144" s="89" t="str">
        <f t="shared" si="15"/>
        <v/>
      </c>
      <c r="AM144" s="89"/>
      <c r="AN144" s="93">
        <f t="shared" si="17"/>
        <v>0</v>
      </c>
      <c r="AO144" s="94">
        <f t="shared" si="18"/>
        <v>0</v>
      </c>
      <c r="AP144" s="87"/>
      <c r="AQ144" s="87"/>
      <c r="AR144" s="89" t="str">
        <f t="shared" si="19"/>
        <v/>
      </c>
      <c r="AS144" s="90"/>
      <c r="AT144" s="89" t="str">
        <f t="shared" si="20"/>
        <v/>
      </c>
      <c r="AU144" s="95"/>
      <c r="AV144" s="87"/>
      <c r="AW144" s="87"/>
      <c r="AX144" s="89" t="str">
        <f t="shared" si="21"/>
        <v/>
      </c>
      <c r="AY144" s="90"/>
      <c r="AZ144" s="89" t="str">
        <f t="shared" si="22"/>
        <v/>
      </c>
      <c r="BA144" s="95"/>
      <c r="BB144" s="88" t="str">
        <f t="shared" si="28"/>
        <v/>
      </c>
      <c r="BC144" s="87"/>
      <c r="BD144" s="89" t="str">
        <f t="shared" si="23"/>
        <v/>
      </c>
      <c r="BE144" s="90"/>
      <c r="BF144" s="89" t="str">
        <f t="shared" si="24"/>
        <v/>
      </c>
      <c r="BG144" s="96"/>
    </row>
    <row r="145">
      <c r="A145" s="87"/>
      <c r="B145" s="87"/>
      <c r="C145" s="87"/>
      <c r="D145" s="87"/>
      <c r="E145" s="87"/>
      <c r="F145" s="87"/>
      <c r="G145" s="87"/>
      <c r="H145" s="88" t="str">
        <f t="shared" si="1"/>
        <v/>
      </c>
      <c r="I145" s="87"/>
      <c r="J145" s="89" t="str">
        <f t="shared" si="2"/>
        <v/>
      </c>
      <c r="K145" s="90"/>
      <c r="L145" s="89" t="str">
        <f t="shared" si="3"/>
        <v/>
      </c>
      <c r="M145" s="89"/>
      <c r="N145" s="93">
        <f t="shared" si="5"/>
        <v>0</v>
      </c>
      <c r="O145" s="94">
        <f t="shared" si="6"/>
        <v>0</v>
      </c>
      <c r="P145" s="87"/>
      <c r="Q145" s="87"/>
      <c r="R145" s="89" t="str">
        <f t="shared" si="7"/>
        <v/>
      </c>
      <c r="S145" s="90"/>
      <c r="T145" s="89" t="str">
        <f t="shared" si="8"/>
        <v/>
      </c>
      <c r="U145" s="95"/>
      <c r="V145" s="87"/>
      <c r="W145" s="87"/>
      <c r="X145" s="89" t="str">
        <f t="shared" si="9"/>
        <v/>
      </c>
      <c r="Y145" s="90"/>
      <c r="Z145" s="89" t="str">
        <f t="shared" si="10"/>
        <v/>
      </c>
      <c r="AA145" s="95"/>
      <c r="AB145" s="88" t="str">
        <f t="shared" si="27"/>
        <v/>
      </c>
      <c r="AC145" s="87"/>
      <c r="AD145" s="89" t="str">
        <f t="shared" si="11"/>
        <v/>
      </c>
      <c r="AE145" s="90"/>
      <c r="AF145" s="89" t="str">
        <f t="shared" si="12"/>
        <v/>
      </c>
      <c r="AG145" s="96"/>
      <c r="AH145" s="88" t="str">
        <f t="shared" si="13"/>
        <v/>
      </c>
      <c r="AI145" s="87"/>
      <c r="AJ145" s="89" t="str">
        <f t="shared" si="14"/>
        <v/>
      </c>
      <c r="AK145" s="90"/>
      <c r="AL145" s="89" t="str">
        <f t="shared" si="15"/>
        <v/>
      </c>
      <c r="AM145" s="89"/>
      <c r="AN145" s="93">
        <f t="shared" si="17"/>
        <v>0</v>
      </c>
      <c r="AO145" s="94">
        <f t="shared" si="18"/>
        <v>0</v>
      </c>
      <c r="AP145" s="87"/>
      <c r="AQ145" s="87"/>
      <c r="AR145" s="89" t="str">
        <f t="shared" si="19"/>
        <v/>
      </c>
      <c r="AS145" s="90"/>
      <c r="AT145" s="89" t="str">
        <f t="shared" si="20"/>
        <v/>
      </c>
      <c r="AU145" s="95"/>
      <c r="AV145" s="87"/>
      <c r="AW145" s="87"/>
      <c r="AX145" s="89" t="str">
        <f t="shared" si="21"/>
        <v/>
      </c>
      <c r="AY145" s="90"/>
      <c r="AZ145" s="89" t="str">
        <f t="shared" si="22"/>
        <v/>
      </c>
      <c r="BA145" s="95"/>
      <c r="BB145" s="88" t="str">
        <f t="shared" si="28"/>
        <v/>
      </c>
      <c r="BC145" s="87"/>
      <c r="BD145" s="89" t="str">
        <f t="shared" si="23"/>
        <v/>
      </c>
      <c r="BE145" s="90"/>
      <c r="BF145" s="89" t="str">
        <f t="shared" si="24"/>
        <v/>
      </c>
      <c r="BG145" s="96"/>
    </row>
    <row r="146">
      <c r="A146" s="87"/>
      <c r="B146" s="87"/>
      <c r="C146" s="87"/>
      <c r="D146" s="87"/>
      <c r="E146" s="87"/>
      <c r="F146" s="87"/>
      <c r="G146" s="87"/>
      <c r="H146" s="88" t="str">
        <f t="shared" si="1"/>
        <v/>
      </c>
      <c r="I146" s="87"/>
      <c r="J146" s="89" t="str">
        <f t="shared" si="2"/>
        <v/>
      </c>
      <c r="K146" s="90"/>
      <c r="L146" s="89" t="str">
        <f t="shared" si="3"/>
        <v/>
      </c>
      <c r="M146" s="89"/>
      <c r="N146" s="93">
        <f t="shared" si="5"/>
        <v>0</v>
      </c>
      <c r="O146" s="94">
        <f t="shared" si="6"/>
        <v>0</v>
      </c>
      <c r="P146" s="87"/>
      <c r="Q146" s="87"/>
      <c r="R146" s="89" t="str">
        <f t="shared" si="7"/>
        <v/>
      </c>
      <c r="S146" s="90"/>
      <c r="T146" s="89" t="str">
        <f t="shared" si="8"/>
        <v/>
      </c>
      <c r="U146" s="95"/>
      <c r="V146" s="87"/>
      <c r="W146" s="87"/>
      <c r="X146" s="89" t="str">
        <f t="shared" si="9"/>
        <v/>
      </c>
      <c r="Y146" s="90"/>
      <c r="Z146" s="89" t="str">
        <f t="shared" si="10"/>
        <v/>
      </c>
      <c r="AA146" s="95"/>
      <c r="AB146" s="88" t="str">
        <f t="shared" si="27"/>
        <v/>
      </c>
      <c r="AC146" s="87"/>
      <c r="AD146" s="89" t="str">
        <f t="shared" si="11"/>
        <v/>
      </c>
      <c r="AE146" s="90"/>
      <c r="AF146" s="89" t="str">
        <f t="shared" si="12"/>
        <v/>
      </c>
      <c r="AG146" s="96"/>
      <c r="AH146" s="88" t="str">
        <f t="shared" si="13"/>
        <v/>
      </c>
      <c r="AI146" s="87"/>
      <c r="AJ146" s="89" t="str">
        <f t="shared" si="14"/>
        <v/>
      </c>
      <c r="AK146" s="90"/>
      <c r="AL146" s="89" t="str">
        <f t="shared" si="15"/>
        <v/>
      </c>
      <c r="AM146" s="89"/>
      <c r="AN146" s="93">
        <f t="shared" si="17"/>
        <v>0</v>
      </c>
      <c r="AO146" s="94">
        <f t="shared" si="18"/>
        <v>0</v>
      </c>
      <c r="AP146" s="87"/>
      <c r="AQ146" s="87"/>
      <c r="AR146" s="89" t="str">
        <f t="shared" si="19"/>
        <v/>
      </c>
      <c r="AS146" s="90"/>
      <c r="AT146" s="89" t="str">
        <f t="shared" si="20"/>
        <v/>
      </c>
      <c r="AU146" s="95"/>
      <c r="AV146" s="87"/>
      <c r="AW146" s="87"/>
      <c r="AX146" s="89" t="str">
        <f t="shared" si="21"/>
        <v/>
      </c>
      <c r="AY146" s="90"/>
      <c r="AZ146" s="89" t="str">
        <f t="shared" si="22"/>
        <v/>
      </c>
      <c r="BA146" s="95"/>
      <c r="BB146" s="88" t="str">
        <f t="shared" si="28"/>
        <v/>
      </c>
      <c r="BC146" s="87"/>
      <c r="BD146" s="89" t="str">
        <f t="shared" si="23"/>
        <v/>
      </c>
      <c r="BE146" s="90"/>
      <c r="BF146" s="89" t="str">
        <f t="shared" si="24"/>
        <v/>
      </c>
      <c r="BG146" s="96"/>
    </row>
    <row r="147">
      <c r="A147" s="87"/>
      <c r="B147" s="87"/>
      <c r="C147" s="87"/>
      <c r="D147" s="87"/>
      <c r="E147" s="87"/>
      <c r="F147" s="87"/>
      <c r="G147" s="87"/>
      <c r="H147" s="88" t="str">
        <f t="shared" si="1"/>
        <v/>
      </c>
      <c r="I147" s="87"/>
      <c r="J147" s="89" t="str">
        <f t="shared" si="2"/>
        <v/>
      </c>
      <c r="K147" s="90"/>
      <c r="L147" s="89" t="str">
        <f t="shared" si="3"/>
        <v/>
      </c>
      <c r="M147" s="89"/>
      <c r="N147" s="93">
        <f t="shared" si="5"/>
        <v>0</v>
      </c>
      <c r="O147" s="94">
        <f t="shared" si="6"/>
        <v>0</v>
      </c>
      <c r="P147" s="87"/>
      <c r="Q147" s="87"/>
      <c r="R147" s="89" t="str">
        <f t="shared" si="7"/>
        <v/>
      </c>
      <c r="S147" s="90"/>
      <c r="T147" s="89" t="str">
        <f t="shared" si="8"/>
        <v/>
      </c>
      <c r="U147" s="95"/>
      <c r="V147" s="87"/>
      <c r="W147" s="87"/>
      <c r="X147" s="89" t="str">
        <f t="shared" si="9"/>
        <v/>
      </c>
      <c r="Y147" s="90"/>
      <c r="Z147" s="89" t="str">
        <f t="shared" si="10"/>
        <v/>
      </c>
      <c r="AA147" s="95"/>
      <c r="AB147" s="88" t="str">
        <f t="shared" si="27"/>
        <v/>
      </c>
      <c r="AC147" s="87"/>
      <c r="AD147" s="89" t="str">
        <f t="shared" si="11"/>
        <v/>
      </c>
      <c r="AE147" s="90"/>
      <c r="AF147" s="89" t="str">
        <f t="shared" si="12"/>
        <v/>
      </c>
      <c r="AG147" s="96"/>
      <c r="AH147" s="88" t="str">
        <f t="shared" si="13"/>
        <v/>
      </c>
      <c r="AI147" s="87"/>
      <c r="AJ147" s="89" t="str">
        <f t="shared" si="14"/>
        <v/>
      </c>
      <c r="AK147" s="90"/>
      <c r="AL147" s="89" t="str">
        <f t="shared" si="15"/>
        <v/>
      </c>
      <c r="AM147" s="89"/>
      <c r="AN147" s="93">
        <f t="shared" si="17"/>
        <v>0</v>
      </c>
      <c r="AO147" s="94">
        <f t="shared" si="18"/>
        <v>0</v>
      </c>
      <c r="AP147" s="87"/>
      <c r="AQ147" s="87"/>
      <c r="AR147" s="89" t="str">
        <f t="shared" si="19"/>
        <v/>
      </c>
      <c r="AS147" s="90"/>
      <c r="AT147" s="89" t="str">
        <f t="shared" si="20"/>
        <v/>
      </c>
      <c r="AU147" s="95"/>
      <c r="AV147" s="87"/>
      <c r="AW147" s="87"/>
      <c r="AX147" s="89" t="str">
        <f t="shared" si="21"/>
        <v/>
      </c>
      <c r="AY147" s="90"/>
      <c r="AZ147" s="89" t="str">
        <f t="shared" si="22"/>
        <v/>
      </c>
      <c r="BA147" s="95"/>
      <c r="BB147" s="88" t="str">
        <f t="shared" si="28"/>
        <v/>
      </c>
      <c r="BC147" s="87"/>
      <c r="BD147" s="89" t="str">
        <f t="shared" si="23"/>
        <v/>
      </c>
      <c r="BE147" s="90"/>
      <c r="BF147" s="89" t="str">
        <f t="shared" si="24"/>
        <v/>
      </c>
      <c r="BG147" s="96"/>
    </row>
    <row r="148">
      <c r="A148" s="87"/>
      <c r="B148" s="87"/>
      <c r="C148" s="87"/>
      <c r="D148" s="87"/>
      <c r="E148" s="87"/>
      <c r="F148" s="87"/>
      <c r="G148" s="87"/>
      <c r="H148" s="88" t="str">
        <f t="shared" si="1"/>
        <v/>
      </c>
      <c r="I148" s="87"/>
      <c r="J148" s="89" t="str">
        <f t="shared" si="2"/>
        <v/>
      </c>
      <c r="K148" s="90"/>
      <c r="L148" s="89" t="str">
        <f t="shared" si="3"/>
        <v/>
      </c>
      <c r="M148" s="89"/>
      <c r="N148" s="93">
        <f t="shared" si="5"/>
        <v>0</v>
      </c>
      <c r="O148" s="94">
        <f t="shared" si="6"/>
        <v>0</v>
      </c>
      <c r="P148" s="87"/>
      <c r="Q148" s="87"/>
      <c r="R148" s="89" t="str">
        <f t="shared" si="7"/>
        <v/>
      </c>
      <c r="S148" s="90"/>
      <c r="T148" s="89" t="str">
        <f t="shared" si="8"/>
        <v/>
      </c>
      <c r="U148" s="95"/>
      <c r="V148" s="87"/>
      <c r="W148" s="87"/>
      <c r="X148" s="89" t="str">
        <f t="shared" si="9"/>
        <v/>
      </c>
      <c r="Y148" s="90"/>
      <c r="Z148" s="89" t="str">
        <f t="shared" si="10"/>
        <v/>
      </c>
      <c r="AA148" s="95"/>
      <c r="AB148" s="88" t="str">
        <f t="shared" si="27"/>
        <v/>
      </c>
      <c r="AC148" s="87"/>
      <c r="AD148" s="89" t="str">
        <f t="shared" si="11"/>
        <v/>
      </c>
      <c r="AE148" s="90"/>
      <c r="AF148" s="89" t="str">
        <f t="shared" si="12"/>
        <v/>
      </c>
      <c r="AG148" s="96"/>
      <c r="AH148" s="88" t="str">
        <f t="shared" si="13"/>
        <v/>
      </c>
      <c r="AI148" s="87"/>
      <c r="AJ148" s="89" t="str">
        <f t="shared" si="14"/>
        <v/>
      </c>
      <c r="AK148" s="90"/>
      <c r="AL148" s="89" t="str">
        <f t="shared" si="15"/>
        <v/>
      </c>
      <c r="AM148" s="89"/>
      <c r="AN148" s="93">
        <f t="shared" si="17"/>
        <v>0</v>
      </c>
      <c r="AO148" s="94">
        <f t="shared" si="18"/>
        <v>0</v>
      </c>
      <c r="AP148" s="87"/>
      <c r="AQ148" s="87"/>
      <c r="AR148" s="89" t="str">
        <f t="shared" si="19"/>
        <v/>
      </c>
      <c r="AS148" s="90"/>
      <c r="AT148" s="89" t="str">
        <f t="shared" si="20"/>
        <v/>
      </c>
      <c r="AU148" s="95"/>
      <c r="AV148" s="87"/>
      <c r="AW148" s="87"/>
      <c r="AX148" s="89" t="str">
        <f t="shared" si="21"/>
        <v/>
      </c>
      <c r="AY148" s="90"/>
      <c r="AZ148" s="89" t="str">
        <f t="shared" si="22"/>
        <v/>
      </c>
      <c r="BA148" s="95"/>
      <c r="BB148" s="88" t="str">
        <f t="shared" si="28"/>
        <v/>
      </c>
      <c r="BC148" s="87"/>
      <c r="BD148" s="89" t="str">
        <f t="shared" si="23"/>
        <v/>
      </c>
      <c r="BE148" s="90"/>
      <c r="BF148" s="89" t="str">
        <f t="shared" si="24"/>
        <v/>
      </c>
      <c r="BG148" s="96"/>
    </row>
    <row r="149">
      <c r="A149" s="87"/>
      <c r="B149" s="87"/>
      <c r="C149" s="87"/>
      <c r="D149" s="87"/>
      <c r="E149" s="87"/>
      <c r="F149" s="87"/>
      <c r="G149" s="87"/>
      <c r="H149" s="88" t="str">
        <f t="shared" si="1"/>
        <v/>
      </c>
      <c r="I149" s="87"/>
      <c r="J149" s="89" t="str">
        <f t="shared" si="2"/>
        <v/>
      </c>
      <c r="K149" s="90"/>
      <c r="L149" s="89" t="str">
        <f t="shared" si="3"/>
        <v/>
      </c>
      <c r="M149" s="89"/>
      <c r="N149" s="93">
        <f t="shared" si="5"/>
        <v>0</v>
      </c>
      <c r="O149" s="94">
        <f t="shared" si="6"/>
        <v>0</v>
      </c>
      <c r="P149" s="87"/>
      <c r="Q149" s="87"/>
      <c r="R149" s="89" t="str">
        <f t="shared" si="7"/>
        <v/>
      </c>
      <c r="S149" s="90"/>
      <c r="T149" s="89" t="str">
        <f t="shared" si="8"/>
        <v/>
      </c>
      <c r="U149" s="95"/>
      <c r="V149" s="87"/>
      <c r="W149" s="87"/>
      <c r="X149" s="89" t="str">
        <f t="shared" si="9"/>
        <v/>
      </c>
      <c r="Y149" s="90"/>
      <c r="Z149" s="89" t="str">
        <f t="shared" si="10"/>
        <v/>
      </c>
      <c r="AA149" s="95"/>
      <c r="AB149" s="88" t="str">
        <f t="shared" si="27"/>
        <v/>
      </c>
      <c r="AC149" s="87"/>
      <c r="AD149" s="89" t="str">
        <f t="shared" si="11"/>
        <v/>
      </c>
      <c r="AE149" s="90"/>
      <c r="AF149" s="89" t="str">
        <f t="shared" si="12"/>
        <v/>
      </c>
      <c r="AG149" s="96"/>
      <c r="AH149" s="88" t="str">
        <f t="shared" si="13"/>
        <v/>
      </c>
      <c r="AI149" s="87"/>
      <c r="AJ149" s="89" t="str">
        <f t="shared" si="14"/>
        <v/>
      </c>
      <c r="AK149" s="90"/>
      <c r="AL149" s="89" t="str">
        <f t="shared" si="15"/>
        <v/>
      </c>
      <c r="AM149" s="89"/>
      <c r="AN149" s="93">
        <f t="shared" si="17"/>
        <v>0</v>
      </c>
      <c r="AO149" s="94">
        <f t="shared" si="18"/>
        <v>0</v>
      </c>
      <c r="AP149" s="87"/>
      <c r="AQ149" s="87"/>
      <c r="AR149" s="89" t="str">
        <f t="shared" si="19"/>
        <v/>
      </c>
      <c r="AS149" s="90"/>
      <c r="AT149" s="89" t="str">
        <f t="shared" si="20"/>
        <v/>
      </c>
      <c r="AU149" s="95"/>
      <c r="AV149" s="87"/>
      <c r="AW149" s="87"/>
      <c r="AX149" s="89" t="str">
        <f t="shared" si="21"/>
        <v/>
      </c>
      <c r="AY149" s="90"/>
      <c r="AZ149" s="89" t="str">
        <f t="shared" si="22"/>
        <v/>
      </c>
      <c r="BA149" s="95"/>
      <c r="BB149" s="88" t="str">
        <f t="shared" si="28"/>
        <v/>
      </c>
      <c r="BC149" s="87"/>
      <c r="BD149" s="89" t="str">
        <f t="shared" si="23"/>
        <v/>
      </c>
      <c r="BE149" s="90"/>
      <c r="BF149" s="89" t="str">
        <f t="shared" si="24"/>
        <v/>
      </c>
      <c r="BG149" s="96"/>
    </row>
    <row r="150">
      <c r="A150" s="87"/>
      <c r="B150" s="87"/>
      <c r="C150" s="87"/>
      <c r="D150" s="87"/>
      <c r="E150" s="87"/>
      <c r="F150" s="87"/>
      <c r="G150" s="87"/>
      <c r="H150" s="88" t="str">
        <f t="shared" si="1"/>
        <v/>
      </c>
      <c r="I150" s="87"/>
      <c r="J150" s="89" t="str">
        <f t="shared" si="2"/>
        <v/>
      </c>
      <c r="K150" s="90"/>
      <c r="L150" s="89" t="str">
        <f t="shared" si="3"/>
        <v/>
      </c>
      <c r="M150" s="89"/>
      <c r="N150" s="93">
        <f t="shared" si="5"/>
        <v>0</v>
      </c>
      <c r="O150" s="94">
        <f t="shared" si="6"/>
        <v>0</v>
      </c>
      <c r="P150" s="87"/>
      <c r="Q150" s="87"/>
      <c r="R150" s="89" t="str">
        <f t="shared" si="7"/>
        <v/>
      </c>
      <c r="S150" s="90"/>
      <c r="T150" s="89" t="str">
        <f t="shared" si="8"/>
        <v/>
      </c>
      <c r="U150" s="95"/>
      <c r="V150" s="87"/>
      <c r="W150" s="87"/>
      <c r="X150" s="89" t="str">
        <f t="shared" si="9"/>
        <v/>
      </c>
      <c r="Y150" s="90"/>
      <c r="Z150" s="89" t="str">
        <f t="shared" si="10"/>
        <v/>
      </c>
      <c r="AA150" s="95"/>
      <c r="AB150" s="88" t="str">
        <f t="shared" si="27"/>
        <v/>
      </c>
      <c r="AC150" s="87"/>
      <c r="AD150" s="89" t="str">
        <f t="shared" si="11"/>
        <v/>
      </c>
      <c r="AE150" s="90"/>
      <c r="AF150" s="89" t="str">
        <f t="shared" si="12"/>
        <v/>
      </c>
      <c r="AG150" s="96"/>
      <c r="AH150" s="88" t="str">
        <f t="shared" si="13"/>
        <v/>
      </c>
      <c r="AI150" s="87"/>
      <c r="AJ150" s="89" t="str">
        <f t="shared" si="14"/>
        <v/>
      </c>
      <c r="AK150" s="90"/>
      <c r="AL150" s="89" t="str">
        <f t="shared" si="15"/>
        <v/>
      </c>
      <c r="AM150" s="89"/>
      <c r="AN150" s="93">
        <f t="shared" si="17"/>
        <v>0</v>
      </c>
      <c r="AO150" s="94">
        <f t="shared" si="18"/>
        <v>0</v>
      </c>
      <c r="AP150" s="87"/>
      <c r="AQ150" s="87"/>
      <c r="AR150" s="89" t="str">
        <f t="shared" si="19"/>
        <v/>
      </c>
      <c r="AS150" s="90"/>
      <c r="AT150" s="89" t="str">
        <f t="shared" si="20"/>
        <v/>
      </c>
      <c r="AU150" s="95"/>
      <c r="AV150" s="87"/>
      <c r="AW150" s="87"/>
      <c r="AX150" s="89" t="str">
        <f t="shared" si="21"/>
        <v/>
      </c>
      <c r="AY150" s="90"/>
      <c r="AZ150" s="89" t="str">
        <f t="shared" si="22"/>
        <v/>
      </c>
      <c r="BA150" s="95"/>
      <c r="BB150" s="88" t="str">
        <f t="shared" si="28"/>
        <v/>
      </c>
      <c r="BC150" s="87"/>
      <c r="BD150" s="89" t="str">
        <f t="shared" si="23"/>
        <v/>
      </c>
      <c r="BE150" s="90"/>
      <c r="BF150" s="89" t="str">
        <f t="shared" si="24"/>
        <v/>
      </c>
      <c r="BG150" s="96"/>
    </row>
    <row r="151">
      <c r="A151" s="87"/>
      <c r="B151" s="87"/>
      <c r="C151" s="87"/>
      <c r="D151" s="87"/>
      <c r="E151" s="87"/>
      <c r="F151" s="87"/>
      <c r="G151" s="87"/>
      <c r="H151" s="88" t="str">
        <f t="shared" si="1"/>
        <v/>
      </c>
      <c r="I151" s="87"/>
      <c r="J151" s="89" t="str">
        <f t="shared" si="2"/>
        <v/>
      </c>
      <c r="K151" s="90"/>
      <c r="L151" s="89" t="str">
        <f t="shared" si="3"/>
        <v/>
      </c>
      <c r="M151" s="89"/>
      <c r="N151" s="93">
        <f t="shared" si="5"/>
        <v>0</v>
      </c>
      <c r="O151" s="94">
        <f t="shared" si="6"/>
        <v>0</v>
      </c>
      <c r="P151" s="87"/>
      <c r="Q151" s="87"/>
      <c r="R151" s="89" t="str">
        <f t="shared" si="7"/>
        <v/>
      </c>
      <c r="S151" s="90"/>
      <c r="T151" s="89" t="str">
        <f t="shared" si="8"/>
        <v/>
      </c>
      <c r="U151" s="95"/>
      <c r="V151" s="87"/>
      <c r="W151" s="87"/>
      <c r="X151" s="89" t="str">
        <f t="shared" si="9"/>
        <v/>
      </c>
      <c r="Y151" s="90"/>
      <c r="Z151" s="89" t="str">
        <f t="shared" si="10"/>
        <v/>
      </c>
      <c r="AA151" s="95"/>
      <c r="AB151" s="88" t="str">
        <f t="shared" si="27"/>
        <v/>
      </c>
      <c r="AC151" s="87"/>
      <c r="AD151" s="89" t="str">
        <f t="shared" si="11"/>
        <v/>
      </c>
      <c r="AE151" s="90"/>
      <c r="AF151" s="89" t="str">
        <f t="shared" si="12"/>
        <v/>
      </c>
      <c r="AG151" s="96"/>
      <c r="AH151" s="88" t="str">
        <f t="shared" si="13"/>
        <v/>
      </c>
      <c r="AI151" s="87"/>
      <c r="AJ151" s="89" t="str">
        <f t="shared" si="14"/>
        <v/>
      </c>
      <c r="AK151" s="90"/>
      <c r="AL151" s="89" t="str">
        <f t="shared" si="15"/>
        <v/>
      </c>
      <c r="AM151" s="89"/>
      <c r="AN151" s="93">
        <f t="shared" si="17"/>
        <v>0</v>
      </c>
      <c r="AO151" s="94">
        <f t="shared" si="18"/>
        <v>0</v>
      </c>
      <c r="AP151" s="87"/>
      <c r="AQ151" s="87"/>
      <c r="AR151" s="89" t="str">
        <f t="shared" si="19"/>
        <v/>
      </c>
      <c r="AS151" s="90"/>
      <c r="AT151" s="89" t="str">
        <f t="shared" si="20"/>
        <v/>
      </c>
      <c r="AU151" s="95"/>
      <c r="AV151" s="87"/>
      <c r="AW151" s="87"/>
      <c r="AX151" s="89" t="str">
        <f t="shared" si="21"/>
        <v/>
      </c>
      <c r="AY151" s="90"/>
      <c r="AZ151" s="89" t="str">
        <f t="shared" si="22"/>
        <v/>
      </c>
      <c r="BA151" s="95"/>
      <c r="BB151" s="88" t="str">
        <f t="shared" si="28"/>
        <v/>
      </c>
      <c r="BC151" s="87"/>
      <c r="BD151" s="89" t="str">
        <f t="shared" si="23"/>
        <v/>
      </c>
      <c r="BE151" s="90"/>
      <c r="BF151" s="89" t="str">
        <f t="shared" si="24"/>
        <v/>
      </c>
      <c r="BG151" s="96"/>
    </row>
    <row r="152">
      <c r="A152" s="87"/>
      <c r="B152" s="87"/>
      <c r="C152" s="87"/>
      <c r="D152" s="87"/>
      <c r="E152" s="87"/>
      <c r="F152" s="87"/>
      <c r="G152" s="87"/>
      <c r="H152" s="88" t="str">
        <f t="shared" si="1"/>
        <v/>
      </c>
      <c r="I152" s="87"/>
      <c r="J152" s="89" t="str">
        <f t="shared" si="2"/>
        <v/>
      </c>
      <c r="K152" s="90"/>
      <c r="L152" s="89" t="str">
        <f t="shared" si="3"/>
        <v/>
      </c>
      <c r="M152" s="89"/>
      <c r="N152" s="93">
        <f t="shared" si="5"/>
        <v>0</v>
      </c>
      <c r="O152" s="94">
        <f t="shared" si="6"/>
        <v>0</v>
      </c>
      <c r="P152" s="87"/>
      <c r="Q152" s="87"/>
      <c r="R152" s="89" t="str">
        <f t="shared" si="7"/>
        <v/>
      </c>
      <c r="S152" s="90"/>
      <c r="T152" s="89" t="str">
        <f t="shared" si="8"/>
        <v/>
      </c>
      <c r="U152" s="95"/>
      <c r="V152" s="87"/>
      <c r="W152" s="87"/>
      <c r="X152" s="89" t="str">
        <f t="shared" si="9"/>
        <v/>
      </c>
      <c r="Y152" s="90"/>
      <c r="Z152" s="89" t="str">
        <f t="shared" si="10"/>
        <v/>
      </c>
      <c r="AA152" s="95"/>
      <c r="AB152" s="88" t="str">
        <f t="shared" si="27"/>
        <v/>
      </c>
      <c r="AC152" s="87"/>
      <c r="AD152" s="89" t="str">
        <f t="shared" si="11"/>
        <v/>
      </c>
      <c r="AE152" s="90"/>
      <c r="AF152" s="89" t="str">
        <f t="shared" si="12"/>
        <v/>
      </c>
      <c r="AG152" s="96"/>
      <c r="AH152" s="88" t="str">
        <f t="shared" si="13"/>
        <v/>
      </c>
      <c r="AI152" s="87"/>
      <c r="AJ152" s="89" t="str">
        <f t="shared" si="14"/>
        <v/>
      </c>
      <c r="AK152" s="90"/>
      <c r="AL152" s="89" t="str">
        <f t="shared" si="15"/>
        <v/>
      </c>
      <c r="AM152" s="89"/>
      <c r="AN152" s="93">
        <f t="shared" si="17"/>
        <v>0</v>
      </c>
      <c r="AO152" s="94">
        <f t="shared" si="18"/>
        <v>0</v>
      </c>
      <c r="AP152" s="87"/>
      <c r="AQ152" s="87"/>
      <c r="AR152" s="89" t="str">
        <f t="shared" si="19"/>
        <v/>
      </c>
      <c r="AS152" s="90"/>
      <c r="AT152" s="89" t="str">
        <f t="shared" si="20"/>
        <v/>
      </c>
      <c r="AU152" s="95"/>
      <c r="AV152" s="87"/>
      <c r="AW152" s="87"/>
      <c r="AX152" s="89" t="str">
        <f t="shared" si="21"/>
        <v/>
      </c>
      <c r="AY152" s="90"/>
      <c r="AZ152" s="89" t="str">
        <f t="shared" si="22"/>
        <v/>
      </c>
      <c r="BA152" s="95"/>
      <c r="BB152" s="88" t="str">
        <f t="shared" si="28"/>
        <v/>
      </c>
      <c r="BC152" s="87"/>
      <c r="BD152" s="89" t="str">
        <f t="shared" si="23"/>
        <v/>
      </c>
      <c r="BE152" s="90"/>
      <c r="BF152" s="89" t="str">
        <f t="shared" si="24"/>
        <v/>
      </c>
      <c r="BG152" s="96"/>
    </row>
    <row r="153">
      <c r="A153" s="87"/>
      <c r="B153" s="87"/>
      <c r="C153" s="87"/>
      <c r="D153" s="87"/>
      <c r="E153" s="87"/>
      <c r="F153" s="87"/>
      <c r="G153" s="87"/>
      <c r="H153" s="88" t="str">
        <f t="shared" si="1"/>
        <v/>
      </c>
      <c r="I153" s="87"/>
      <c r="J153" s="89" t="str">
        <f t="shared" si="2"/>
        <v/>
      </c>
      <c r="K153" s="90"/>
      <c r="L153" s="89" t="str">
        <f t="shared" si="3"/>
        <v/>
      </c>
      <c r="M153" s="89"/>
      <c r="N153" s="93">
        <f t="shared" si="5"/>
        <v>0</v>
      </c>
      <c r="O153" s="94">
        <f t="shared" si="6"/>
        <v>0</v>
      </c>
      <c r="P153" s="87"/>
      <c r="Q153" s="87"/>
      <c r="R153" s="89" t="str">
        <f t="shared" si="7"/>
        <v/>
      </c>
      <c r="S153" s="90"/>
      <c r="T153" s="89" t="str">
        <f t="shared" si="8"/>
        <v/>
      </c>
      <c r="U153" s="95"/>
      <c r="V153" s="87"/>
      <c r="W153" s="87"/>
      <c r="X153" s="89" t="str">
        <f t="shared" si="9"/>
        <v/>
      </c>
      <c r="Y153" s="90"/>
      <c r="Z153" s="89" t="str">
        <f t="shared" si="10"/>
        <v/>
      </c>
      <c r="AA153" s="95"/>
      <c r="AB153" s="88" t="str">
        <f t="shared" si="27"/>
        <v/>
      </c>
      <c r="AC153" s="87"/>
      <c r="AD153" s="89" t="str">
        <f t="shared" si="11"/>
        <v/>
      </c>
      <c r="AE153" s="90"/>
      <c r="AF153" s="89" t="str">
        <f t="shared" si="12"/>
        <v/>
      </c>
      <c r="AG153" s="96"/>
      <c r="AH153" s="88" t="str">
        <f t="shared" si="13"/>
        <v/>
      </c>
      <c r="AI153" s="87"/>
      <c r="AJ153" s="89" t="str">
        <f t="shared" si="14"/>
        <v/>
      </c>
      <c r="AK153" s="90"/>
      <c r="AL153" s="89" t="str">
        <f t="shared" si="15"/>
        <v/>
      </c>
      <c r="AM153" s="89"/>
      <c r="AN153" s="93">
        <f t="shared" si="17"/>
        <v>0</v>
      </c>
      <c r="AO153" s="94">
        <f t="shared" si="18"/>
        <v>0</v>
      </c>
      <c r="AP153" s="87"/>
      <c r="AQ153" s="87"/>
      <c r="AR153" s="89" t="str">
        <f t="shared" si="19"/>
        <v/>
      </c>
      <c r="AS153" s="90"/>
      <c r="AT153" s="89" t="str">
        <f t="shared" si="20"/>
        <v/>
      </c>
      <c r="AU153" s="95"/>
      <c r="AV153" s="87"/>
      <c r="AW153" s="87"/>
      <c r="AX153" s="89" t="str">
        <f t="shared" si="21"/>
        <v/>
      </c>
      <c r="AY153" s="90"/>
      <c r="AZ153" s="89" t="str">
        <f t="shared" si="22"/>
        <v/>
      </c>
      <c r="BA153" s="95"/>
      <c r="BB153" s="88" t="str">
        <f t="shared" si="28"/>
        <v/>
      </c>
      <c r="BC153" s="87"/>
      <c r="BD153" s="89" t="str">
        <f t="shared" si="23"/>
        <v/>
      </c>
      <c r="BE153" s="90"/>
      <c r="BF153" s="89" t="str">
        <f t="shared" si="24"/>
        <v/>
      </c>
      <c r="BG153" s="96"/>
    </row>
    <row r="154">
      <c r="A154" s="87"/>
      <c r="B154" s="87"/>
      <c r="C154" s="87"/>
      <c r="D154" s="87"/>
      <c r="E154" s="87"/>
      <c r="F154" s="87"/>
      <c r="G154" s="87"/>
      <c r="H154" s="88" t="str">
        <f t="shared" si="1"/>
        <v/>
      </c>
      <c r="I154" s="87"/>
      <c r="J154" s="89" t="str">
        <f t="shared" si="2"/>
        <v/>
      </c>
      <c r="K154" s="90"/>
      <c r="L154" s="89" t="str">
        <f t="shared" si="3"/>
        <v/>
      </c>
      <c r="M154" s="89"/>
      <c r="N154" s="93">
        <f t="shared" si="5"/>
        <v>0</v>
      </c>
      <c r="O154" s="94">
        <f t="shared" si="6"/>
        <v>0</v>
      </c>
      <c r="P154" s="87"/>
      <c r="Q154" s="87"/>
      <c r="R154" s="89" t="str">
        <f t="shared" si="7"/>
        <v/>
      </c>
      <c r="S154" s="90"/>
      <c r="T154" s="89" t="str">
        <f t="shared" si="8"/>
        <v/>
      </c>
      <c r="U154" s="95"/>
      <c r="V154" s="87"/>
      <c r="W154" s="87"/>
      <c r="X154" s="89" t="str">
        <f t="shared" si="9"/>
        <v/>
      </c>
      <c r="Y154" s="90"/>
      <c r="Z154" s="89" t="str">
        <f t="shared" si="10"/>
        <v/>
      </c>
      <c r="AA154" s="95"/>
      <c r="AB154" s="88" t="str">
        <f t="shared" si="27"/>
        <v/>
      </c>
      <c r="AC154" s="87"/>
      <c r="AD154" s="89" t="str">
        <f t="shared" si="11"/>
        <v/>
      </c>
      <c r="AE154" s="90"/>
      <c r="AF154" s="89" t="str">
        <f t="shared" si="12"/>
        <v/>
      </c>
      <c r="AG154" s="96"/>
      <c r="AH154" s="88" t="str">
        <f t="shared" si="13"/>
        <v/>
      </c>
      <c r="AI154" s="87"/>
      <c r="AJ154" s="89" t="str">
        <f t="shared" si="14"/>
        <v/>
      </c>
      <c r="AK154" s="90"/>
      <c r="AL154" s="89" t="str">
        <f t="shared" si="15"/>
        <v/>
      </c>
      <c r="AM154" s="89"/>
      <c r="AN154" s="93">
        <f t="shared" si="17"/>
        <v>0</v>
      </c>
      <c r="AO154" s="94">
        <f t="shared" si="18"/>
        <v>0</v>
      </c>
      <c r="AP154" s="87"/>
      <c r="AQ154" s="87"/>
      <c r="AR154" s="89" t="str">
        <f t="shared" si="19"/>
        <v/>
      </c>
      <c r="AS154" s="90"/>
      <c r="AT154" s="89" t="str">
        <f t="shared" si="20"/>
        <v/>
      </c>
      <c r="AU154" s="95"/>
      <c r="AV154" s="87"/>
      <c r="AW154" s="87"/>
      <c r="AX154" s="89" t="str">
        <f t="shared" si="21"/>
        <v/>
      </c>
      <c r="AY154" s="90"/>
      <c r="AZ154" s="89" t="str">
        <f t="shared" si="22"/>
        <v/>
      </c>
      <c r="BA154" s="95"/>
      <c r="BB154" s="88" t="str">
        <f t="shared" si="28"/>
        <v/>
      </c>
      <c r="BC154" s="87"/>
      <c r="BD154" s="89" t="str">
        <f t="shared" si="23"/>
        <v/>
      </c>
      <c r="BE154" s="90"/>
      <c r="BF154" s="89" t="str">
        <f t="shared" si="24"/>
        <v/>
      </c>
      <c r="BG154" s="96"/>
    </row>
    <row r="155">
      <c r="A155" s="87"/>
      <c r="B155" s="87"/>
      <c r="C155" s="87"/>
      <c r="D155" s="87"/>
      <c r="E155" s="87"/>
      <c r="F155" s="87"/>
      <c r="G155" s="87"/>
      <c r="H155" s="88" t="str">
        <f t="shared" si="1"/>
        <v/>
      </c>
      <c r="I155" s="87"/>
      <c r="J155" s="89" t="str">
        <f t="shared" si="2"/>
        <v/>
      </c>
      <c r="K155" s="90"/>
      <c r="L155" s="89" t="str">
        <f t="shared" si="3"/>
        <v/>
      </c>
      <c r="M155" s="89"/>
      <c r="N155" s="93">
        <f t="shared" si="5"/>
        <v>0</v>
      </c>
      <c r="O155" s="94">
        <f t="shared" si="6"/>
        <v>0</v>
      </c>
      <c r="P155" s="87"/>
      <c r="Q155" s="87"/>
      <c r="R155" s="89" t="str">
        <f t="shared" si="7"/>
        <v/>
      </c>
      <c r="S155" s="90"/>
      <c r="T155" s="89" t="str">
        <f t="shared" si="8"/>
        <v/>
      </c>
      <c r="U155" s="95"/>
      <c r="V155" s="87"/>
      <c r="W155" s="87"/>
      <c r="X155" s="89" t="str">
        <f t="shared" si="9"/>
        <v/>
      </c>
      <c r="Y155" s="90"/>
      <c r="Z155" s="89" t="str">
        <f t="shared" si="10"/>
        <v/>
      </c>
      <c r="AA155" s="95"/>
      <c r="AB155" s="88" t="str">
        <f t="shared" si="27"/>
        <v/>
      </c>
      <c r="AC155" s="87"/>
      <c r="AD155" s="89" t="str">
        <f t="shared" si="11"/>
        <v/>
      </c>
      <c r="AE155" s="90"/>
      <c r="AF155" s="89" t="str">
        <f t="shared" si="12"/>
        <v/>
      </c>
      <c r="AG155" s="96"/>
      <c r="AH155" s="88" t="str">
        <f t="shared" si="13"/>
        <v/>
      </c>
      <c r="AI155" s="87"/>
      <c r="AJ155" s="89" t="str">
        <f t="shared" si="14"/>
        <v/>
      </c>
      <c r="AK155" s="90"/>
      <c r="AL155" s="89" t="str">
        <f t="shared" si="15"/>
        <v/>
      </c>
      <c r="AM155" s="89"/>
      <c r="AN155" s="93">
        <f t="shared" si="17"/>
        <v>0</v>
      </c>
      <c r="AO155" s="94">
        <f t="shared" si="18"/>
        <v>0</v>
      </c>
      <c r="AP155" s="87"/>
      <c r="AQ155" s="87"/>
      <c r="AR155" s="89" t="str">
        <f t="shared" si="19"/>
        <v/>
      </c>
      <c r="AS155" s="90"/>
      <c r="AT155" s="89" t="str">
        <f t="shared" si="20"/>
        <v/>
      </c>
      <c r="AU155" s="95"/>
      <c r="AV155" s="87"/>
      <c r="AW155" s="87"/>
      <c r="AX155" s="89" t="str">
        <f t="shared" si="21"/>
        <v/>
      </c>
      <c r="AY155" s="90"/>
      <c r="AZ155" s="89" t="str">
        <f t="shared" si="22"/>
        <v/>
      </c>
      <c r="BA155" s="95"/>
      <c r="BB155" s="88" t="str">
        <f t="shared" si="28"/>
        <v/>
      </c>
      <c r="BC155" s="87"/>
      <c r="BD155" s="89" t="str">
        <f t="shared" si="23"/>
        <v/>
      </c>
      <c r="BE155" s="90"/>
      <c r="BF155" s="89" t="str">
        <f t="shared" si="24"/>
        <v/>
      </c>
      <c r="BG155" s="96"/>
    </row>
    <row r="156">
      <c r="A156" s="87"/>
      <c r="B156" s="87"/>
      <c r="C156" s="87"/>
      <c r="D156" s="87"/>
      <c r="E156" s="87"/>
      <c r="F156" s="87"/>
      <c r="G156" s="87"/>
      <c r="H156" s="88" t="str">
        <f t="shared" si="1"/>
        <v/>
      </c>
      <c r="I156" s="87"/>
      <c r="J156" s="89" t="str">
        <f t="shared" si="2"/>
        <v/>
      </c>
      <c r="K156" s="90"/>
      <c r="L156" s="89" t="str">
        <f t="shared" si="3"/>
        <v/>
      </c>
      <c r="M156" s="89"/>
      <c r="N156" s="93">
        <f t="shared" si="5"/>
        <v>0</v>
      </c>
      <c r="O156" s="94">
        <f t="shared" si="6"/>
        <v>0</v>
      </c>
      <c r="P156" s="87"/>
      <c r="Q156" s="87"/>
      <c r="R156" s="89" t="str">
        <f t="shared" si="7"/>
        <v/>
      </c>
      <c r="S156" s="90"/>
      <c r="T156" s="89" t="str">
        <f t="shared" si="8"/>
        <v/>
      </c>
      <c r="U156" s="95"/>
      <c r="V156" s="87"/>
      <c r="W156" s="87"/>
      <c r="X156" s="89" t="str">
        <f t="shared" si="9"/>
        <v/>
      </c>
      <c r="Y156" s="90"/>
      <c r="Z156" s="89" t="str">
        <f t="shared" si="10"/>
        <v/>
      </c>
      <c r="AA156" s="95"/>
      <c r="AB156" s="88" t="str">
        <f t="shared" si="27"/>
        <v/>
      </c>
      <c r="AC156" s="87"/>
      <c r="AD156" s="89" t="str">
        <f t="shared" si="11"/>
        <v/>
      </c>
      <c r="AE156" s="90"/>
      <c r="AF156" s="89" t="str">
        <f t="shared" si="12"/>
        <v/>
      </c>
      <c r="AG156" s="96"/>
      <c r="AH156" s="88" t="str">
        <f t="shared" si="13"/>
        <v/>
      </c>
      <c r="AI156" s="87"/>
      <c r="AJ156" s="89" t="str">
        <f t="shared" si="14"/>
        <v/>
      </c>
      <c r="AK156" s="90"/>
      <c r="AL156" s="89" t="str">
        <f t="shared" si="15"/>
        <v/>
      </c>
      <c r="AM156" s="89"/>
      <c r="AN156" s="93">
        <f t="shared" si="17"/>
        <v>0</v>
      </c>
      <c r="AO156" s="94">
        <f t="shared" si="18"/>
        <v>0</v>
      </c>
      <c r="AP156" s="87"/>
      <c r="AQ156" s="87"/>
      <c r="AR156" s="89" t="str">
        <f t="shared" si="19"/>
        <v/>
      </c>
      <c r="AS156" s="90"/>
      <c r="AT156" s="89" t="str">
        <f t="shared" si="20"/>
        <v/>
      </c>
      <c r="AU156" s="95"/>
      <c r="AV156" s="87"/>
      <c r="AW156" s="87"/>
      <c r="AX156" s="89" t="str">
        <f t="shared" si="21"/>
        <v/>
      </c>
      <c r="AY156" s="90"/>
      <c r="AZ156" s="89" t="str">
        <f t="shared" si="22"/>
        <v/>
      </c>
      <c r="BA156" s="95"/>
      <c r="BB156" s="88" t="str">
        <f t="shared" si="28"/>
        <v/>
      </c>
      <c r="BC156" s="87"/>
      <c r="BD156" s="89" t="str">
        <f t="shared" si="23"/>
        <v/>
      </c>
      <c r="BE156" s="90"/>
      <c r="BF156" s="89" t="str">
        <f t="shared" si="24"/>
        <v/>
      </c>
      <c r="BG156" s="96"/>
    </row>
    <row r="157">
      <c r="A157" s="87"/>
      <c r="B157" s="87"/>
      <c r="C157" s="87"/>
      <c r="D157" s="87"/>
      <c r="E157" s="87"/>
      <c r="F157" s="87"/>
      <c r="G157" s="87"/>
      <c r="H157" s="88" t="str">
        <f t="shared" si="1"/>
        <v/>
      </c>
      <c r="I157" s="87"/>
      <c r="J157" s="89" t="str">
        <f t="shared" si="2"/>
        <v/>
      </c>
      <c r="K157" s="90"/>
      <c r="L157" s="89" t="str">
        <f t="shared" si="3"/>
        <v/>
      </c>
      <c r="M157" s="89"/>
      <c r="N157" s="93">
        <f t="shared" si="5"/>
        <v>0</v>
      </c>
      <c r="O157" s="94">
        <f t="shared" si="6"/>
        <v>0</v>
      </c>
      <c r="P157" s="87"/>
      <c r="Q157" s="87"/>
      <c r="R157" s="89" t="str">
        <f t="shared" si="7"/>
        <v/>
      </c>
      <c r="S157" s="90"/>
      <c r="T157" s="89" t="str">
        <f t="shared" si="8"/>
        <v/>
      </c>
      <c r="U157" s="95"/>
      <c r="V157" s="87"/>
      <c r="W157" s="87"/>
      <c r="X157" s="89" t="str">
        <f t="shared" si="9"/>
        <v/>
      </c>
      <c r="Y157" s="90"/>
      <c r="Z157" s="89" t="str">
        <f t="shared" si="10"/>
        <v/>
      </c>
      <c r="AA157" s="95"/>
      <c r="AB157" s="88" t="str">
        <f t="shared" si="27"/>
        <v/>
      </c>
      <c r="AC157" s="87"/>
      <c r="AD157" s="89" t="str">
        <f t="shared" si="11"/>
        <v/>
      </c>
      <c r="AE157" s="90"/>
      <c r="AF157" s="89" t="str">
        <f t="shared" si="12"/>
        <v/>
      </c>
      <c r="AG157" s="96"/>
      <c r="AH157" s="88" t="str">
        <f t="shared" si="13"/>
        <v/>
      </c>
      <c r="AI157" s="87"/>
      <c r="AJ157" s="89" t="str">
        <f t="shared" si="14"/>
        <v/>
      </c>
      <c r="AK157" s="90"/>
      <c r="AL157" s="89" t="str">
        <f t="shared" si="15"/>
        <v/>
      </c>
      <c r="AM157" s="89"/>
      <c r="AN157" s="93">
        <f t="shared" si="17"/>
        <v>0</v>
      </c>
      <c r="AO157" s="94">
        <f t="shared" si="18"/>
        <v>0</v>
      </c>
      <c r="AP157" s="87"/>
      <c r="AQ157" s="87"/>
      <c r="AR157" s="89" t="str">
        <f t="shared" si="19"/>
        <v/>
      </c>
      <c r="AS157" s="90"/>
      <c r="AT157" s="89" t="str">
        <f t="shared" si="20"/>
        <v/>
      </c>
      <c r="AU157" s="95"/>
      <c r="AV157" s="87"/>
      <c r="AW157" s="87"/>
      <c r="AX157" s="89" t="str">
        <f t="shared" si="21"/>
        <v/>
      </c>
      <c r="AY157" s="90"/>
      <c r="AZ157" s="89" t="str">
        <f t="shared" si="22"/>
        <v/>
      </c>
      <c r="BA157" s="95"/>
      <c r="BB157" s="88" t="str">
        <f t="shared" si="28"/>
        <v/>
      </c>
      <c r="BC157" s="87"/>
      <c r="BD157" s="89" t="str">
        <f t="shared" si="23"/>
        <v/>
      </c>
      <c r="BE157" s="90"/>
      <c r="BF157" s="89" t="str">
        <f t="shared" si="24"/>
        <v/>
      </c>
      <c r="BG157" s="96"/>
    </row>
    <row r="158">
      <c r="A158" s="87"/>
      <c r="B158" s="87"/>
      <c r="C158" s="87"/>
      <c r="D158" s="87"/>
      <c r="E158" s="87"/>
      <c r="F158" s="87"/>
      <c r="G158" s="87"/>
      <c r="H158" s="88" t="str">
        <f t="shared" si="1"/>
        <v/>
      </c>
      <c r="I158" s="87"/>
      <c r="J158" s="89" t="str">
        <f t="shared" si="2"/>
        <v/>
      </c>
      <c r="K158" s="90"/>
      <c r="L158" s="89" t="str">
        <f t="shared" si="3"/>
        <v/>
      </c>
      <c r="M158" s="89"/>
      <c r="N158" s="93">
        <f t="shared" si="5"/>
        <v>0</v>
      </c>
      <c r="O158" s="94">
        <f t="shared" si="6"/>
        <v>0</v>
      </c>
      <c r="P158" s="87"/>
      <c r="Q158" s="87"/>
      <c r="R158" s="89" t="str">
        <f t="shared" si="7"/>
        <v/>
      </c>
      <c r="S158" s="90"/>
      <c r="T158" s="89" t="str">
        <f t="shared" si="8"/>
        <v/>
      </c>
      <c r="U158" s="95"/>
      <c r="V158" s="87"/>
      <c r="W158" s="87"/>
      <c r="X158" s="89" t="str">
        <f t="shared" si="9"/>
        <v/>
      </c>
      <c r="Y158" s="90"/>
      <c r="Z158" s="89" t="str">
        <f t="shared" si="10"/>
        <v/>
      </c>
      <c r="AA158" s="95"/>
      <c r="AB158" s="88" t="str">
        <f t="shared" si="27"/>
        <v/>
      </c>
      <c r="AC158" s="87"/>
      <c r="AD158" s="89" t="str">
        <f t="shared" si="11"/>
        <v/>
      </c>
      <c r="AE158" s="90"/>
      <c r="AF158" s="89" t="str">
        <f t="shared" si="12"/>
        <v/>
      </c>
      <c r="AG158" s="96"/>
      <c r="AH158" s="88" t="str">
        <f t="shared" si="13"/>
        <v/>
      </c>
      <c r="AI158" s="87"/>
      <c r="AJ158" s="89" t="str">
        <f t="shared" si="14"/>
        <v/>
      </c>
      <c r="AK158" s="90"/>
      <c r="AL158" s="89" t="str">
        <f t="shared" si="15"/>
        <v/>
      </c>
      <c r="AM158" s="89"/>
      <c r="AN158" s="93">
        <f t="shared" si="17"/>
        <v>0</v>
      </c>
      <c r="AO158" s="94">
        <f t="shared" si="18"/>
        <v>0</v>
      </c>
      <c r="AP158" s="87"/>
      <c r="AQ158" s="87"/>
      <c r="AR158" s="89" t="str">
        <f t="shared" si="19"/>
        <v/>
      </c>
      <c r="AS158" s="90"/>
      <c r="AT158" s="89" t="str">
        <f t="shared" si="20"/>
        <v/>
      </c>
      <c r="AU158" s="95"/>
      <c r="AV158" s="87"/>
      <c r="AW158" s="87"/>
      <c r="AX158" s="89" t="str">
        <f t="shared" si="21"/>
        <v/>
      </c>
      <c r="AY158" s="90"/>
      <c r="AZ158" s="89" t="str">
        <f t="shared" si="22"/>
        <v/>
      </c>
      <c r="BA158" s="95"/>
      <c r="BB158" s="88" t="str">
        <f t="shared" si="28"/>
        <v/>
      </c>
      <c r="BC158" s="87"/>
      <c r="BD158" s="89" t="str">
        <f t="shared" si="23"/>
        <v/>
      </c>
      <c r="BE158" s="90"/>
      <c r="BF158" s="89" t="str">
        <f t="shared" si="24"/>
        <v/>
      </c>
      <c r="BG158" s="96"/>
    </row>
    <row r="159">
      <c r="A159" s="87"/>
      <c r="B159" s="87"/>
      <c r="C159" s="87"/>
      <c r="D159" s="87"/>
      <c r="E159" s="87"/>
      <c r="F159" s="87"/>
      <c r="G159" s="87"/>
      <c r="H159" s="88" t="str">
        <f t="shared" si="1"/>
        <v/>
      </c>
      <c r="I159" s="87"/>
      <c r="J159" s="89" t="str">
        <f t="shared" si="2"/>
        <v/>
      </c>
      <c r="K159" s="90"/>
      <c r="L159" s="89" t="str">
        <f t="shared" si="3"/>
        <v/>
      </c>
      <c r="M159" s="89"/>
      <c r="N159" s="93">
        <f t="shared" si="5"/>
        <v>0</v>
      </c>
      <c r="O159" s="94">
        <f t="shared" si="6"/>
        <v>0</v>
      </c>
      <c r="P159" s="87"/>
      <c r="Q159" s="87"/>
      <c r="R159" s="89" t="str">
        <f t="shared" si="7"/>
        <v/>
      </c>
      <c r="S159" s="90"/>
      <c r="T159" s="89" t="str">
        <f t="shared" si="8"/>
        <v/>
      </c>
      <c r="U159" s="95"/>
      <c r="V159" s="87"/>
      <c r="W159" s="87"/>
      <c r="X159" s="89" t="str">
        <f t="shared" si="9"/>
        <v/>
      </c>
      <c r="Y159" s="90"/>
      <c r="Z159" s="89" t="str">
        <f t="shared" si="10"/>
        <v/>
      </c>
      <c r="AA159" s="95"/>
      <c r="AB159" s="88" t="str">
        <f t="shared" si="27"/>
        <v/>
      </c>
      <c r="AC159" s="87"/>
      <c r="AD159" s="89" t="str">
        <f t="shared" si="11"/>
        <v/>
      </c>
      <c r="AE159" s="90"/>
      <c r="AF159" s="89" t="str">
        <f t="shared" si="12"/>
        <v/>
      </c>
      <c r="AG159" s="96"/>
      <c r="AH159" s="88" t="str">
        <f t="shared" si="13"/>
        <v/>
      </c>
      <c r="AI159" s="87"/>
      <c r="AJ159" s="89" t="str">
        <f t="shared" si="14"/>
        <v/>
      </c>
      <c r="AK159" s="90"/>
      <c r="AL159" s="89" t="str">
        <f t="shared" si="15"/>
        <v/>
      </c>
      <c r="AM159" s="89"/>
      <c r="AN159" s="93">
        <f t="shared" si="17"/>
        <v>0</v>
      </c>
      <c r="AO159" s="94">
        <f t="shared" si="18"/>
        <v>0</v>
      </c>
      <c r="AP159" s="87"/>
      <c r="AQ159" s="87"/>
      <c r="AR159" s="89" t="str">
        <f t="shared" si="19"/>
        <v/>
      </c>
      <c r="AS159" s="90"/>
      <c r="AT159" s="89" t="str">
        <f t="shared" si="20"/>
        <v/>
      </c>
      <c r="AU159" s="95"/>
      <c r="AV159" s="87"/>
      <c r="AW159" s="87"/>
      <c r="AX159" s="89" t="str">
        <f t="shared" si="21"/>
        <v/>
      </c>
      <c r="AY159" s="90"/>
      <c r="AZ159" s="89" t="str">
        <f t="shared" si="22"/>
        <v/>
      </c>
      <c r="BA159" s="95"/>
      <c r="BB159" s="88" t="str">
        <f t="shared" si="28"/>
        <v/>
      </c>
      <c r="BC159" s="87"/>
      <c r="BD159" s="89" t="str">
        <f t="shared" si="23"/>
        <v/>
      </c>
      <c r="BE159" s="90"/>
      <c r="BF159" s="89" t="str">
        <f t="shared" si="24"/>
        <v/>
      </c>
      <c r="BG159" s="96"/>
    </row>
    <row r="160">
      <c r="A160" s="87"/>
      <c r="B160" s="87"/>
      <c r="C160" s="87"/>
      <c r="D160" s="87"/>
      <c r="E160" s="87"/>
      <c r="F160" s="87"/>
      <c r="G160" s="87"/>
      <c r="H160" s="88" t="str">
        <f t="shared" si="1"/>
        <v/>
      </c>
      <c r="I160" s="87"/>
      <c r="J160" s="89" t="str">
        <f t="shared" si="2"/>
        <v/>
      </c>
      <c r="K160" s="90"/>
      <c r="L160" s="89" t="str">
        <f t="shared" si="3"/>
        <v/>
      </c>
      <c r="M160" s="89"/>
      <c r="N160" s="93">
        <f t="shared" si="5"/>
        <v>0</v>
      </c>
      <c r="O160" s="94">
        <f t="shared" si="6"/>
        <v>0</v>
      </c>
      <c r="P160" s="87"/>
      <c r="Q160" s="87"/>
      <c r="R160" s="89" t="str">
        <f t="shared" si="7"/>
        <v/>
      </c>
      <c r="S160" s="90"/>
      <c r="T160" s="89" t="str">
        <f t="shared" si="8"/>
        <v/>
      </c>
      <c r="U160" s="95"/>
      <c r="V160" s="87"/>
      <c r="W160" s="87"/>
      <c r="X160" s="89" t="str">
        <f t="shared" si="9"/>
        <v/>
      </c>
      <c r="Y160" s="90"/>
      <c r="Z160" s="89" t="str">
        <f t="shared" si="10"/>
        <v/>
      </c>
      <c r="AA160" s="95"/>
      <c r="AB160" s="88" t="str">
        <f t="shared" si="27"/>
        <v/>
      </c>
      <c r="AC160" s="87"/>
      <c r="AD160" s="89" t="str">
        <f t="shared" si="11"/>
        <v/>
      </c>
      <c r="AE160" s="90"/>
      <c r="AF160" s="89" t="str">
        <f t="shared" si="12"/>
        <v/>
      </c>
      <c r="AG160" s="96"/>
      <c r="AH160" s="88" t="str">
        <f t="shared" si="13"/>
        <v/>
      </c>
      <c r="AI160" s="87"/>
      <c r="AJ160" s="89" t="str">
        <f t="shared" si="14"/>
        <v/>
      </c>
      <c r="AK160" s="90"/>
      <c r="AL160" s="89" t="str">
        <f t="shared" si="15"/>
        <v/>
      </c>
      <c r="AM160" s="89"/>
      <c r="AN160" s="93">
        <f t="shared" si="17"/>
        <v>0</v>
      </c>
      <c r="AO160" s="94">
        <f t="shared" si="18"/>
        <v>0</v>
      </c>
      <c r="AP160" s="87"/>
      <c r="AQ160" s="87"/>
      <c r="AR160" s="89" t="str">
        <f t="shared" si="19"/>
        <v/>
      </c>
      <c r="AS160" s="90"/>
      <c r="AT160" s="89" t="str">
        <f t="shared" si="20"/>
        <v/>
      </c>
      <c r="AU160" s="95"/>
      <c r="AV160" s="87"/>
      <c r="AW160" s="87"/>
      <c r="AX160" s="89" t="str">
        <f t="shared" si="21"/>
        <v/>
      </c>
      <c r="AY160" s="90"/>
      <c r="AZ160" s="89" t="str">
        <f t="shared" si="22"/>
        <v/>
      </c>
      <c r="BA160" s="95"/>
      <c r="BB160" s="88" t="str">
        <f t="shared" si="28"/>
        <v/>
      </c>
      <c r="BC160" s="87"/>
      <c r="BD160" s="89" t="str">
        <f t="shared" si="23"/>
        <v/>
      </c>
      <c r="BE160" s="90"/>
      <c r="BF160" s="89" t="str">
        <f t="shared" si="24"/>
        <v/>
      </c>
      <c r="BG160" s="96"/>
    </row>
    <row r="161">
      <c r="A161" s="87"/>
      <c r="B161" s="87"/>
      <c r="C161" s="87"/>
      <c r="D161" s="87"/>
      <c r="E161" s="87"/>
      <c r="F161" s="87"/>
      <c r="G161" s="87"/>
      <c r="H161" s="88" t="str">
        <f t="shared" si="1"/>
        <v/>
      </c>
      <c r="I161" s="87"/>
      <c r="J161" s="89" t="str">
        <f t="shared" si="2"/>
        <v/>
      </c>
      <c r="K161" s="90"/>
      <c r="L161" s="89" t="str">
        <f t="shared" si="3"/>
        <v/>
      </c>
      <c r="M161" s="89"/>
      <c r="N161" s="93">
        <f t="shared" si="5"/>
        <v>0</v>
      </c>
      <c r="O161" s="94">
        <f t="shared" si="6"/>
        <v>0</v>
      </c>
      <c r="P161" s="87"/>
      <c r="Q161" s="87"/>
      <c r="R161" s="89" t="str">
        <f t="shared" si="7"/>
        <v/>
      </c>
      <c r="S161" s="90"/>
      <c r="T161" s="89" t="str">
        <f t="shared" si="8"/>
        <v/>
      </c>
      <c r="U161" s="95"/>
      <c r="V161" s="87"/>
      <c r="W161" s="87"/>
      <c r="X161" s="89" t="str">
        <f t="shared" si="9"/>
        <v/>
      </c>
      <c r="Y161" s="90"/>
      <c r="Z161" s="89" t="str">
        <f t="shared" si="10"/>
        <v/>
      </c>
      <c r="AA161" s="95"/>
      <c r="AB161" s="88" t="str">
        <f t="shared" si="27"/>
        <v/>
      </c>
      <c r="AC161" s="87"/>
      <c r="AD161" s="89" t="str">
        <f t="shared" si="11"/>
        <v/>
      </c>
      <c r="AE161" s="90"/>
      <c r="AF161" s="89" t="str">
        <f t="shared" si="12"/>
        <v/>
      </c>
      <c r="AG161" s="96"/>
      <c r="AH161" s="88" t="str">
        <f t="shared" si="13"/>
        <v/>
      </c>
      <c r="AI161" s="87"/>
      <c r="AJ161" s="89" t="str">
        <f t="shared" si="14"/>
        <v/>
      </c>
      <c r="AK161" s="90"/>
      <c r="AL161" s="89" t="str">
        <f t="shared" si="15"/>
        <v/>
      </c>
      <c r="AM161" s="89"/>
      <c r="AN161" s="93">
        <f t="shared" si="17"/>
        <v>0</v>
      </c>
      <c r="AO161" s="94">
        <f t="shared" si="18"/>
        <v>0</v>
      </c>
      <c r="AP161" s="87"/>
      <c r="AQ161" s="87"/>
      <c r="AR161" s="89" t="str">
        <f t="shared" si="19"/>
        <v/>
      </c>
      <c r="AS161" s="90"/>
      <c r="AT161" s="89" t="str">
        <f t="shared" si="20"/>
        <v/>
      </c>
      <c r="AU161" s="95"/>
      <c r="AV161" s="87"/>
      <c r="AW161" s="87"/>
      <c r="AX161" s="89" t="str">
        <f t="shared" si="21"/>
        <v/>
      </c>
      <c r="AY161" s="90"/>
      <c r="AZ161" s="89" t="str">
        <f t="shared" si="22"/>
        <v/>
      </c>
      <c r="BA161" s="95"/>
      <c r="BB161" s="88" t="str">
        <f t="shared" si="28"/>
        <v/>
      </c>
      <c r="BC161" s="87"/>
      <c r="BD161" s="89" t="str">
        <f t="shared" si="23"/>
        <v/>
      </c>
      <c r="BE161" s="90"/>
      <c r="BF161" s="89" t="str">
        <f t="shared" si="24"/>
        <v/>
      </c>
      <c r="BG161" s="96"/>
    </row>
    <row r="162">
      <c r="A162" s="87"/>
      <c r="B162" s="87"/>
      <c r="C162" s="87"/>
      <c r="D162" s="87"/>
      <c r="E162" s="87"/>
      <c r="F162" s="87"/>
      <c r="G162" s="87"/>
      <c r="H162" s="88" t="str">
        <f t="shared" si="1"/>
        <v/>
      </c>
      <c r="I162" s="87"/>
      <c r="J162" s="89" t="str">
        <f t="shared" si="2"/>
        <v/>
      </c>
      <c r="K162" s="90"/>
      <c r="L162" s="89" t="str">
        <f t="shared" si="3"/>
        <v/>
      </c>
      <c r="M162" s="89"/>
      <c r="N162" s="93">
        <f t="shared" si="5"/>
        <v>0</v>
      </c>
      <c r="O162" s="94">
        <f t="shared" si="6"/>
        <v>0</v>
      </c>
      <c r="P162" s="87"/>
      <c r="Q162" s="87"/>
      <c r="R162" s="89" t="str">
        <f t="shared" si="7"/>
        <v/>
      </c>
      <c r="S162" s="90"/>
      <c r="T162" s="89" t="str">
        <f t="shared" si="8"/>
        <v/>
      </c>
      <c r="U162" s="95"/>
      <c r="V162" s="87"/>
      <c r="W162" s="87"/>
      <c r="X162" s="89" t="str">
        <f t="shared" si="9"/>
        <v/>
      </c>
      <c r="Y162" s="90"/>
      <c r="Z162" s="89" t="str">
        <f t="shared" si="10"/>
        <v/>
      </c>
      <c r="AA162" s="95"/>
      <c r="AB162" s="88" t="str">
        <f t="shared" si="27"/>
        <v/>
      </c>
      <c r="AC162" s="87"/>
      <c r="AD162" s="89" t="str">
        <f t="shared" si="11"/>
        <v/>
      </c>
      <c r="AE162" s="90"/>
      <c r="AF162" s="89" t="str">
        <f t="shared" si="12"/>
        <v/>
      </c>
      <c r="AG162" s="96"/>
      <c r="AH162" s="88" t="str">
        <f t="shared" si="13"/>
        <v/>
      </c>
      <c r="AI162" s="87"/>
      <c r="AJ162" s="89" t="str">
        <f t="shared" si="14"/>
        <v/>
      </c>
      <c r="AK162" s="90"/>
      <c r="AL162" s="89" t="str">
        <f t="shared" si="15"/>
        <v/>
      </c>
      <c r="AM162" s="89"/>
      <c r="AN162" s="93">
        <f t="shared" si="17"/>
        <v>0</v>
      </c>
      <c r="AO162" s="94">
        <f t="shared" si="18"/>
        <v>0</v>
      </c>
      <c r="AP162" s="87"/>
      <c r="AQ162" s="87"/>
      <c r="AR162" s="89" t="str">
        <f t="shared" si="19"/>
        <v/>
      </c>
      <c r="AS162" s="90"/>
      <c r="AT162" s="89" t="str">
        <f t="shared" si="20"/>
        <v/>
      </c>
      <c r="AU162" s="95"/>
      <c r="AV162" s="87"/>
      <c r="AW162" s="87"/>
      <c r="AX162" s="89" t="str">
        <f t="shared" si="21"/>
        <v/>
      </c>
      <c r="AY162" s="90"/>
      <c r="AZ162" s="89" t="str">
        <f t="shared" si="22"/>
        <v/>
      </c>
      <c r="BA162" s="95"/>
      <c r="BB162" s="88" t="str">
        <f t="shared" si="28"/>
        <v/>
      </c>
      <c r="BC162" s="87"/>
      <c r="BD162" s="89" t="str">
        <f t="shared" si="23"/>
        <v/>
      </c>
      <c r="BE162" s="90"/>
      <c r="BF162" s="89" t="str">
        <f t="shared" si="24"/>
        <v/>
      </c>
      <c r="BG162" s="96"/>
    </row>
    <row r="163">
      <c r="A163" s="87"/>
      <c r="B163" s="87"/>
      <c r="C163" s="87"/>
      <c r="D163" s="87"/>
      <c r="E163" s="87"/>
      <c r="F163" s="87"/>
      <c r="G163" s="87"/>
      <c r="H163" s="88" t="str">
        <f t="shared" si="1"/>
        <v/>
      </c>
      <c r="I163" s="87"/>
      <c r="J163" s="89" t="str">
        <f t="shared" si="2"/>
        <v/>
      </c>
      <c r="K163" s="90"/>
      <c r="L163" s="89" t="str">
        <f t="shared" si="3"/>
        <v/>
      </c>
      <c r="M163" s="89"/>
      <c r="N163" s="93">
        <f t="shared" si="5"/>
        <v>0</v>
      </c>
      <c r="O163" s="94">
        <f t="shared" si="6"/>
        <v>0</v>
      </c>
      <c r="P163" s="87"/>
      <c r="Q163" s="87"/>
      <c r="R163" s="89" t="str">
        <f t="shared" si="7"/>
        <v/>
      </c>
      <c r="S163" s="90"/>
      <c r="T163" s="89" t="str">
        <f t="shared" si="8"/>
        <v/>
      </c>
      <c r="U163" s="95"/>
      <c r="V163" s="87"/>
      <c r="W163" s="87"/>
      <c r="X163" s="89" t="str">
        <f t="shared" si="9"/>
        <v/>
      </c>
      <c r="Y163" s="90"/>
      <c r="Z163" s="89" t="str">
        <f t="shared" si="10"/>
        <v/>
      </c>
      <c r="AA163" s="95"/>
      <c r="AB163" s="88" t="str">
        <f t="shared" si="27"/>
        <v/>
      </c>
      <c r="AC163" s="87"/>
      <c r="AD163" s="89" t="str">
        <f t="shared" si="11"/>
        <v/>
      </c>
      <c r="AE163" s="90"/>
      <c r="AF163" s="89" t="str">
        <f t="shared" si="12"/>
        <v/>
      </c>
      <c r="AG163" s="96"/>
      <c r="AH163" s="88" t="str">
        <f t="shared" si="13"/>
        <v/>
      </c>
      <c r="AI163" s="87"/>
      <c r="AJ163" s="89" t="str">
        <f t="shared" si="14"/>
        <v/>
      </c>
      <c r="AK163" s="90"/>
      <c r="AL163" s="89" t="str">
        <f t="shared" si="15"/>
        <v/>
      </c>
      <c r="AM163" s="89"/>
      <c r="AN163" s="93">
        <f t="shared" si="17"/>
        <v>0</v>
      </c>
      <c r="AO163" s="94">
        <f t="shared" si="18"/>
        <v>0</v>
      </c>
      <c r="AP163" s="87"/>
      <c r="AQ163" s="87"/>
      <c r="AR163" s="89" t="str">
        <f t="shared" si="19"/>
        <v/>
      </c>
      <c r="AS163" s="90"/>
      <c r="AT163" s="89" t="str">
        <f t="shared" si="20"/>
        <v/>
      </c>
      <c r="AU163" s="95"/>
      <c r="AV163" s="87"/>
      <c r="AW163" s="87"/>
      <c r="AX163" s="89" t="str">
        <f t="shared" si="21"/>
        <v/>
      </c>
      <c r="AY163" s="90"/>
      <c r="AZ163" s="89" t="str">
        <f t="shared" si="22"/>
        <v/>
      </c>
      <c r="BA163" s="95"/>
      <c r="BB163" s="88" t="str">
        <f t="shared" si="28"/>
        <v/>
      </c>
      <c r="BC163" s="87"/>
      <c r="BD163" s="89" t="str">
        <f t="shared" si="23"/>
        <v/>
      </c>
      <c r="BE163" s="90"/>
      <c r="BF163" s="89" t="str">
        <f t="shared" si="24"/>
        <v/>
      </c>
      <c r="BG163" s="96"/>
    </row>
    <row r="164">
      <c r="A164" s="87"/>
      <c r="B164" s="87"/>
      <c r="C164" s="87"/>
      <c r="D164" s="87"/>
      <c r="E164" s="87"/>
      <c r="F164" s="87"/>
      <c r="G164" s="87"/>
      <c r="H164" s="88" t="str">
        <f t="shared" si="1"/>
        <v/>
      </c>
      <c r="I164" s="87"/>
      <c r="J164" s="89" t="str">
        <f t="shared" si="2"/>
        <v/>
      </c>
      <c r="K164" s="90"/>
      <c r="L164" s="89" t="str">
        <f t="shared" si="3"/>
        <v/>
      </c>
      <c r="M164" s="89"/>
      <c r="N164" s="93">
        <f t="shared" si="5"/>
        <v>0</v>
      </c>
      <c r="O164" s="94">
        <f t="shared" si="6"/>
        <v>0</v>
      </c>
      <c r="P164" s="87"/>
      <c r="Q164" s="87"/>
      <c r="R164" s="89" t="str">
        <f t="shared" si="7"/>
        <v/>
      </c>
      <c r="S164" s="90"/>
      <c r="T164" s="89" t="str">
        <f t="shared" si="8"/>
        <v/>
      </c>
      <c r="U164" s="95"/>
      <c r="V164" s="87"/>
      <c r="W164" s="87"/>
      <c r="X164" s="89" t="str">
        <f t="shared" si="9"/>
        <v/>
      </c>
      <c r="Y164" s="90"/>
      <c r="Z164" s="89" t="str">
        <f t="shared" si="10"/>
        <v/>
      </c>
      <c r="AA164" s="95"/>
      <c r="AB164" s="88" t="str">
        <f t="shared" si="27"/>
        <v/>
      </c>
      <c r="AC164" s="87"/>
      <c r="AD164" s="89" t="str">
        <f t="shared" si="11"/>
        <v/>
      </c>
      <c r="AE164" s="90"/>
      <c r="AF164" s="89" t="str">
        <f t="shared" si="12"/>
        <v/>
      </c>
      <c r="AG164" s="96"/>
      <c r="AH164" s="88" t="str">
        <f t="shared" si="13"/>
        <v/>
      </c>
      <c r="AI164" s="87"/>
      <c r="AJ164" s="89" t="str">
        <f t="shared" si="14"/>
        <v/>
      </c>
      <c r="AK164" s="90"/>
      <c r="AL164" s="89" t="str">
        <f t="shared" si="15"/>
        <v/>
      </c>
      <c r="AM164" s="89"/>
      <c r="AN164" s="93">
        <f t="shared" si="17"/>
        <v>0</v>
      </c>
      <c r="AO164" s="94">
        <f t="shared" si="18"/>
        <v>0</v>
      </c>
      <c r="AP164" s="87"/>
      <c r="AQ164" s="87"/>
      <c r="AR164" s="89" t="str">
        <f t="shared" si="19"/>
        <v/>
      </c>
      <c r="AS164" s="90"/>
      <c r="AT164" s="89" t="str">
        <f t="shared" si="20"/>
        <v/>
      </c>
      <c r="AU164" s="95"/>
      <c r="AV164" s="87"/>
      <c r="AW164" s="87"/>
      <c r="AX164" s="89" t="str">
        <f t="shared" si="21"/>
        <v/>
      </c>
      <c r="AY164" s="90"/>
      <c r="AZ164" s="89" t="str">
        <f t="shared" si="22"/>
        <v/>
      </c>
      <c r="BA164" s="95"/>
      <c r="BB164" s="88" t="str">
        <f t="shared" si="28"/>
        <v/>
      </c>
      <c r="BC164" s="87"/>
      <c r="BD164" s="89" t="str">
        <f t="shared" si="23"/>
        <v/>
      </c>
      <c r="BE164" s="90"/>
      <c r="BF164" s="89" t="str">
        <f t="shared" si="24"/>
        <v/>
      </c>
      <c r="BG164" s="96"/>
    </row>
    <row r="165">
      <c r="A165" s="87"/>
      <c r="B165" s="87"/>
      <c r="C165" s="87"/>
      <c r="D165" s="87"/>
      <c r="E165" s="87"/>
      <c r="F165" s="87"/>
      <c r="G165" s="87"/>
      <c r="H165" s="88" t="str">
        <f t="shared" si="1"/>
        <v/>
      </c>
      <c r="I165" s="87"/>
      <c r="J165" s="89" t="str">
        <f t="shared" si="2"/>
        <v/>
      </c>
      <c r="K165" s="90"/>
      <c r="L165" s="89" t="str">
        <f t="shared" si="3"/>
        <v/>
      </c>
      <c r="M165" s="89"/>
      <c r="N165" s="93">
        <f t="shared" si="5"/>
        <v>0</v>
      </c>
      <c r="O165" s="94">
        <f t="shared" si="6"/>
        <v>0</v>
      </c>
      <c r="P165" s="87"/>
      <c r="Q165" s="87"/>
      <c r="R165" s="89" t="str">
        <f t="shared" si="7"/>
        <v/>
      </c>
      <c r="S165" s="90"/>
      <c r="T165" s="89" t="str">
        <f t="shared" si="8"/>
        <v/>
      </c>
      <c r="U165" s="95"/>
      <c r="V165" s="87"/>
      <c r="W165" s="87"/>
      <c r="X165" s="89" t="str">
        <f t="shared" si="9"/>
        <v/>
      </c>
      <c r="Y165" s="90"/>
      <c r="Z165" s="89" t="str">
        <f t="shared" si="10"/>
        <v/>
      </c>
      <c r="AA165" s="95"/>
      <c r="AB165" s="88" t="str">
        <f t="shared" si="27"/>
        <v/>
      </c>
      <c r="AC165" s="87"/>
      <c r="AD165" s="89" t="str">
        <f t="shared" si="11"/>
        <v/>
      </c>
      <c r="AE165" s="90"/>
      <c r="AF165" s="89" t="str">
        <f t="shared" si="12"/>
        <v/>
      </c>
      <c r="AG165" s="96"/>
      <c r="AH165" s="88" t="str">
        <f t="shared" si="13"/>
        <v/>
      </c>
      <c r="AI165" s="87"/>
      <c r="AJ165" s="89" t="str">
        <f t="shared" si="14"/>
        <v/>
      </c>
      <c r="AK165" s="90"/>
      <c r="AL165" s="89" t="str">
        <f t="shared" si="15"/>
        <v/>
      </c>
      <c r="AM165" s="89"/>
      <c r="AN165" s="93">
        <f t="shared" si="17"/>
        <v>0</v>
      </c>
      <c r="AO165" s="94">
        <f t="shared" si="18"/>
        <v>0</v>
      </c>
      <c r="AP165" s="87"/>
      <c r="AQ165" s="87"/>
      <c r="AR165" s="89" t="str">
        <f t="shared" si="19"/>
        <v/>
      </c>
      <c r="AS165" s="90"/>
      <c r="AT165" s="89" t="str">
        <f t="shared" si="20"/>
        <v/>
      </c>
      <c r="AU165" s="95"/>
      <c r="AV165" s="87"/>
      <c r="AW165" s="87"/>
      <c r="AX165" s="89" t="str">
        <f t="shared" si="21"/>
        <v/>
      </c>
      <c r="AY165" s="90"/>
      <c r="AZ165" s="89" t="str">
        <f t="shared" si="22"/>
        <v/>
      </c>
      <c r="BA165" s="95"/>
      <c r="BB165" s="88" t="str">
        <f t="shared" si="28"/>
        <v/>
      </c>
      <c r="BC165" s="87"/>
      <c r="BD165" s="89" t="str">
        <f t="shared" si="23"/>
        <v/>
      </c>
      <c r="BE165" s="90"/>
      <c r="BF165" s="89" t="str">
        <f t="shared" si="24"/>
        <v/>
      </c>
      <c r="BG165" s="96"/>
    </row>
    <row r="166">
      <c r="A166" s="87"/>
      <c r="B166" s="87"/>
      <c r="C166" s="87"/>
      <c r="D166" s="87"/>
      <c r="E166" s="87"/>
      <c r="F166" s="87"/>
      <c r="G166" s="87"/>
      <c r="H166" s="88" t="str">
        <f t="shared" si="1"/>
        <v/>
      </c>
      <c r="I166" s="87"/>
      <c r="J166" s="89" t="str">
        <f t="shared" si="2"/>
        <v/>
      </c>
      <c r="K166" s="90"/>
      <c r="L166" s="89" t="str">
        <f t="shared" si="3"/>
        <v/>
      </c>
      <c r="M166" s="89"/>
      <c r="N166" s="93">
        <f t="shared" si="5"/>
        <v>0</v>
      </c>
      <c r="O166" s="94">
        <f t="shared" si="6"/>
        <v>0</v>
      </c>
      <c r="P166" s="87"/>
      <c r="Q166" s="87"/>
      <c r="R166" s="89" t="str">
        <f t="shared" si="7"/>
        <v/>
      </c>
      <c r="S166" s="90"/>
      <c r="T166" s="89" t="str">
        <f t="shared" si="8"/>
        <v/>
      </c>
      <c r="U166" s="95"/>
      <c r="V166" s="87"/>
      <c r="W166" s="87"/>
      <c r="X166" s="89" t="str">
        <f t="shared" si="9"/>
        <v/>
      </c>
      <c r="Y166" s="90"/>
      <c r="Z166" s="89" t="str">
        <f t="shared" si="10"/>
        <v/>
      </c>
      <c r="AA166" s="95"/>
      <c r="AB166" s="88" t="str">
        <f t="shared" si="27"/>
        <v/>
      </c>
      <c r="AC166" s="87"/>
      <c r="AD166" s="89" t="str">
        <f t="shared" si="11"/>
        <v/>
      </c>
      <c r="AE166" s="90"/>
      <c r="AF166" s="89" t="str">
        <f t="shared" si="12"/>
        <v/>
      </c>
      <c r="AG166" s="96"/>
      <c r="AH166" s="88" t="str">
        <f t="shared" si="13"/>
        <v/>
      </c>
      <c r="AI166" s="87"/>
      <c r="AJ166" s="89" t="str">
        <f t="shared" si="14"/>
        <v/>
      </c>
      <c r="AK166" s="90"/>
      <c r="AL166" s="89" t="str">
        <f t="shared" si="15"/>
        <v/>
      </c>
      <c r="AM166" s="89"/>
      <c r="AN166" s="93">
        <f t="shared" si="17"/>
        <v>0</v>
      </c>
      <c r="AO166" s="94">
        <f t="shared" si="18"/>
        <v>0</v>
      </c>
      <c r="AP166" s="87"/>
      <c r="AQ166" s="87"/>
      <c r="AR166" s="89" t="str">
        <f t="shared" si="19"/>
        <v/>
      </c>
      <c r="AS166" s="90"/>
      <c r="AT166" s="89" t="str">
        <f t="shared" si="20"/>
        <v/>
      </c>
      <c r="AU166" s="95"/>
      <c r="AV166" s="87"/>
      <c r="AW166" s="87"/>
      <c r="AX166" s="89" t="str">
        <f t="shared" si="21"/>
        <v/>
      </c>
      <c r="AY166" s="90"/>
      <c r="AZ166" s="89" t="str">
        <f t="shared" si="22"/>
        <v/>
      </c>
      <c r="BA166" s="95"/>
      <c r="BB166" s="88" t="str">
        <f t="shared" si="28"/>
        <v/>
      </c>
      <c r="BC166" s="87"/>
      <c r="BD166" s="89" t="str">
        <f t="shared" si="23"/>
        <v/>
      </c>
      <c r="BE166" s="90"/>
      <c r="BF166" s="89" t="str">
        <f t="shared" si="24"/>
        <v/>
      </c>
      <c r="BG166" s="96"/>
    </row>
    <row r="167">
      <c r="A167" s="87"/>
      <c r="B167" s="87"/>
      <c r="C167" s="87"/>
      <c r="D167" s="87"/>
      <c r="E167" s="87"/>
      <c r="F167" s="87"/>
      <c r="G167" s="87"/>
      <c r="H167" s="88" t="str">
        <f t="shared" si="1"/>
        <v/>
      </c>
      <c r="I167" s="87"/>
      <c r="J167" s="89" t="str">
        <f t="shared" si="2"/>
        <v/>
      </c>
      <c r="K167" s="90"/>
      <c r="L167" s="89" t="str">
        <f t="shared" si="3"/>
        <v/>
      </c>
      <c r="M167" s="89"/>
      <c r="N167" s="93">
        <f t="shared" si="5"/>
        <v>0</v>
      </c>
      <c r="O167" s="94">
        <f t="shared" si="6"/>
        <v>0</v>
      </c>
      <c r="P167" s="87"/>
      <c r="Q167" s="87"/>
      <c r="R167" s="89" t="str">
        <f t="shared" si="7"/>
        <v/>
      </c>
      <c r="S167" s="90"/>
      <c r="T167" s="89" t="str">
        <f t="shared" si="8"/>
        <v/>
      </c>
      <c r="U167" s="95"/>
      <c r="V167" s="87"/>
      <c r="W167" s="87"/>
      <c r="X167" s="89" t="str">
        <f t="shared" si="9"/>
        <v/>
      </c>
      <c r="Y167" s="90"/>
      <c r="Z167" s="89" t="str">
        <f t="shared" si="10"/>
        <v/>
      </c>
      <c r="AA167" s="95"/>
      <c r="AB167" s="88" t="str">
        <f t="shared" si="27"/>
        <v/>
      </c>
      <c r="AC167" s="87"/>
      <c r="AD167" s="89" t="str">
        <f t="shared" si="11"/>
        <v/>
      </c>
      <c r="AE167" s="90"/>
      <c r="AF167" s="89" t="str">
        <f t="shared" si="12"/>
        <v/>
      </c>
      <c r="AG167" s="96"/>
      <c r="AH167" s="88" t="str">
        <f t="shared" si="13"/>
        <v/>
      </c>
      <c r="AI167" s="87"/>
      <c r="AJ167" s="89" t="str">
        <f t="shared" si="14"/>
        <v/>
      </c>
      <c r="AK167" s="90"/>
      <c r="AL167" s="89" t="str">
        <f t="shared" si="15"/>
        <v/>
      </c>
      <c r="AM167" s="89"/>
      <c r="AN167" s="93">
        <f t="shared" si="17"/>
        <v>0</v>
      </c>
      <c r="AO167" s="94">
        <f t="shared" si="18"/>
        <v>0</v>
      </c>
      <c r="AP167" s="87"/>
      <c r="AQ167" s="87"/>
      <c r="AR167" s="89" t="str">
        <f t="shared" si="19"/>
        <v/>
      </c>
      <c r="AS167" s="90"/>
      <c r="AT167" s="89" t="str">
        <f t="shared" si="20"/>
        <v/>
      </c>
      <c r="AU167" s="95"/>
      <c r="AV167" s="87"/>
      <c r="AW167" s="87"/>
      <c r="AX167" s="89" t="str">
        <f t="shared" si="21"/>
        <v/>
      </c>
      <c r="AY167" s="90"/>
      <c r="AZ167" s="89" t="str">
        <f t="shared" si="22"/>
        <v/>
      </c>
      <c r="BA167" s="95"/>
      <c r="BB167" s="88" t="str">
        <f t="shared" si="28"/>
        <v/>
      </c>
      <c r="BC167" s="87"/>
      <c r="BD167" s="89" t="str">
        <f t="shared" si="23"/>
        <v/>
      </c>
      <c r="BE167" s="90"/>
      <c r="BF167" s="89" t="str">
        <f t="shared" si="24"/>
        <v/>
      </c>
      <c r="BG167" s="96"/>
    </row>
    <row r="168">
      <c r="A168" s="87"/>
      <c r="B168" s="87"/>
      <c r="C168" s="87"/>
      <c r="D168" s="87"/>
      <c r="E168" s="87"/>
      <c r="F168" s="87"/>
      <c r="G168" s="87"/>
      <c r="H168" s="88" t="str">
        <f t="shared" si="1"/>
        <v/>
      </c>
      <c r="I168" s="87"/>
      <c r="J168" s="89" t="str">
        <f t="shared" si="2"/>
        <v/>
      </c>
      <c r="K168" s="90"/>
      <c r="L168" s="89" t="str">
        <f t="shared" si="3"/>
        <v/>
      </c>
      <c r="M168" s="89"/>
      <c r="N168" s="93">
        <f t="shared" si="5"/>
        <v>0</v>
      </c>
      <c r="O168" s="94">
        <f t="shared" si="6"/>
        <v>0</v>
      </c>
      <c r="P168" s="87"/>
      <c r="Q168" s="87"/>
      <c r="R168" s="89" t="str">
        <f t="shared" si="7"/>
        <v/>
      </c>
      <c r="S168" s="90"/>
      <c r="T168" s="89" t="str">
        <f t="shared" si="8"/>
        <v/>
      </c>
      <c r="U168" s="95"/>
      <c r="V168" s="87"/>
      <c r="W168" s="87"/>
      <c r="X168" s="89" t="str">
        <f t="shared" si="9"/>
        <v/>
      </c>
      <c r="Y168" s="90"/>
      <c r="Z168" s="89" t="str">
        <f t="shared" si="10"/>
        <v/>
      </c>
      <c r="AA168" s="95"/>
      <c r="AB168" s="88" t="str">
        <f t="shared" si="27"/>
        <v/>
      </c>
      <c r="AC168" s="87"/>
      <c r="AD168" s="89" t="str">
        <f t="shared" si="11"/>
        <v/>
      </c>
      <c r="AE168" s="90"/>
      <c r="AF168" s="89" t="str">
        <f t="shared" si="12"/>
        <v/>
      </c>
      <c r="AG168" s="96"/>
      <c r="AH168" s="88" t="str">
        <f t="shared" si="13"/>
        <v/>
      </c>
      <c r="AI168" s="87"/>
      <c r="AJ168" s="89" t="str">
        <f t="shared" si="14"/>
        <v/>
      </c>
      <c r="AK168" s="90"/>
      <c r="AL168" s="89" t="str">
        <f t="shared" si="15"/>
        <v/>
      </c>
      <c r="AM168" s="89"/>
      <c r="AN168" s="93">
        <f t="shared" si="17"/>
        <v>0</v>
      </c>
      <c r="AO168" s="94">
        <f t="shared" si="18"/>
        <v>0</v>
      </c>
      <c r="AP168" s="87"/>
      <c r="AQ168" s="87"/>
      <c r="AR168" s="89" t="str">
        <f t="shared" si="19"/>
        <v/>
      </c>
      <c r="AS168" s="90"/>
      <c r="AT168" s="89" t="str">
        <f t="shared" si="20"/>
        <v/>
      </c>
      <c r="AU168" s="95"/>
      <c r="AV168" s="87"/>
      <c r="AW168" s="87"/>
      <c r="AX168" s="89" t="str">
        <f t="shared" si="21"/>
        <v/>
      </c>
      <c r="AY168" s="90"/>
      <c r="AZ168" s="89" t="str">
        <f t="shared" si="22"/>
        <v/>
      </c>
      <c r="BA168" s="95"/>
      <c r="BB168" s="88" t="str">
        <f t="shared" si="28"/>
        <v/>
      </c>
      <c r="BC168" s="87"/>
      <c r="BD168" s="89" t="str">
        <f t="shared" si="23"/>
        <v/>
      </c>
      <c r="BE168" s="90"/>
      <c r="BF168" s="89" t="str">
        <f t="shared" si="24"/>
        <v/>
      </c>
      <c r="BG168" s="96"/>
    </row>
    <row r="169">
      <c r="A169" s="87"/>
      <c r="B169" s="87"/>
      <c r="C169" s="87"/>
      <c r="D169" s="87"/>
      <c r="E169" s="87"/>
      <c r="F169" s="87"/>
      <c r="G169" s="87"/>
      <c r="H169" s="88" t="str">
        <f t="shared" si="1"/>
        <v/>
      </c>
      <c r="I169" s="87"/>
      <c r="J169" s="89" t="str">
        <f t="shared" si="2"/>
        <v/>
      </c>
      <c r="K169" s="90"/>
      <c r="L169" s="89" t="str">
        <f t="shared" si="3"/>
        <v/>
      </c>
      <c r="M169" s="89"/>
      <c r="N169" s="93">
        <f t="shared" si="5"/>
        <v>0</v>
      </c>
      <c r="O169" s="94">
        <f t="shared" si="6"/>
        <v>0</v>
      </c>
      <c r="P169" s="87"/>
      <c r="Q169" s="87"/>
      <c r="R169" s="89" t="str">
        <f t="shared" si="7"/>
        <v/>
      </c>
      <c r="S169" s="90"/>
      <c r="T169" s="89" t="str">
        <f t="shared" si="8"/>
        <v/>
      </c>
      <c r="U169" s="95"/>
      <c r="V169" s="87"/>
      <c r="W169" s="87"/>
      <c r="X169" s="89" t="str">
        <f t="shared" si="9"/>
        <v/>
      </c>
      <c r="Y169" s="90"/>
      <c r="Z169" s="89" t="str">
        <f t="shared" si="10"/>
        <v/>
      </c>
      <c r="AA169" s="95"/>
      <c r="AB169" s="88" t="str">
        <f t="shared" si="27"/>
        <v/>
      </c>
      <c r="AC169" s="87"/>
      <c r="AD169" s="89" t="str">
        <f t="shared" si="11"/>
        <v/>
      </c>
      <c r="AE169" s="90"/>
      <c r="AF169" s="89" t="str">
        <f t="shared" si="12"/>
        <v/>
      </c>
      <c r="AG169" s="96"/>
      <c r="AH169" s="88" t="str">
        <f t="shared" si="13"/>
        <v/>
      </c>
      <c r="AI169" s="87"/>
      <c r="AJ169" s="89" t="str">
        <f t="shared" si="14"/>
        <v/>
      </c>
      <c r="AK169" s="90"/>
      <c r="AL169" s="89" t="str">
        <f t="shared" si="15"/>
        <v/>
      </c>
      <c r="AM169" s="89"/>
      <c r="AN169" s="93">
        <f t="shared" si="17"/>
        <v>0</v>
      </c>
      <c r="AO169" s="94">
        <f t="shared" si="18"/>
        <v>0</v>
      </c>
      <c r="AP169" s="87"/>
      <c r="AQ169" s="87"/>
      <c r="AR169" s="89" t="str">
        <f t="shared" si="19"/>
        <v/>
      </c>
      <c r="AS169" s="90"/>
      <c r="AT169" s="89" t="str">
        <f t="shared" si="20"/>
        <v/>
      </c>
      <c r="AU169" s="95"/>
      <c r="AV169" s="87"/>
      <c r="AW169" s="87"/>
      <c r="AX169" s="89" t="str">
        <f t="shared" si="21"/>
        <v/>
      </c>
      <c r="AY169" s="90"/>
      <c r="AZ169" s="89" t="str">
        <f t="shared" si="22"/>
        <v/>
      </c>
      <c r="BA169" s="95"/>
      <c r="BB169" s="88" t="str">
        <f t="shared" si="28"/>
        <v/>
      </c>
      <c r="BC169" s="87"/>
      <c r="BD169" s="89" t="str">
        <f t="shared" si="23"/>
        <v/>
      </c>
      <c r="BE169" s="90"/>
      <c r="BF169" s="89" t="str">
        <f t="shared" si="24"/>
        <v/>
      </c>
      <c r="BG169" s="96"/>
    </row>
    <row r="170">
      <c r="A170" s="87"/>
      <c r="B170" s="87"/>
      <c r="C170" s="87"/>
      <c r="D170" s="87"/>
      <c r="E170" s="87"/>
      <c r="F170" s="87"/>
      <c r="G170" s="87"/>
      <c r="H170" s="88" t="str">
        <f t="shared" si="1"/>
        <v/>
      </c>
      <c r="I170" s="87"/>
      <c r="J170" s="89" t="str">
        <f t="shared" si="2"/>
        <v/>
      </c>
      <c r="K170" s="90"/>
      <c r="L170" s="89" t="str">
        <f t="shared" si="3"/>
        <v/>
      </c>
      <c r="M170" s="89"/>
      <c r="N170" s="93">
        <f t="shared" si="5"/>
        <v>0</v>
      </c>
      <c r="O170" s="94">
        <f t="shared" si="6"/>
        <v>0</v>
      </c>
      <c r="P170" s="87"/>
      <c r="Q170" s="87"/>
      <c r="R170" s="89" t="str">
        <f t="shared" si="7"/>
        <v/>
      </c>
      <c r="S170" s="90"/>
      <c r="T170" s="89" t="str">
        <f t="shared" si="8"/>
        <v/>
      </c>
      <c r="U170" s="95"/>
      <c r="V170" s="87"/>
      <c r="W170" s="87"/>
      <c r="X170" s="89" t="str">
        <f t="shared" si="9"/>
        <v/>
      </c>
      <c r="Y170" s="90"/>
      <c r="Z170" s="89" t="str">
        <f t="shared" si="10"/>
        <v/>
      </c>
      <c r="AA170" s="95"/>
      <c r="AB170" s="88" t="str">
        <f t="shared" si="27"/>
        <v/>
      </c>
      <c r="AC170" s="87"/>
      <c r="AD170" s="89" t="str">
        <f t="shared" si="11"/>
        <v/>
      </c>
      <c r="AE170" s="90"/>
      <c r="AF170" s="89" t="str">
        <f t="shared" si="12"/>
        <v/>
      </c>
      <c r="AG170" s="96"/>
      <c r="AH170" s="88" t="str">
        <f t="shared" si="13"/>
        <v/>
      </c>
      <c r="AI170" s="87"/>
      <c r="AJ170" s="89" t="str">
        <f t="shared" si="14"/>
        <v/>
      </c>
      <c r="AK170" s="90"/>
      <c r="AL170" s="89" t="str">
        <f t="shared" si="15"/>
        <v/>
      </c>
      <c r="AM170" s="89"/>
      <c r="AN170" s="93">
        <f t="shared" si="17"/>
        <v>0</v>
      </c>
      <c r="AO170" s="94">
        <f t="shared" si="18"/>
        <v>0</v>
      </c>
      <c r="AP170" s="87"/>
      <c r="AQ170" s="87"/>
      <c r="AR170" s="89" t="str">
        <f t="shared" si="19"/>
        <v/>
      </c>
      <c r="AS170" s="90"/>
      <c r="AT170" s="89" t="str">
        <f t="shared" si="20"/>
        <v/>
      </c>
      <c r="AU170" s="95"/>
      <c r="AV170" s="87"/>
      <c r="AW170" s="87"/>
      <c r="AX170" s="89" t="str">
        <f t="shared" si="21"/>
        <v/>
      </c>
      <c r="AY170" s="90"/>
      <c r="AZ170" s="89" t="str">
        <f t="shared" si="22"/>
        <v/>
      </c>
      <c r="BA170" s="95"/>
      <c r="BB170" s="88" t="str">
        <f t="shared" si="28"/>
        <v/>
      </c>
      <c r="BC170" s="87"/>
      <c r="BD170" s="89" t="str">
        <f t="shared" si="23"/>
        <v/>
      </c>
      <c r="BE170" s="90"/>
      <c r="BF170" s="89" t="str">
        <f t="shared" si="24"/>
        <v/>
      </c>
      <c r="BG170" s="96"/>
    </row>
    <row r="171">
      <c r="A171" s="87"/>
      <c r="B171" s="87"/>
      <c r="C171" s="87"/>
      <c r="D171" s="87"/>
      <c r="E171" s="87"/>
      <c r="F171" s="87"/>
      <c r="G171" s="87"/>
      <c r="H171" s="88" t="str">
        <f t="shared" si="1"/>
        <v/>
      </c>
      <c r="I171" s="87"/>
      <c r="J171" s="89" t="str">
        <f t="shared" si="2"/>
        <v/>
      </c>
      <c r="K171" s="90"/>
      <c r="L171" s="89" t="str">
        <f t="shared" si="3"/>
        <v/>
      </c>
      <c r="M171" s="89"/>
      <c r="N171" s="93">
        <f t="shared" si="5"/>
        <v>0</v>
      </c>
      <c r="O171" s="94">
        <f t="shared" si="6"/>
        <v>0</v>
      </c>
      <c r="P171" s="87"/>
      <c r="Q171" s="87"/>
      <c r="R171" s="89" t="str">
        <f t="shared" si="7"/>
        <v/>
      </c>
      <c r="S171" s="90"/>
      <c r="T171" s="89" t="str">
        <f t="shared" si="8"/>
        <v/>
      </c>
      <c r="U171" s="95"/>
      <c r="V171" s="87"/>
      <c r="W171" s="87"/>
      <c r="X171" s="89" t="str">
        <f t="shared" si="9"/>
        <v/>
      </c>
      <c r="Y171" s="90"/>
      <c r="Z171" s="89" t="str">
        <f t="shared" si="10"/>
        <v/>
      </c>
      <c r="AA171" s="95"/>
      <c r="AB171" s="88" t="str">
        <f t="shared" si="27"/>
        <v/>
      </c>
      <c r="AC171" s="87"/>
      <c r="AD171" s="89" t="str">
        <f t="shared" si="11"/>
        <v/>
      </c>
      <c r="AE171" s="90"/>
      <c r="AF171" s="89" t="str">
        <f t="shared" si="12"/>
        <v/>
      </c>
      <c r="AG171" s="96"/>
      <c r="AH171" s="88" t="str">
        <f t="shared" si="13"/>
        <v/>
      </c>
      <c r="AI171" s="87"/>
      <c r="AJ171" s="89" t="str">
        <f t="shared" si="14"/>
        <v/>
      </c>
      <c r="AK171" s="90"/>
      <c r="AL171" s="89" t="str">
        <f t="shared" si="15"/>
        <v/>
      </c>
      <c r="AM171" s="89"/>
      <c r="AN171" s="93">
        <f t="shared" si="17"/>
        <v>0</v>
      </c>
      <c r="AO171" s="94">
        <f t="shared" si="18"/>
        <v>0</v>
      </c>
      <c r="AP171" s="87"/>
      <c r="AQ171" s="87"/>
      <c r="AR171" s="89" t="str">
        <f t="shared" si="19"/>
        <v/>
      </c>
      <c r="AS171" s="90"/>
      <c r="AT171" s="89" t="str">
        <f t="shared" si="20"/>
        <v/>
      </c>
      <c r="AU171" s="95"/>
      <c r="AV171" s="87"/>
      <c r="AW171" s="87"/>
      <c r="AX171" s="89" t="str">
        <f t="shared" si="21"/>
        <v/>
      </c>
      <c r="AY171" s="90"/>
      <c r="AZ171" s="89" t="str">
        <f t="shared" si="22"/>
        <v/>
      </c>
      <c r="BA171" s="95"/>
      <c r="BB171" s="88" t="str">
        <f t="shared" si="28"/>
        <v/>
      </c>
      <c r="BC171" s="87"/>
      <c r="BD171" s="89" t="str">
        <f t="shared" si="23"/>
        <v/>
      </c>
      <c r="BE171" s="90"/>
      <c r="BF171" s="89" t="str">
        <f t="shared" si="24"/>
        <v/>
      </c>
      <c r="BG171" s="96"/>
    </row>
    <row r="172">
      <c r="A172" s="87"/>
      <c r="B172" s="87"/>
      <c r="C172" s="87"/>
      <c r="D172" s="87"/>
      <c r="E172" s="87"/>
      <c r="F172" s="87"/>
      <c r="G172" s="87"/>
      <c r="H172" s="88" t="str">
        <f t="shared" si="1"/>
        <v/>
      </c>
      <c r="I172" s="87"/>
      <c r="J172" s="89" t="str">
        <f t="shared" si="2"/>
        <v/>
      </c>
      <c r="K172" s="90"/>
      <c r="L172" s="89" t="str">
        <f t="shared" si="3"/>
        <v/>
      </c>
      <c r="M172" s="89"/>
      <c r="N172" s="93">
        <f t="shared" si="5"/>
        <v>0</v>
      </c>
      <c r="O172" s="94">
        <f t="shared" si="6"/>
        <v>0</v>
      </c>
      <c r="P172" s="87"/>
      <c r="Q172" s="87"/>
      <c r="R172" s="89" t="str">
        <f t="shared" si="7"/>
        <v/>
      </c>
      <c r="S172" s="90"/>
      <c r="T172" s="89" t="str">
        <f t="shared" si="8"/>
        <v/>
      </c>
      <c r="U172" s="95"/>
      <c r="V172" s="87"/>
      <c r="W172" s="87"/>
      <c r="X172" s="89" t="str">
        <f t="shared" si="9"/>
        <v/>
      </c>
      <c r="Y172" s="90"/>
      <c r="Z172" s="89" t="str">
        <f t="shared" si="10"/>
        <v/>
      </c>
      <c r="AA172" s="95"/>
      <c r="AB172" s="88" t="str">
        <f t="shared" si="27"/>
        <v/>
      </c>
      <c r="AC172" s="87"/>
      <c r="AD172" s="89" t="str">
        <f t="shared" si="11"/>
        <v/>
      </c>
      <c r="AE172" s="90"/>
      <c r="AF172" s="89" t="str">
        <f t="shared" si="12"/>
        <v/>
      </c>
      <c r="AG172" s="96"/>
      <c r="AH172" s="88" t="str">
        <f t="shared" si="13"/>
        <v/>
      </c>
      <c r="AI172" s="87"/>
      <c r="AJ172" s="89" t="str">
        <f t="shared" si="14"/>
        <v/>
      </c>
      <c r="AK172" s="90"/>
      <c r="AL172" s="89" t="str">
        <f t="shared" si="15"/>
        <v/>
      </c>
      <c r="AM172" s="89"/>
      <c r="AN172" s="93">
        <f t="shared" si="17"/>
        <v>0</v>
      </c>
      <c r="AO172" s="94">
        <f t="shared" si="18"/>
        <v>0</v>
      </c>
      <c r="AP172" s="87"/>
      <c r="AQ172" s="87"/>
      <c r="AR172" s="89" t="str">
        <f t="shared" si="19"/>
        <v/>
      </c>
      <c r="AS172" s="90"/>
      <c r="AT172" s="89" t="str">
        <f t="shared" si="20"/>
        <v/>
      </c>
      <c r="AU172" s="95"/>
      <c r="AV172" s="87"/>
      <c r="AW172" s="87"/>
      <c r="AX172" s="89" t="str">
        <f t="shared" si="21"/>
        <v/>
      </c>
      <c r="AY172" s="90"/>
      <c r="AZ172" s="89" t="str">
        <f t="shared" si="22"/>
        <v/>
      </c>
      <c r="BA172" s="95"/>
      <c r="BB172" s="88" t="str">
        <f t="shared" si="28"/>
        <v/>
      </c>
      <c r="BC172" s="87"/>
      <c r="BD172" s="89" t="str">
        <f t="shared" si="23"/>
        <v/>
      </c>
      <c r="BE172" s="90"/>
      <c r="BF172" s="89" t="str">
        <f t="shared" si="24"/>
        <v/>
      </c>
      <c r="BG172" s="96"/>
    </row>
    <row r="173">
      <c r="A173" s="87"/>
      <c r="B173" s="87"/>
      <c r="C173" s="87"/>
      <c r="D173" s="87"/>
      <c r="E173" s="87"/>
      <c r="F173" s="87"/>
      <c r="G173" s="87"/>
      <c r="H173" s="88" t="str">
        <f t="shared" si="1"/>
        <v/>
      </c>
      <c r="I173" s="87"/>
      <c r="J173" s="89" t="str">
        <f t="shared" si="2"/>
        <v/>
      </c>
      <c r="K173" s="90"/>
      <c r="L173" s="89" t="str">
        <f t="shared" si="3"/>
        <v/>
      </c>
      <c r="M173" s="89"/>
      <c r="N173" s="93">
        <f t="shared" si="5"/>
        <v>0</v>
      </c>
      <c r="O173" s="94">
        <f t="shared" si="6"/>
        <v>0</v>
      </c>
      <c r="P173" s="87"/>
      <c r="Q173" s="87"/>
      <c r="R173" s="89" t="str">
        <f t="shared" si="7"/>
        <v/>
      </c>
      <c r="S173" s="90"/>
      <c r="T173" s="89" t="str">
        <f t="shared" si="8"/>
        <v/>
      </c>
      <c r="U173" s="95"/>
      <c r="V173" s="87"/>
      <c r="W173" s="87"/>
      <c r="X173" s="89" t="str">
        <f t="shared" si="9"/>
        <v/>
      </c>
      <c r="Y173" s="90"/>
      <c r="Z173" s="89" t="str">
        <f t="shared" si="10"/>
        <v/>
      </c>
      <c r="AA173" s="95"/>
      <c r="AB173" s="88" t="str">
        <f t="shared" si="27"/>
        <v/>
      </c>
      <c r="AC173" s="87"/>
      <c r="AD173" s="89" t="str">
        <f t="shared" si="11"/>
        <v/>
      </c>
      <c r="AE173" s="90"/>
      <c r="AF173" s="89" t="str">
        <f t="shared" si="12"/>
        <v/>
      </c>
      <c r="AG173" s="96"/>
      <c r="AH173" s="88" t="str">
        <f t="shared" si="13"/>
        <v/>
      </c>
      <c r="AI173" s="87"/>
      <c r="AJ173" s="89" t="str">
        <f t="shared" si="14"/>
        <v/>
      </c>
      <c r="AK173" s="90"/>
      <c r="AL173" s="89" t="str">
        <f t="shared" si="15"/>
        <v/>
      </c>
      <c r="AM173" s="89"/>
      <c r="AN173" s="93">
        <f t="shared" si="17"/>
        <v>0</v>
      </c>
      <c r="AO173" s="94">
        <f t="shared" si="18"/>
        <v>0</v>
      </c>
      <c r="AP173" s="87"/>
      <c r="AQ173" s="87"/>
      <c r="AR173" s="89" t="str">
        <f t="shared" si="19"/>
        <v/>
      </c>
      <c r="AS173" s="90"/>
      <c r="AT173" s="89" t="str">
        <f t="shared" si="20"/>
        <v/>
      </c>
      <c r="AU173" s="95"/>
      <c r="AV173" s="87"/>
      <c r="AW173" s="87"/>
      <c r="AX173" s="89" t="str">
        <f t="shared" si="21"/>
        <v/>
      </c>
      <c r="AY173" s="90"/>
      <c r="AZ173" s="89" t="str">
        <f t="shared" si="22"/>
        <v/>
      </c>
      <c r="BA173" s="95"/>
      <c r="BB173" s="88" t="str">
        <f t="shared" si="28"/>
        <v/>
      </c>
      <c r="BC173" s="87"/>
      <c r="BD173" s="89" t="str">
        <f t="shared" si="23"/>
        <v/>
      </c>
      <c r="BE173" s="90"/>
      <c r="BF173" s="89" t="str">
        <f t="shared" si="24"/>
        <v/>
      </c>
      <c r="BG173" s="96"/>
    </row>
    <row r="174">
      <c r="A174" s="87"/>
      <c r="B174" s="87"/>
      <c r="C174" s="87"/>
      <c r="D174" s="87"/>
      <c r="E174" s="87"/>
      <c r="F174" s="87"/>
      <c r="G174" s="87"/>
      <c r="H174" s="88" t="str">
        <f t="shared" si="1"/>
        <v/>
      </c>
      <c r="I174" s="87"/>
      <c r="J174" s="89" t="str">
        <f t="shared" si="2"/>
        <v/>
      </c>
      <c r="K174" s="90"/>
      <c r="L174" s="89" t="str">
        <f t="shared" si="3"/>
        <v/>
      </c>
      <c r="M174" s="89"/>
      <c r="N174" s="93">
        <f t="shared" si="5"/>
        <v>0</v>
      </c>
      <c r="O174" s="94">
        <f t="shared" si="6"/>
        <v>0</v>
      </c>
      <c r="P174" s="87"/>
      <c r="Q174" s="87"/>
      <c r="R174" s="89" t="str">
        <f t="shared" si="7"/>
        <v/>
      </c>
      <c r="S174" s="90"/>
      <c r="T174" s="89" t="str">
        <f t="shared" si="8"/>
        <v/>
      </c>
      <c r="U174" s="95"/>
      <c r="V174" s="87"/>
      <c r="W174" s="87"/>
      <c r="X174" s="89" t="str">
        <f t="shared" si="9"/>
        <v/>
      </c>
      <c r="Y174" s="90"/>
      <c r="Z174" s="89" t="str">
        <f t="shared" si="10"/>
        <v/>
      </c>
      <c r="AA174" s="95"/>
      <c r="AB174" s="88" t="str">
        <f t="shared" si="27"/>
        <v/>
      </c>
      <c r="AC174" s="87"/>
      <c r="AD174" s="89" t="str">
        <f t="shared" si="11"/>
        <v/>
      </c>
      <c r="AE174" s="90"/>
      <c r="AF174" s="89" t="str">
        <f t="shared" si="12"/>
        <v/>
      </c>
      <c r="AG174" s="96"/>
      <c r="AH174" s="88" t="str">
        <f t="shared" si="13"/>
        <v/>
      </c>
      <c r="AI174" s="87"/>
      <c r="AJ174" s="89" t="str">
        <f t="shared" si="14"/>
        <v/>
      </c>
      <c r="AK174" s="90"/>
      <c r="AL174" s="89" t="str">
        <f t="shared" si="15"/>
        <v/>
      </c>
      <c r="AM174" s="89"/>
      <c r="AN174" s="93">
        <f t="shared" si="17"/>
        <v>0</v>
      </c>
      <c r="AO174" s="94">
        <f t="shared" si="18"/>
        <v>0</v>
      </c>
      <c r="AP174" s="87"/>
      <c r="AQ174" s="87"/>
      <c r="AR174" s="89" t="str">
        <f t="shared" si="19"/>
        <v/>
      </c>
      <c r="AS174" s="90"/>
      <c r="AT174" s="89" t="str">
        <f t="shared" si="20"/>
        <v/>
      </c>
      <c r="AU174" s="95"/>
      <c r="AV174" s="87"/>
      <c r="AW174" s="87"/>
      <c r="AX174" s="89" t="str">
        <f t="shared" si="21"/>
        <v/>
      </c>
      <c r="AY174" s="90"/>
      <c r="AZ174" s="89" t="str">
        <f t="shared" si="22"/>
        <v/>
      </c>
      <c r="BA174" s="95"/>
      <c r="BB174" s="88" t="str">
        <f t="shared" si="28"/>
        <v/>
      </c>
      <c r="BC174" s="87"/>
      <c r="BD174" s="89" t="str">
        <f t="shared" si="23"/>
        <v/>
      </c>
      <c r="BE174" s="90"/>
      <c r="BF174" s="89" t="str">
        <f t="shared" si="24"/>
        <v/>
      </c>
      <c r="BG174" s="96"/>
    </row>
    <row r="175">
      <c r="A175" s="87"/>
      <c r="B175" s="87"/>
      <c r="C175" s="87"/>
      <c r="D175" s="87"/>
      <c r="E175" s="87"/>
      <c r="F175" s="87"/>
      <c r="G175" s="87"/>
      <c r="H175" s="88" t="str">
        <f t="shared" si="1"/>
        <v/>
      </c>
      <c r="I175" s="87"/>
      <c r="J175" s="89" t="str">
        <f t="shared" si="2"/>
        <v/>
      </c>
      <c r="K175" s="90"/>
      <c r="L175" s="89" t="str">
        <f t="shared" si="3"/>
        <v/>
      </c>
      <c r="M175" s="89"/>
      <c r="N175" s="93">
        <f t="shared" si="5"/>
        <v>0</v>
      </c>
      <c r="O175" s="94">
        <f t="shared" si="6"/>
        <v>0</v>
      </c>
      <c r="P175" s="87"/>
      <c r="Q175" s="87"/>
      <c r="R175" s="89" t="str">
        <f t="shared" si="7"/>
        <v/>
      </c>
      <c r="S175" s="90"/>
      <c r="T175" s="89" t="str">
        <f t="shared" si="8"/>
        <v/>
      </c>
      <c r="U175" s="95"/>
      <c r="V175" s="87"/>
      <c r="W175" s="87"/>
      <c r="X175" s="89" t="str">
        <f t="shared" si="9"/>
        <v/>
      </c>
      <c r="Y175" s="90"/>
      <c r="Z175" s="89" t="str">
        <f t="shared" si="10"/>
        <v/>
      </c>
      <c r="AA175" s="95"/>
      <c r="AB175" s="88" t="str">
        <f t="shared" si="27"/>
        <v/>
      </c>
      <c r="AC175" s="87"/>
      <c r="AD175" s="89" t="str">
        <f t="shared" si="11"/>
        <v/>
      </c>
      <c r="AE175" s="90"/>
      <c r="AF175" s="89" t="str">
        <f t="shared" si="12"/>
        <v/>
      </c>
      <c r="AG175" s="96"/>
      <c r="AH175" s="88" t="str">
        <f t="shared" si="13"/>
        <v/>
      </c>
      <c r="AI175" s="87"/>
      <c r="AJ175" s="89" t="str">
        <f t="shared" si="14"/>
        <v/>
      </c>
      <c r="AK175" s="90"/>
      <c r="AL175" s="89" t="str">
        <f t="shared" si="15"/>
        <v/>
      </c>
      <c r="AM175" s="89"/>
      <c r="AN175" s="93">
        <f t="shared" si="17"/>
        <v>0</v>
      </c>
      <c r="AO175" s="94">
        <f t="shared" si="18"/>
        <v>0</v>
      </c>
      <c r="AP175" s="87"/>
      <c r="AQ175" s="87"/>
      <c r="AR175" s="89" t="str">
        <f t="shared" si="19"/>
        <v/>
      </c>
      <c r="AS175" s="90"/>
      <c r="AT175" s="89" t="str">
        <f t="shared" si="20"/>
        <v/>
      </c>
      <c r="AU175" s="95"/>
      <c r="AV175" s="87"/>
      <c r="AW175" s="87"/>
      <c r="AX175" s="89" t="str">
        <f t="shared" si="21"/>
        <v/>
      </c>
      <c r="AY175" s="90"/>
      <c r="AZ175" s="89" t="str">
        <f t="shared" si="22"/>
        <v/>
      </c>
      <c r="BA175" s="95"/>
      <c r="BB175" s="88" t="str">
        <f t="shared" si="28"/>
        <v/>
      </c>
      <c r="BC175" s="87"/>
      <c r="BD175" s="89" t="str">
        <f t="shared" si="23"/>
        <v/>
      </c>
      <c r="BE175" s="90"/>
      <c r="BF175" s="89" t="str">
        <f t="shared" si="24"/>
        <v/>
      </c>
      <c r="BG175" s="96"/>
    </row>
    <row r="176">
      <c r="A176" s="87"/>
      <c r="B176" s="87"/>
      <c r="C176" s="87"/>
      <c r="D176" s="87"/>
      <c r="E176" s="87"/>
      <c r="F176" s="87"/>
      <c r="G176" s="87"/>
      <c r="H176" s="88" t="str">
        <f t="shared" si="1"/>
        <v/>
      </c>
      <c r="I176" s="87"/>
      <c r="J176" s="89" t="str">
        <f t="shared" si="2"/>
        <v/>
      </c>
      <c r="K176" s="90"/>
      <c r="L176" s="89" t="str">
        <f t="shared" si="3"/>
        <v/>
      </c>
      <c r="M176" s="89"/>
      <c r="N176" s="93">
        <f t="shared" si="5"/>
        <v>0</v>
      </c>
      <c r="O176" s="94">
        <f t="shared" si="6"/>
        <v>0</v>
      </c>
      <c r="P176" s="87"/>
      <c r="Q176" s="87"/>
      <c r="R176" s="89" t="str">
        <f t="shared" si="7"/>
        <v/>
      </c>
      <c r="S176" s="90"/>
      <c r="T176" s="89" t="str">
        <f t="shared" si="8"/>
        <v/>
      </c>
      <c r="U176" s="95"/>
      <c r="V176" s="87"/>
      <c r="W176" s="87"/>
      <c r="X176" s="89" t="str">
        <f t="shared" si="9"/>
        <v/>
      </c>
      <c r="Y176" s="90"/>
      <c r="Z176" s="89" t="str">
        <f t="shared" si="10"/>
        <v/>
      </c>
      <c r="AA176" s="95"/>
      <c r="AB176" s="88" t="str">
        <f t="shared" si="27"/>
        <v/>
      </c>
      <c r="AC176" s="87"/>
      <c r="AD176" s="89" t="str">
        <f t="shared" si="11"/>
        <v/>
      </c>
      <c r="AE176" s="90"/>
      <c r="AF176" s="89" t="str">
        <f t="shared" si="12"/>
        <v/>
      </c>
      <c r="AG176" s="96"/>
      <c r="AH176" s="88" t="str">
        <f t="shared" si="13"/>
        <v/>
      </c>
      <c r="AI176" s="87"/>
      <c r="AJ176" s="89" t="str">
        <f t="shared" si="14"/>
        <v/>
      </c>
      <c r="AK176" s="90"/>
      <c r="AL176" s="89" t="str">
        <f t="shared" si="15"/>
        <v/>
      </c>
      <c r="AM176" s="89"/>
      <c r="AN176" s="93">
        <f t="shared" si="17"/>
        <v>0</v>
      </c>
      <c r="AO176" s="94">
        <f t="shared" si="18"/>
        <v>0</v>
      </c>
      <c r="AP176" s="87"/>
      <c r="AQ176" s="87"/>
      <c r="AR176" s="89" t="str">
        <f t="shared" si="19"/>
        <v/>
      </c>
      <c r="AS176" s="90"/>
      <c r="AT176" s="89" t="str">
        <f t="shared" si="20"/>
        <v/>
      </c>
      <c r="AU176" s="95"/>
      <c r="AV176" s="87"/>
      <c r="AW176" s="87"/>
      <c r="AX176" s="89" t="str">
        <f t="shared" si="21"/>
        <v/>
      </c>
      <c r="AY176" s="90"/>
      <c r="AZ176" s="89" t="str">
        <f t="shared" si="22"/>
        <v/>
      </c>
      <c r="BA176" s="95"/>
      <c r="BB176" s="88" t="str">
        <f t="shared" si="28"/>
        <v/>
      </c>
      <c r="BC176" s="87"/>
      <c r="BD176" s="89" t="str">
        <f t="shared" si="23"/>
        <v/>
      </c>
      <c r="BE176" s="90"/>
      <c r="BF176" s="89" t="str">
        <f t="shared" si="24"/>
        <v/>
      </c>
      <c r="BG176" s="96"/>
    </row>
    <row r="177">
      <c r="A177" s="87"/>
      <c r="B177" s="87"/>
      <c r="C177" s="87"/>
      <c r="D177" s="87"/>
      <c r="E177" s="87"/>
      <c r="F177" s="87"/>
      <c r="G177" s="87"/>
      <c r="H177" s="88" t="str">
        <f t="shared" si="1"/>
        <v/>
      </c>
      <c r="I177" s="87"/>
      <c r="J177" s="89" t="str">
        <f t="shared" si="2"/>
        <v/>
      </c>
      <c r="K177" s="90"/>
      <c r="L177" s="89" t="str">
        <f t="shared" si="3"/>
        <v/>
      </c>
      <c r="M177" s="89"/>
      <c r="N177" s="93">
        <f t="shared" si="5"/>
        <v>0</v>
      </c>
      <c r="O177" s="94">
        <f t="shared" si="6"/>
        <v>0</v>
      </c>
      <c r="P177" s="87"/>
      <c r="Q177" s="87"/>
      <c r="R177" s="89" t="str">
        <f t="shared" si="7"/>
        <v/>
      </c>
      <c r="S177" s="90"/>
      <c r="T177" s="89" t="str">
        <f t="shared" si="8"/>
        <v/>
      </c>
      <c r="U177" s="95"/>
      <c r="V177" s="87"/>
      <c r="W177" s="87"/>
      <c r="X177" s="89" t="str">
        <f t="shared" si="9"/>
        <v/>
      </c>
      <c r="Y177" s="90"/>
      <c r="Z177" s="89" t="str">
        <f t="shared" si="10"/>
        <v/>
      </c>
      <c r="AA177" s="95"/>
      <c r="AB177" s="88" t="str">
        <f t="shared" si="27"/>
        <v/>
      </c>
      <c r="AC177" s="87"/>
      <c r="AD177" s="89" t="str">
        <f t="shared" si="11"/>
        <v/>
      </c>
      <c r="AE177" s="90"/>
      <c r="AF177" s="89" t="str">
        <f t="shared" si="12"/>
        <v/>
      </c>
      <c r="AG177" s="96"/>
      <c r="AH177" s="88" t="str">
        <f t="shared" si="13"/>
        <v/>
      </c>
      <c r="AI177" s="87"/>
      <c r="AJ177" s="89" t="str">
        <f t="shared" si="14"/>
        <v/>
      </c>
      <c r="AK177" s="90"/>
      <c r="AL177" s="89" t="str">
        <f t="shared" si="15"/>
        <v/>
      </c>
      <c r="AM177" s="89"/>
      <c r="AN177" s="93">
        <f t="shared" si="17"/>
        <v>0</v>
      </c>
      <c r="AO177" s="94">
        <f t="shared" si="18"/>
        <v>0</v>
      </c>
      <c r="AP177" s="87"/>
      <c r="AQ177" s="87"/>
      <c r="AR177" s="89" t="str">
        <f t="shared" si="19"/>
        <v/>
      </c>
      <c r="AS177" s="90"/>
      <c r="AT177" s="89" t="str">
        <f t="shared" si="20"/>
        <v/>
      </c>
      <c r="AU177" s="95"/>
      <c r="AV177" s="87"/>
      <c r="AW177" s="87"/>
      <c r="AX177" s="89" t="str">
        <f t="shared" si="21"/>
        <v/>
      </c>
      <c r="AY177" s="90"/>
      <c r="AZ177" s="89" t="str">
        <f t="shared" si="22"/>
        <v/>
      </c>
      <c r="BA177" s="95"/>
      <c r="BB177" s="88" t="str">
        <f t="shared" si="28"/>
        <v/>
      </c>
      <c r="BC177" s="87"/>
      <c r="BD177" s="89" t="str">
        <f t="shared" si="23"/>
        <v/>
      </c>
      <c r="BE177" s="90"/>
      <c r="BF177" s="89" t="str">
        <f t="shared" si="24"/>
        <v/>
      </c>
      <c r="BG177" s="96"/>
    </row>
    <row r="178">
      <c r="A178" s="87"/>
      <c r="B178" s="87"/>
      <c r="C178" s="87"/>
      <c r="D178" s="87"/>
      <c r="E178" s="87"/>
      <c r="F178" s="87"/>
      <c r="G178" s="87"/>
      <c r="H178" s="88" t="str">
        <f t="shared" si="1"/>
        <v/>
      </c>
      <c r="I178" s="87"/>
      <c r="J178" s="89" t="str">
        <f t="shared" si="2"/>
        <v/>
      </c>
      <c r="K178" s="90"/>
      <c r="L178" s="89" t="str">
        <f t="shared" si="3"/>
        <v/>
      </c>
      <c r="M178" s="89"/>
      <c r="N178" s="93">
        <f t="shared" si="5"/>
        <v>0</v>
      </c>
      <c r="O178" s="94">
        <f t="shared" si="6"/>
        <v>0</v>
      </c>
      <c r="P178" s="87"/>
      <c r="Q178" s="87"/>
      <c r="R178" s="89" t="str">
        <f t="shared" si="7"/>
        <v/>
      </c>
      <c r="S178" s="90"/>
      <c r="T178" s="89" t="str">
        <f t="shared" si="8"/>
        <v/>
      </c>
      <c r="U178" s="95"/>
      <c r="V178" s="87"/>
      <c r="W178" s="87"/>
      <c r="X178" s="89" t="str">
        <f t="shared" si="9"/>
        <v/>
      </c>
      <c r="Y178" s="90"/>
      <c r="Z178" s="89" t="str">
        <f t="shared" si="10"/>
        <v/>
      </c>
      <c r="AA178" s="95"/>
      <c r="AB178" s="88" t="str">
        <f t="shared" si="27"/>
        <v/>
      </c>
      <c r="AC178" s="87"/>
      <c r="AD178" s="89" t="str">
        <f t="shared" si="11"/>
        <v/>
      </c>
      <c r="AE178" s="90"/>
      <c r="AF178" s="89" t="str">
        <f t="shared" si="12"/>
        <v/>
      </c>
      <c r="AG178" s="96"/>
      <c r="AH178" s="88" t="str">
        <f t="shared" si="13"/>
        <v/>
      </c>
      <c r="AI178" s="87"/>
      <c r="AJ178" s="89" t="str">
        <f t="shared" si="14"/>
        <v/>
      </c>
      <c r="AK178" s="90"/>
      <c r="AL178" s="89" t="str">
        <f t="shared" si="15"/>
        <v/>
      </c>
      <c r="AM178" s="89"/>
      <c r="AN178" s="93">
        <f t="shared" si="17"/>
        <v>0</v>
      </c>
      <c r="AO178" s="94">
        <f t="shared" si="18"/>
        <v>0</v>
      </c>
      <c r="AP178" s="87"/>
      <c r="AQ178" s="87"/>
      <c r="AR178" s="89" t="str">
        <f t="shared" si="19"/>
        <v/>
      </c>
      <c r="AS178" s="90"/>
      <c r="AT178" s="89" t="str">
        <f t="shared" si="20"/>
        <v/>
      </c>
      <c r="AU178" s="95"/>
      <c r="AV178" s="87"/>
      <c r="AW178" s="87"/>
      <c r="AX178" s="89" t="str">
        <f t="shared" si="21"/>
        <v/>
      </c>
      <c r="AY178" s="90"/>
      <c r="AZ178" s="89" t="str">
        <f t="shared" si="22"/>
        <v/>
      </c>
      <c r="BA178" s="95"/>
      <c r="BB178" s="88" t="str">
        <f t="shared" si="28"/>
        <v/>
      </c>
      <c r="BC178" s="87"/>
      <c r="BD178" s="89" t="str">
        <f t="shared" si="23"/>
        <v/>
      </c>
      <c r="BE178" s="90"/>
      <c r="BF178" s="89" t="str">
        <f t="shared" si="24"/>
        <v/>
      </c>
      <c r="BG178" s="96"/>
    </row>
    <row r="179">
      <c r="A179" s="87"/>
      <c r="B179" s="87"/>
      <c r="C179" s="87"/>
      <c r="D179" s="87"/>
      <c r="E179" s="87"/>
      <c r="F179" s="87"/>
      <c r="G179" s="87"/>
      <c r="H179" s="88" t="str">
        <f t="shared" si="1"/>
        <v/>
      </c>
      <c r="I179" s="87"/>
      <c r="J179" s="89" t="str">
        <f t="shared" si="2"/>
        <v/>
      </c>
      <c r="K179" s="90"/>
      <c r="L179" s="89" t="str">
        <f t="shared" si="3"/>
        <v/>
      </c>
      <c r="M179" s="89"/>
      <c r="N179" s="93">
        <f t="shared" si="5"/>
        <v>0</v>
      </c>
      <c r="O179" s="94">
        <f t="shared" si="6"/>
        <v>0</v>
      </c>
      <c r="P179" s="87"/>
      <c r="Q179" s="87"/>
      <c r="R179" s="89" t="str">
        <f t="shared" si="7"/>
        <v/>
      </c>
      <c r="S179" s="90"/>
      <c r="T179" s="89" t="str">
        <f t="shared" si="8"/>
        <v/>
      </c>
      <c r="U179" s="95"/>
      <c r="V179" s="87"/>
      <c r="W179" s="87"/>
      <c r="X179" s="89" t="str">
        <f t="shared" si="9"/>
        <v/>
      </c>
      <c r="Y179" s="90"/>
      <c r="Z179" s="89" t="str">
        <f t="shared" si="10"/>
        <v/>
      </c>
      <c r="AA179" s="95"/>
      <c r="AB179" s="88" t="str">
        <f t="shared" si="27"/>
        <v/>
      </c>
      <c r="AC179" s="87"/>
      <c r="AD179" s="89" t="str">
        <f t="shared" si="11"/>
        <v/>
      </c>
      <c r="AE179" s="90"/>
      <c r="AF179" s="89" t="str">
        <f t="shared" si="12"/>
        <v/>
      </c>
      <c r="AG179" s="96"/>
      <c r="AH179" s="88" t="str">
        <f t="shared" si="13"/>
        <v/>
      </c>
      <c r="AI179" s="87"/>
      <c r="AJ179" s="89" t="str">
        <f t="shared" si="14"/>
        <v/>
      </c>
      <c r="AK179" s="90"/>
      <c r="AL179" s="89" t="str">
        <f t="shared" si="15"/>
        <v/>
      </c>
      <c r="AM179" s="89"/>
      <c r="AN179" s="93">
        <f t="shared" si="17"/>
        <v>0</v>
      </c>
      <c r="AO179" s="94">
        <f t="shared" si="18"/>
        <v>0</v>
      </c>
      <c r="AP179" s="87"/>
      <c r="AQ179" s="87"/>
      <c r="AR179" s="89" t="str">
        <f t="shared" si="19"/>
        <v/>
      </c>
      <c r="AS179" s="90"/>
      <c r="AT179" s="89" t="str">
        <f t="shared" si="20"/>
        <v/>
      </c>
      <c r="AU179" s="95"/>
      <c r="AV179" s="87"/>
      <c r="AW179" s="87"/>
      <c r="AX179" s="89" t="str">
        <f t="shared" si="21"/>
        <v/>
      </c>
      <c r="AY179" s="90"/>
      <c r="AZ179" s="89" t="str">
        <f t="shared" si="22"/>
        <v/>
      </c>
      <c r="BA179" s="95"/>
      <c r="BB179" s="88" t="str">
        <f t="shared" si="28"/>
        <v/>
      </c>
      <c r="BC179" s="87"/>
      <c r="BD179" s="89" t="str">
        <f t="shared" si="23"/>
        <v/>
      </c>
      <c r="BE179" s="90"/>
      <c r="BF179" s="89" t="str">
        <f t="shared" si="24"/>
        <v/>
      </c>
      <c r="BG179" s="96"/>
    </row>
    <row r="180">
      <c r="A180" s="87"/>
      <c r="B180" s="87"/>
      <c r="C180" s="87"/>
      <c r="D180" s="87"/>
      <c r="E180" s="87"/>
      <c r="F180" s="87"/>
      <c r="G180" s="87"/>
      <c r="H180" s="88" t="str">
        <f t="shared" si="1"/>
        <v/>
      </c>
      <c r="I180" s="87"/>
      <c r="J180" s="89" t="str">
        <f t="shared" si="2"/>
        <v/>
      </c>
      <c r="K180" s="90"/>
      <c r="L180" s="89" t="str">
        <f t="shared" si="3"/>
        <v/>
      </c>
      <c r="M180" s="89"/>
      <c r="N180" s="93">
        <f t="shared" si="5"/>
        <v>0</v>
      </c>
      <c r="O180" s="94">
        <f t="shared" si="6"/>
        <v>0</v>
      </c>
      <c r="P180" s="87"/>
      <c r="Q180" s="87"/>
      <c r="R180" s="89" t="str">
        <f t="shared" si="7"/>
        <v/>
      </c>
      <c r="S180" s="90"/>
      <c r="T180" s="89" t="str">
        <f t="shared" si="8"/>
        <v/>
      </c>
      <c r="U180" s="95"/>
      <c r="V180" s="87"/>
      <c r="W180" s="87"/>
      <c r="X180" s="89" t="str">
        <f t="shared" si="9"/>
        <v/>
      </c>
      <c r="Y180" s="90"/>
      <c r="Z180" s="89" t="str">
        <f t="shared" si="10"/>
        <v/>
      </c>
      <c r="AA180" s="95"/>
      <c r="AB180" s="88" t="str">
        <f t="shared" si="27"/>
        <v/>
      </c>
      <c r="AC180" s="87"/>
      <c r="AD180" s="89" t="str">
        <f t="shared" si="11"/>
        <v/>
      </c>
      <c r="AE180" s="90"/>
      <c r="AF180" s="89" t="str">
        <f t="shared" si="12"/>
        <v/>
      </c>
      <c r="AG180" s="96"/>
      <c r="AH180" s="88" t="str">
        <f t="shared" si="13"/>
        <v/>
      </c>
      <c r="AI180" s="87"/>
      <c r="AJ180" s="89" t="str">
        <f t="shared" si="14"/>
        <v/>
      </c>
      <c r="AK180" s="90"/>
      <c r="AL180" s="89" t="str">
        <f t="shared" si="15"/>
        <v/>
      </c>
      <c r="AM180" s="89"/>
      <c r="AN180" s="93">
        <f t="shared" si="17"/>
        <v>0</v>
      </c>
      <c r="AO180" s="94">
        <f t="shared" si="18"/>
        <v>0</v>
      </c>
      <c r="AP180" s="87"/>
      <c r="AQ180" s="87"/>
      <c r="AR180" s="89" t="str">
        <f t="shared" si="19"/>
        <v/>
      </c>
      <c r="AS180" s="90"/>
      <c r="AT180" s="89" t="str">
        <f t="shared" si="20"/>
        <v/>
      </c>
      <c r="AU180" s="95"/>
      <c r="AV180" s="87"/>
      <c r="AW180" s="87"/>
      <c r="AX180" s="89" t="str">
        <f t="shared" si="21"/>
        <v/>
      </c>
      <c r="AY180" s="90"/>
      <c r="AZ180" s="89" t="str">
        <f t="shared" si="22"/>
        <v/>
      </c>
      <c r="BA180" s="95"/>
      <c r="BB180" s="88" t="str">
        <f t="shared" si="28"/>
        <v/>
      </c>
      <c r="BC180" s="87"/>
      <c r="BD180" s="89" t="str">
        <f t="shared" si="23"/>
        <v/>
      </c>
      <c r="BE180" s="90"/>
      <c r="BF180" s="89" t="str">
        <f t="shared" si="24"/>
        <v/>
      </c>
      <c r="BG180" s="96"/>
    </row>
    <row r="181">
      <c r="A181" s="87"/>
      <c r="B181" s="87"/>
      <c r="C181" s="87"/>
      <c r="D181" s="87"/>
      <c r="E181" s="87"/>
      <c r="F181" s="87"/>
      <c r="G181" s="87"/>
      <c r="H181" s="88" t="str">
        <f t="shared" si="1"/>
        <v/>
      </c>
      <c r="I181" s="87"/>
      <c r="J181" s="89" t="str">
        <f t="shared" si="2"/>
        <v/>
      </c>
      <c r="K181" s="90"/>
      <c r="L181" s="89" t="str">
        <f t="shared" si="3"/>
        <v/>
      </c>
      <c r="M181" s="89"/>
      <c r="N181" s="93">
        <f t="shared" si="5"/>
        <v>0</v>
      </c>
      <c r="O181" s="94">
        <f t="shared" si="6"/>
        <v>0</v>
      </c>
      <c r="P181" s="87"/>
      <c r="Q181" s="87"/>
      <c r="R181" s="89" t="str">
        <f t="shared" si="7"/>
        <v/>
      </c>
      <c r="S181" s="90"/>
      <c r="T181" s="89" t="str">
        <f t="shared" si="8"/>
        <v/>
      </c>
      <c r="U181" s="95"/>
      <c r="V181" s="87"/>
      <c r="W181" s="87"/>
      <c r="X181" s="89" t="str">
        <f t="shared" si="9"/>
        <v/>
      </c>
      <c r="Y181" s="90"/>
      <c r="Z181" s="89" t="str">
        <f t="shared" si="10"/>
        <v/>
      </c>
      <c r="AA181" s="95"/>
      <c r="AB181" s="88" t="str">
        <f t="shared" si="27"/>
        <v/>
      </c>
      <c r="AC181" s="87"/>
      <c r="AD181" s="89" t="str">
        <f t="shared" si="11"/>
        <v/>
      </c>
      <c r="AE181" s="90"/>
      <c r="AF181" s="89" t="str">
        <f t="shared" si="12"/>
        <v/>
      </c>
      <c r="AG181" s="96"/>
      <c r="AH181" s="88" t="str">
        <f t="shared" si="13"/>
        <v/>
      </c>
      <c r="AI181" s="87"/>
      <c r="AJ181" s="89" t="str">
        <f t="shared" si="14"/>
        <v/>
      </c>
      <c r="AK181" s="90"/>
      <c r="AL181" s="89" t="str">
        <f t="shared" si="15"/>
        <v/>
      </c>
      <c r="AM181" s="89"/>
      <c r="AN181" s="93">
        <f t="shared" si="17"/>
        <v>0</v>
      </c>
      <c r="AO181" s="94">
        <f t="shared" si="18"/>
        <v>0</v>
      </c>
      <c r="AP181" s="87"/>
      <c r="AQ181" s="87"/>
      <c r="AR181" s="89" t="str">
        <f t="shared" si="19"/>
        <v/>
      </c>
      <c r="AS181" s="90"/>
      <c r="AT181" s="89" t="str">
        <f t="shared" si="20"/>
        <v/>
      </c>
      <c r="AU181" s="95"/>
      <c r="AV181" s="87"/>
      <c r="AW181" s="87"/>
      <c r="AX181" s="89" t="str">
        <f t="shared" si="21"/>
        <v/>
      </c>
      <c r="AY181" s="90"/>
      <c r="AZ181" s="89" t="str">
        <f t="shared" si="22"/>
        <v/>
      </c>
      <c r="BA181" s="95"/>
      <c r="BB181" s="88" t="str">
        <f t="shared" si="28"/>
        <v/>
      </c>
      <c r="BC181" s="87"/>
      <c r="BD181" s="89" t="str">
        <f t="shared" si="23"/>
        <v/>
      </c>
      <c r="BE181" s="90"/>
      <c r="BF181" s="89" t="str">
        <f t="shared" si="24"/>
        <v/>
      </c>
      <c r="BG181" s="96"/>
    </row>
    <row r="182">
      <c r="A182" s="87"/>
      <c r="B182" s="87"/>
      <c r="C182" s="87"/>
      <c r="D182" s="87"/>
      <c r="E182" s="87"/>
      <c r="F182" s="87"/>
      <c r="G182" s="87"/>
      <c r="H182" s="88" t="str">
        <f t="shared" si="1"/>
        <v/>
      </c>
      <c r="I182" s="87"/>
      <c r="J182" s="89" t="str">
        <f t="shared" si="2"/>
        <v/>
      </c>
      <c r="K182" s="90"/>
      <c r="L182" s="89" t="str">
        <f t="shared" si="3"/>
        <v/>
      </c>
      <c r="M182" s="89"/>
      <c r="N182" s="93">
        <f t="shared" si="5"/>
        <v>0</v>
      </c>
      <c r="O182" s="94">
        <f t="shared" si="6"/>
        <v>0</v>
      </c>
      <c r="P182" s="87"/>
      <c r="Q182" s="87"/>
      <c r="R182" s="89" t="str">
        <f t="shared" si="7"/>
        <v/>
      </c>
      <c r="S182" s="90"/>
      <c r="T182" s="89" t="str">
        <f t="shared" si="8"/>
        <v/>
      </c>
      <c r="U182" s="95"/>
      <c r="V182" s="87"/>
      <c r="W182" s="87"/>
      <c r="X182" s="89" t="str">
        <f t="shared" si="9"/>
        <v/>
      </c>
      <c r="Y182" s="90"/>
      <c r="Z182" s="89" t="str">
        <f t="shared" si="10"/>
        <v/>
      </c>
      <c r="AA182" s="95"/>
      <c r="AB182" s="88" t="str">
        <f t="shared" si="27"/>
        <v/>
      </c>
      <c r="AC182" s="87"/>
      <c r="AD182" s="89" t="str">
        <f t="shared" si="11"/>
        <v/>
      </c>
      <c r="AE182" s="90"/>
      <c r="AF182" s="89" t="str">
        <f t="shared" si="12"/>
        <v/>
      </c>
      <c r="AG182" s="96"/>
      <c r="AH182" s="88" t="str">
        <f t="shared" si="13"/>
        <v/>
      </c>
      <c r="AI182" s="87"/>
      <c r="AJ182" s="89" t="str">
        <f t="shared" si="14"/>
        <v/>
      </c>
      <c r="AK182" s="90"/>
      <c r="AL182" s="89" t="str">
        <f t="shared" si="15"/>
        <v/>
      </c>
      <c r="AM182" s="89"/>
      <c r="AN182" s="93">
        <f t="shared" si="17"/>
        <v>0</v>
      </c>
      <c r="AO182" s="94">
        <f t="shared" si="18"/>
        <v>0</v>
      </c>
      <c r="AP182" s="87"/>
      <c r="AQ182" s="87"/>
      <c r="AR182" s="89" t="str">
        <f t="shared" si="19"/>
        <v/>
      </c>
      <c r="AS182" s="90"/>
      <c r="AT182" s="89" t="str">
        <f t="shared" si="20"/>
        <v/>
      </c>
      <c r="AU182" s="95"/>
      <c r="AV182" s="87"/>
      <c r="AW182" s="87"/>
      <c r="AX182" s="89" t="str">
        <f t="shared" si="21"/>
        <v/>
      </c>
      <c r="AY182" s="90"/>
      <c r="AZ182" s="89" t="str">
        <f t="shared" si="22"/>
        <v/>
      </c>
      <c r="BA182" s="95"/>
      <c r="BB182" s="88" t="str">
        <f t="shared" si="28"/>
        <v/>
      </c>
      <c r="BC182" s="87"/>
      <c r="BD182" s="89" t="str">
        <f t="shared" si="23"/>
        <v/>
      </c>
      <c r="BE182" s="90"/>
      <c r="BF182" s="89" t="str">
        <f t="shared" si="24"/>
        <v/>
      </c>
      <c r="BG182" s="96"/>
    </row>
    <row r="183">
      <c r="A183" s="87"/>
      <c r="B183" s="87"/>
      <c r="C183" s="87"/>
      <c r="D183" s="87"/>
      <c r="E183" s="87"/>
      <c r="F183" s="87"/>
      <c r="G183" s="87"/>
      <c r="H183" s="88" t="str">
        <f t="shared" si="1"/>
        <v/>
      </c>
      <c r="I183" s="87"/>
      <c r="J183" s="89" t="str">
        <f t="shared" si="2"/>
        <v/>
      </c>
      <c r="K183" s="90"/>
      <c r="L183" s="89" t="str">
        <f t="shared" si="3"/>
        <v/>
      </c>
      <c r="M183" s="89"/>
      <c r="N183" s="93">
        <f t="shared" si="5"/>
        <v>0</v>
      </c>
      <c r="O183" s="94">
        <f t="shared" si="6"/>
        <v>0</v>
      </c>
      <c r="P183" s="87"/>
      <c r="Q183" s="87"/>
      <c r="R183" s="89" t="str">
        <f t="shared" si="7"/>
        <v/>
      </c>
      <c r="S183" s="90"/>
      <c r="T183" s="89" t="str">
        <f t="shared" si="8"/>
        <v/>
      </c>
      <c r="U183" s="95"/>
      <c r="V183" s="87"/>
      <c r="W183" s="87"/>
      <c r="X183" s="89" t="str">
        <f t="shared" si="9"/>
        <v/>
      </c>
      <c r="Y183" s="90"/>
      <c r="Z183" s="89" t="str">
        <f t="shared" si="10"/>
        <v/>
      </c>
      <c r="AA183" s="95"/>
      <c r="AB183" s="88" t="str">
        <f t="shared" si="27"/>
        <v/>
      </c>
      <c r="AC183" s="87"/>
      <c r="AD183" s="89" t="str">
        <f t="shared" si="11"/>
        <v/>
      </c>
      <c r="AE183" s="90"/>
      <c r="AF183" s="89" t="str">
        <f t="shared" si="12"/>
        <v/>
      </c>
      <c r="AG183" s="96"/>
      <c r="AH183" s="88" t="str">
        <f t="shared" si="13"/>
        <v/>
      </c>
      <c r="AI183" s="87"/>
      <c r="AJ183" s="89" t="str">
        <f t="shared" si="14"/>
        <v/>
      </c>
      <c r="AK183" s="90"/>
      <c r="AL183" s="89" t="str">
        <f t="shared" si="15"/>
        <v/>
      </c>
      <c r="AM183" s="89"/>
      <c r="AN183" s="93">
        <f t="shared" si="17"/>
        <v>0</v>
      </c>
      <c r="AO183" s="94">
        <f t="shared" si="18"/>
        <v>0</v>
      </c>
      <c r="AP183" s="87"/>
      <c r="AQ183" s="87"/>
      <c r="AR183" s="89" t="str">
        <f t="shared" si="19"/>
        <v/>
      </c>
      <c r="AS183" s="90"/>
      <c r="AT183" s="89" t="str">
        <f t="shared" si="20"/>
        <v/>
      </c>
      <c r="AU183" s="95"/>
      <c r="AV183" s="87"/>
      <c r="AW183" s="87"/>
      <c r="AX183" s="89" t="str">
        <f t="shared" si="21"/>
        <v/>
      </c>
      <c r="AY183" s="90"/>
      <c r="AZ183" s="89" t="str">
        <f t="shared" si="22"/>
        <v/>
      </c>
      <c r="BA183" s="95"/>
      <c r="BB183" s="88" t="str">
        <f t="shared" si="28"/>
        <v/>
      </c>
      <c r="BC183" s="87"/>
      <c r="BD183" s="89" t="str">
        <f t="shared" si="23"/>
        <v/>
      </c>
      <c r="BE183" s="90"/>
      <c r="BF183" s="89" t="str">
        <f t="shared" si="24"/>
        <v/>
      </c>
      <c r="BG183" s="96"/>
    </row>
    <row r="184">
      <c r="A184" s="87"/>
      <c r="B184" s="87"/>
      <c r="C184" s="87"/>
      <c r="D184" s="87"/>
      <c r="E184" s="87"/>
      <c r="F184" s="87"/>
      <c r="G184" s="87"/>
      <c r="H184" s="88" t="str">
        <f t="shared" si="1"/>
        <v/>
      </c>
      <c r="I184" s="87"/>
      <c r="J184" s="89" t="str">
        <f t="shared" si="2"/>
        <v/>
      </c>
      <c r="K184" s="90"/>
      <c r="L184" s="89" t="str">
        <f t="shared" si="3"/>
        <v/>
      </c>
      <c r="M184" s="89"/>
      <c r="N184" s="93">
        <f t="shared" si="5"/>
        <v>0</v>
      </c>
      <c r="O184" s="94">
        <f t="shared" si="6"/>
        <v>0</v>
      </c>
      <c r="P184" s="87"/>
      <c r="Q184" s="87"/>
      <c r="R184" s="89" t="str">
        <f t="shared" si="7"/>
        <v/>
      </c>
      <c r="S184" s="90"/>
      <c r="T184" s="89" t="str">
        <f t="shared" si="8"/>
        <v/>
      </c>
      <c r="U184" s="95"/>
      <c r="V184" s="87"/>
      <c r="W184" s="87"/>
      <c r="X184" s="89" t="str">
        <f t="shared" si="9"/>
        <v/>
      </c>
      <c r="Y184" s="90"/>
      <c r="Z184" s="89" t="str">
        <f t="shared" si="10"/>
        <v/>
      </c>
      <c r="AA184" s="95"/>
      <c r="AB184" s="88" t="str">
        <f t="shared" si="27"/>
        <v/>
      </c>
      <c r="AC184" s="87"/>
      <c r="AD184" s="89" t="str">
        <f t="shared" si="11"/>
        <v/>
      </c>
      <c r="AE184" s="90"/>
      <c r="AF184" s="89" t="str">
        <f t="shared" si="12"/>
        <v/>
      </c>
      <c r="AG184" s="96"/>
      <c r="AH184" s="88" t="str">
        <f t="shared" si="13"/>
        <v/>
      </c>
      <c r="AI184" s="87"/>
      <c r="AJ184" s="89" t="str">
        <f t="shared" si="14"/>
        <v/>
      </c>
      <c r="AK184" s="90"/>
      <c r="AL184" s="89" t="str">
        <f t="shared" si="15"/>
        <v/>
      </c>
      <c r="AM184" s="89"/>
      <c r="AN184" s="93">
        <f t="shared" si="17"/>
        <v>0</v>
      </c>
      <c r="AO184" s="94">
        <f t="shared" si="18"/>
        <v>0</v>
      </c>
      <c r="AP184" s="87"/>
      <c r="AQ184" s="87"/>
      <c r="AR184" s="89" t="str">
        <f t="shared" si="19"/>
        <v/>
      </c>
      <c r="AS184" s="90"/>
      <c r="AT184" s="89" t="str">
        <f t="shared" si="20"/>
        <v/>
      </c>
      <c r="AU184" s="95"/>
      <c r="AV184" s="87"/>
      <c r="AW184" s="87"/>
      <c r="AX184" s="89" t="str">
        <f t="shared" si="21"/>
        <v/>
      </c>
      <c r="AY184" s="90"/>
      <c r="AZ184" s="89" t="str">
        <f t="shared" si="22"/>
        <v/>
      </c>
      <c r="BA184" s="95"/>
      <c r="BB184" s="88" t="str">
        <f t="shared" si="28"/>
        <v/>
      </c>
      <c r="BC184" s="87"/>
      <c r="BD184" s="89" t="str">
        <f t="shared" si="23"/>
        <v/>
      </c>
      <c r="BE184" s="90"/>
      <c r="BF184" s="89" t="str">
        <f t="shared" si="24"/>
        <v/>
      </c>
      <c r="BG184" s="96"/>
    </row>
    <row r="185">
      <c r="A185" s="87"/>
      <c r="B185" s="87"/>
      <c r="C185" s="87"/>
      <c r="D185" s="87"/>
      <c r="E185" s="87"/>
      <c r="F185" s="87"/>
      <c r="G185" s="87"/>
      <c r="H185" s="88" t="str">
        <f t="shared" si="1"/>
        <v/>
      </c>
      <c r="I185" s="87"/>
      <c r="J185" s="89" t="str">
        <f t="shared" si="2"/>
        <v/>
      </c>
      <c r="K185" s="90"/>
      <c r="L185" s="89" t="str">
        <f t="shared" si="3"/>
        <v/>
      </c>
      <c r="M185" s="89"/>
      <c r="N185" s="93">
        <f t="shared" si="5"/>
        <v>0</v>
      </c>
      <c r="O185" s="94">
        <f t="shared" si="6"/>
        <v>0</v>
      </c>
      <c r="P185" s="87"/>
      <c r="Q185" s="87"/>
      <c r="R185" s="89" t="str">
        <f t="shared" si="7"/>
        <v/>
      </c>
      <c r="S185" s="90"/>
      <c r="T185" s="89" t="str">
        <f t="shared" si="8"/>
        <v/>
      </c>
      <c r="U185" s="95"/>
      <c r="V185" s="87"/>
      <c r="W185" s="87"/>
      <c r="X185" s="89" t="str">
        <f t="shared" si="9"/>
        <v/>
      </c>
      <c r="Y185" s="90"/>
      <c r="Z185" s="89" t="str">
        <f t="shared" si="10"/>
        <v/>
      </c>
      <c r="AA185" s="95"/>
      <c r="AB185" s="88" t="str">
        <f t="shared" si="27"/>
        <v/>
      </c>
      <c r="AC185" s="87"/>
      <c r="AD185" s="89" t="str">
        <f t="shared" si="11"/>
        <v/>
      </c>
      <c r="AE185" s="90"/>
      <c r="AF185" s="89" t="str">
        <f t="shared" si="12"/>
        <v/>
      </c>
      <c r="AG185" s="96"/>
      <c r="AH185" s="88" t="str">
        <f t="shared" si="13"/>
        <v/>
      </c>
      <c r="AI185" s="87"/>
      <c r="AJ185" s="89" t="str">
        <f t="shared" si="14"/>
        <v/>
      </c>
      <c r="AK185" s="90"/>
      <c r="AL185" s="89" t="str">
        <f t="shared" si="15"/>
        <v/>
      </c>
      <c r="AM185" s="89"/>
      <c r="AN185" s="93">
        <f t="shared" si="17"/>
        <v>0</v>
      </c>
      <c r="AO185" s="94">
        <f t="shared" si="18"/>
        <v>0</v>
      </c>
      <c r="AP185" s="87"/>
      <c r="AQ185" s="87"/>
      <c r="AR185" s="89" t="str">
        <f t="shared" si="19"/>
        <v/>
      </c>
      <c r="AS185" s="90"/>
      <c r="AT185" s="89" t="str">
        <f t="shared" si="20"/>
        <v/>
      </c>
      <c r="AU185" s="95"/>
      <c r="AV185" s="87"/>
      <c r="AW185" s="87"/>
      <c r="AX185" s="89" t="str">
        <f t="shared" si="21"/>
        <v/>
      </c>
      <c r="AY185" s="90"/>
      <c r="AZ185" s="89" t="str">
        <f t="shared" si="22"/>
        <v/>
      </c>
      <c r="BA185" s="95"/>
      <c r="BB185" s="88" t="str">
        <f t="shared" si="28"/>
        <v/>
      </c>
      <c r="BC185" s="87"/>
      <c r="BD185" s="89" t="str">
        <f t="shared" si="23"/>
        <v/>
      </c>
      <c r="BE185" s="90"/>
      <c r="BF185" s="89" t="str">
        <f t="shared" si="24"/>
        <v/>
      </c>
      <c r="BG185" s="96"/>
    </row>
    <row r="186">
      <c r="A186" s="87"/>
      <c r="B186" s="87"/>
      <c r="C186" s="87"/>
      <c r="D186" s="87"/>
      <c r="E186" s="87"/>
      <c r="F186" s="87"/>
      <c r="G186" s="87"/>
      <c r="H186" s="88" t="str">
        <f t="shared" si="1"/>
        <v/>
      </c>
      <c r="I186" s="87"/>
      <c r="J186" s="89" t="str">
        <f t="shared" si="2"/>
        <v/>
      </c>
      <c r="K186" s="90"/>
      <c r="L186" s="89" t="str">
        <f t="shared" si="3"/>
        <v/>
      </c>
      <c r="M186" s="89"/>
      <c r="N186" s="93">
        <f t="shared" si="5"/>
        <v>0</v>
      </c>
      <c r="O186" s="94">
        <f t="shared" si="6"/>
        <v>0</v>
      </c>
      <c r="P186" s="87"/>
      <c r="Q186" s="87"/>
      <c r="R186" s="89" t="str">
        <f t="shared" si="7"/>
        <v/>
      </c>
      <c r="S186" s="90"/>
      <c r="T186" s="89" t="str">
        <f t="shared" si="8"/>
        <v/>
      </c>
      <c r="U186" s="95"/>
      <c r="V186" s="87"/>
      <c r="W186" s="87"/>
      <c r="X186" s="89" t="str">
        <f t="shared" si="9"/>
        <v/>
      </c>
      <c r="Y186" s="90"/>
      <c r="Z186" s="89" t="str">
        <f t="shared" si="10"/>
        <v/>
      </c>
      <c r="AA186" s="95"/>
      <c r="AB186" s="88" t="str">
        <f t="shared" si="27"/>
        <v/>
      </c>
      <c r="AC186" s="87"/>
      <c r="AD186" s="89" t="str">
        <f t="shared" si="11"/>
        <v/>
      </c>
      <c r="AE186" s="90"/>
      <c r="AF186" s="89" t="str">
        <f t="shared" si="12"/>
        <v/>
      </c>
      <c r="AG186" s="96"/>
      <c r="AH186" s="88" t="str">
        <f t="shared" si="13"/>
        <v/>
      </c>
      <c r="AI186" s="87"/>
      <c r="AJ186" s="89" t="str">
        <f t="shared" si="14"/>
        <v/>
      </c>
      <c r="AK186" s="90"/>
      <c r="AL186" s="89" t="str">
        <f t="shared" si="15"/>
        <v/>
      </c>
      <c r="AM186" s="89"/>
      <c r="AN186" s="93">
        <f t="shared" si="17"/>
        <v>0</v>
      </c>
      <c r="AO186" s="94">
        <f t="shared" si="18"/>
        <v>0</v>
      </c>
      <c r="AP186" s="87"/>
      <c r="AQ186" s="87"/>
      <c r="AR186" s="89" t="str">
        <f t="shared" si="19"/>
        <v/>
      </c>
      <c r="AS186" s="90"/>
      <c r="AT186" s="89" t="str">
        <f t="shared" si="20"/>
        <v/>
      </c>
      <c r="AU186" s="95"/>
      <c r="AV186" s="87"/>
      <c r="AW186" s="87"/>
      <c r="AX186" s="89" t="str">
        <f t="shared" si="21"/>
        <v/>
      </c>
      <c r="AY186" s="90"/>
      <c r="AZ186" s="89" t="str">
        <f t="shared" si="22"/>
        <v/>
      </c>
      <c r="BA186" s="95"/>
      <c r="BB186" s="88" t="str">
        <f t="shared" si="28"/>
        <v/>
      </c>
      <c r="BC186" s="87"/>
      <c r="BD186" s="89" t="str">
        <f t="shared" si="23"/>
        <v/>
      </c>
      <c r="BE186" s="90"/>
      <c r="BF186" s="89" t="str">
        <f t="shared" si="24"/>
        <v/>
      </c>
      <c r="BG186" s="96"/>
    </row>
    <row r="187">
      <c r="A187" s="87"/>
      <c r="B187" s="87"/>
      <c r="C187" s="87"/>
      <c r="D187" s="87"/>
      <c r="E187" s="87"/>
      <c r="F187" s="87"/>
      <c r="G187" s="87"/>
      <c r="H187" s="88" t="str">
        <f t="shared" si="1"/>
        <v/>
      </c>
      <c r="I187" s="87"/>
      <c r="J187" s="89" t="str">
        <f t="shared" si="2"/>
        <v/>
      </c>
      <c r="K187" s="90"/>
      <c r="L187" s="89" t="str">
        <f t="shared" si="3"/>
        <v/>
      </c>
      <c r="M187" s="89"/>
      <c r="N187" s="93">
        <f t="shared" si="5"/>
        <v>0</v>
      </c>
      <c r="O187" s="94">
        <f t="shared" si="6"/>
        <v>0</v>
      </c>
      <c r="P187" s="87"/>
      <c r="Q187" s="87"/>
      <c r="R187" s="89" t="str">
        <f t="shared" si="7"/>
        <v/>
      </c>
      <c r="S187" s="90"/>
      <c r="T187" s="89" t="str">
        <f t="shared" si="8"/>
        <v/>
      </c>
      <c r="U187" s="95"/>
      <c r="V187" s="87"/>
      <c r="W187" s="87"/>
      <c r="X187" s="89" t="str">
        <f t="shared" si="9"/>
        <v/>
      </c>
      <c r="Y187" s="90"/>
      <c r="Z187" s="89" t="str">
        <f t="shared" si="10"/>
        <v/>
      </c>
      <c r="AA187" s="95"/>
      <c r="AB187" s="88" t="str">
        <f t="shared" si="27"/>
        <v/>
      </c>
      <c r="AC187" s="87"/>
      <c r="AD187" s="89" t="str">
        <f t="shared" si="11"/>
        <v/>
      </c>
      <c r="AE187" s="90"/>
      <c r="AF187" s="89" t="str">
        <f t="shared" si="12"/>
        <v/>
      </c>
      <c r="AG187" s="96"/>
      <c r="AH187" s="88" t="str">
        <f t="shared" si="13"/>
        <v/>
      </c>
      <c r="AI187" s="87"/>
      <c r="AJ187" s="89" t="str">
        <f t="shared" si="14"/>
        <v/>
      </c>
      <c r="AK187" s="90"/>
      <c r="AL187" s="89" t="str">
        <f t="shared" si="15"/>
        <v/>
      </c>
      <c r="AM187" s="89"/>
      <c r="AN187" s="93">
        <f t="shared" si="17"/>
        <v>0</v>
      </c>
      <c r="AO187" s="94">
        <f t="shared" si="18"/>
        <v>0</v>
      </c>
      <c r="AP187" s="87"/>
      <c r="AQ187" s="87"/>
      <c r="AR187" s="89" t="str">
        <f t="shared" si="19"/>
        <v/>
      </c>
      <c r="AS187" s="90"/>
      <c r="AT187" s="89" t="str">
        <f t="shared" si="20"/>
        <v/>
      </c>
      <c r="AU187" s="95"/>
      <c r="AV187" s="87"/>
      <c r="AW187" s="87"/>
      <c r="AX187" s="89" t="str">
        <f t="shared" si="21"/>
        <v/>
      </c>
      <c r="AY187" s="90"/>
      <c r="AZ187" s="89" t="str">
        <f t="shared" si="22"/>
        <v/>
      </c>
      <c r="BA187" s="95"/>
      <c r="BB187" s="88" t="str">
        <f t="shared" si="28"/>
        <v/>
      </c>
      <c r="BC187" s="87"/>
      <c r="BD187" s="89" t="str">
        <f t="shared" si="23"/>
        <v/>
      </c>
      <c r="BE187" s="90"/>
      <c r="BF187" s="89" t="str">
        <f t="shared" si="24"/>
        <v/>
      </c>
      <c r="BG187" s="96"/>
    </row>
    <row r="188">
      <c r="A188" s="87"/>
      <c r="B188" s="87"/>
      <c r="C188" s="87"/>
      <c r="D188" s="87"/>
      <c r="E188" s="87"/>
      <c r="F188" s="87"/>
      <c r="G188" s="87"/>
      <c r="H188" s="88" t="str">
        <f t="shared" si="1"/>
        <v/>
      </c>
      <c r="I188" s="87"/>
      <c r="J188" s="89" t="str">
        <f t="shared" si="2"/>
        <v/>
      </c>
      <c r="K188" s="90"/>
      <c r="L188" s="89" t="str">
        <f t="shared" si="3"/>
        <v/>
      </c>
      <c r="M188" s="89"/>
      <c r="N188" s="93">
        <f t="shared" si="5"/>
        <v>0</v>
      </c>
      <c r="O188" s="94">
        <f t="shared" si="6"/>
        <v>0</v>
      </c>
      <c r="P188" s="87"/>
      <c r="Q188" s="87"/>
      <c r="R188" s="89" t="str">
        <f t="shared" si="7"/>
        <v/>
      </c>
      <c r="S188" s="90"/>
      <c r="T188" s="89" t="str">
        <f t="shared" si="8"/>
        <v/>
      </c>
      <c r="U188" s="95"/>
      <c r="V188" s="87"/>
      <c r="W188" s="87"/>
      <c r="X188" s="89" t="str">
        <f t="shared" si="9"/>
        <v/>
      </c>
      <c r="Y188" s="90"/>
      <c r="Z188" s="89" t="str">
        <f t="shared" si="10"/>
        <v/>
      </c>
      <c r="AA188" s="95"/>
      <c r="AB188" s="88" t="str">
        <f t="shared" si="27"/>
        <v/>
      </c>
      <c r="AC188" s="87"/>
      <c r="AD188" s="89" t="str">
        <f t="shared" si="11"/>
        <v/>
      </c>
      <c r="AE188" s="90"/>
      <c r="AF188" s="89" t="str">
        <f t="shared" si="12"/>
        <v/>
      </c>
      <c r="AG188" s="96"/>
      <c r="AH188" s="88" t="str">
        <f t="shared" si="13"/>
        <v/>
      </c>
      <c r="AI188" s="87"/>
      <c r="AJ188" s="89" t="str">
        <f t="shared" si="14"/>
        <v/>
      </c>
      <c r="AK188" s="90"/>
      <c r="AL188" s="89" t="str">
        <f t="shared" si="15"/>
        <v/>
      </c>
      <c r="AM188" s="89"/>
      <c r="AN188" s="93">
        <f t="shared" si="17"/>
        <v>0</v>
      </c>
      <c r="AO188" s="94">
        <f t="shared" si="18"/>
        <v>0</v>
      </c>
      <c r="AP188" s="87"/>
      <c r="AQ188" s="87"/>
      <c r="AR188" s="89" t="str">
        <f t="shared" si="19"/>
        <v/>
      </c>
      <c r="AS188" s="90"/>
      <c r="AT188" s="89" t="str">
        <f t="shared" si="20"/>
        <v/>
      </c>
      <c r="AU188" s="95"/>
      <c r="AV188" s="87"/>
      <c r="AW188" s="87"/>
      <c r="AX188" s="89" t="str">
        <f t="shared" si="21"/>
        <v/>
      </c>
      <c r="AY188" s="90"/>
      <c r="AZ188" s="89" t="str">
        <f t="shared" si="22"/>
        <v/>
      </c>
      <c r="BA188" s="95"/>
      <c r="BB188" s="88" t="str">
        <f t="shared" si="28"/>
        <v/>
      </c>
      <c r="BC188" s="87"/>
      <c r="BD188" s="89" t="str">
        <f t="shared" si="23"/>
        <v/>
      </c>
      <c r="BE188" s="90"/>
      <c r="BF188" s="89" t="str">
        <f t="shared" si="24"/>
        <v/>
      </c>
      <c r="BG188" s="96"/>
    </row>
    <row r="189">
      <c r="A189" s="87"/>
      <c r="B189" s="87"/>
      <c r="C189" s="87"/>
      <c r="D189" s="87"/>
      <c r="E189" s="87"/>
      <c r="F189" s="87"/>
      <c r="G189" s="87"/>
      <c r="H189" s="88" t="str">
        <f t="shared" si="1"/>
        <v/>
      </c>
      <c r="I189" s="87"/>
      <c r="J189" s="89" t="str">
        <f t="shared" si="2"/>
        <v/>
      </c>
      <c r="K189" s="90"/>
      <c r="L189" s="89" t="str">
        <f t="shared" si="3"/>
        <v/>
      </c>
      <c r="M189" s="89"/>
      <c r="N189" s="93">
        <f t="shared" si="5"/>
        <v>0</v>
      </c>
      <c r="O189" s="94">
        <f t="shared" si="6"/>
        <v>0</v>
      </c>
      <c r="P189" s="87"/>
      <c r="Q189" s="87"/>
      <c r="R189" s="89" t="str">
        <f t="shared" si="7"/>
        <v/>
      </c>
      <c r="S189" s="90"/>
      <c r="T189" s="89" t="str">
        <f t="shared" si="8"/>
        <v/>
      </c>
      <c r="U189" s="95"/>
      <c r="V189" s="87"/>
      <c r="W189" s="87"/>
      <c r="X189" s="89" t="str">
        <f t="shared" si="9"/>
        <v/>
      </c>
      <c r="Y189" s="90"/>
      <c r="Z189" s="89" t="str">
        <f t="shared" si="10"/>
        <v/>
      </c>
      <c r="AA189" s="95"/>
      <c r="AB189" s="88" t="str">
        <f t="shared" si="27"/>
        <v/>
      </c>
      <c r="AC189" s="87"/>
      <c r="AD189" s="89" t="str">
        <f t="shared" si="11"/>
        <v/>
      </c>
      <c r="AE189" s="90"/>
      <c r="AF189" s="89" t="str">
        <f t="shared" si="12"/>
        <v/>
      </c>
      <c r="AG189" s="96"/>
      <c r="AH189" s="88" t="str">
        <f t="shared" si="13"/>
        <v/>
      </c>
      <c r="AI189" s="87"/>
      <c r="AJ189" s="89" t="str">
        <f t="shared" si="14"/>
        <v/>
      </c>
      <c r="AK189" s="90"/>
      <c r="AL189" s="89" t="str">
        <f t="shared" si="15"/>
        <v/>
      </c>
      <c r="AM189" s="89"/>
      <c r="AN189" s="93">
        <f t="shared" si="17"/>
        <v>0</v>
      </c>
      <c r="AO189" s="94">
        <f t="shared" si="18"/>
        <v>0</v>
      </c>
      <c r="AP189" s="87"/>
      <c r="AQ189" s="87"/>
      <c r="AR189" s="89" t="str">
        <f t="shared" si="19"/>
        <v/>
      </c>
      <c r="AS189" s="90"/>
      <c r="AT189" s="89" t="str">
        <f t="shared" si="20"/>
        <v/>
      </c>
      <c r="AU189" s="95"/>
      <c r="AV189" s="87"/>
      <c r="AW189" s="87"/>
      <c r="AX189" s="89" t="str">
        <f t="shared" si="21"/>
        <v/>
      </c>
      <c r="AY189" s="90"/>
      <c r="AZ189" s="89" t="str">
        <f t="shared" si="22"/>
        <v/>
      </c>
      <c r="BA189" s="95"/>
      <c r="BB189" s="88" t="str">
        <f t="shared" si="28"/>
        <v/>
      </c>
      <c r="BC189" s="87"/>
      <c r="BD189" s="89" t="str">
        <f t="shared" si="23"/>
        <v/>
      </c>
      <c r="BE189" s="90"/>
      <c r="BF189" s="89" t="str">
        <f t="shared" si="24"/>
        <v/>
      </c>
      <c r="BG189" s="96"/>
    </row>
    <row r="190">
      <c r="A190" s="87"/>
      <c r="B190" s="87"/>
      <c r="C190" s="87"/>
      <c r="D190" s="87"/>
      <c r="E190" s="87"/>
      <c r="F190" s="87"/>
      <c r="G190" s="87"/>
      <c r="H190" s="88" t="str">
        <f t="shared" si="1"/>
        <v/>
      </c>
      <c r="I190" s="87"/>
      <c r="J190" s="89" t="str">
        <f t="shared" si="2"/>
        <v/>
      </c>
      <c r="K190" s="90"/>
      <c r="L190" s="89" t="str">
        <f t="shared" si="3"/>
        <v/>
      </c>
      <c r="M190" s="89"/>
      <c r="N190" s="93">
        <f t="shared" si="5"/>
        <v>0</v>
      </c>
      <c r="O190" s="94">
        <f t="shared" si="6"/>
        <v>0</v>
      </c>
      <c r="P190" s="87"/>
      <c r="Q190" s="87"/>
      <c r="R190" s="89" t="str">
        <f t="shared" si="7"/>
        <v/>
      </c>
      <c r="S190" s="90"/>
      <c r="T190" s="89" t="str">
        <f t="shared" si="8"/>
        <v/>
      </c>
      <c r="U190" s="95"/>
      <c r="V190" s="87"/>
      <c r="W190" s="87"/>
      <c r="X190" s="89" t="str">
        <f t="shared" si="9"/>
        <v/>
      </c>
      <c r="Y190" s="90"/>
      <c r="Z190" s="89" t="str">
        <f t="shared" si="10"/>
        <v/>
      </c>
      <c r="AA190" s="95"/>
      <c r="AB190" s="88" t="str">
        <f t="shared" si="27"/>
        <v/>
      </c>
      <c r="AC190" s="87"/>
      <c r="AD190" s="89" t="str">
        <f t="shared" si="11"/>
        <v/>
      </c>
      <c r="AE190" s="90"/>
      <c r="AF190" s="89" t="str">
        <f t="shared" si="12"/>
        <v/>
      </c>
      <c r="AG190" s="96"/>
      <c r="AH190" s="88" t="str">
        <f t="shared" si="13"/>
        <v/>
      </c>
      <c r="AI190" s="87"/>
      <c r="AJ190" s="89" t="str">
        <f t="shared" si="14"/>
        <v/>
      </c>
      <c r="AK190" s="90"/>
      <c r="AL190" s="89" t="str">
        <f t="shared" si="15"/>
        <v/>
      </c>
      <c r="AM190" s="89"/>
      <c r="AN190" s="93">
        <f t="shared" si="17"/>
        <v>0</v>
      </c>
      <c r="AO190" s="94">
        <f t="shared" si="18"/>
        <v>0</v>
      </c>
      <c r="AP190" s="87"/>
      <c r="AQ190" s="87"/>
      <c r="AR190" s="89" t="str">
        <f t="shared" si="19"/>
        <v/>
      </c>
      <c r="AS190" s="90"/>
      <c r="AT190" s="89" t="str">
        <f t="shared" si="20"/>
        <v/>
      </c>
      <c r="AU190" s="95"/>
      <c r="AV190" s="87"/>
      <c r="AW190" s="87"/>
      <c r="AX190" s="89" t="str">
        <f t="shared" si="21"/>
        <v/>
      </c>
      <c r="AY190" s="90"/>
      <c r="AZ190" s="89" t="str">
        <f t="shared" si="22"/>
        <v/>
      </c>
      <c r="BA190" s="95"/>
      <c r="BB190" s="88" t="str">
        <f t="shared" si="28"/>
        <v/>
      </c>
      <c r="BC190" s="87"/>
      <c r="BD190" s="89" t="str">
        <f t="shared" si="23"/>
        <v/>
      </c>
      <c r="BE190" s="90"/>
      <c r="BF190" s="89" t="str">
        <f t="shared" si="24"/>
        <v/>
      </c>
      <c r="BG190" s="96"/>
    </row>
    <row r="191">
      <c r="A191" s="87"/>
      <c r="B191" s="87"/>
      <c r="C191" s="87"/>
      <c r="D191" s="87"/>
      <c r="E191" s="87"/>
      <c r="F191" s="87"/>
      <c r="G191" s="87"/>
      <c r="H191" s="88" t="str">
        <f t="shared" si="1"/>
        <v/>
      </c>
      <c r="I191" s="87"/>
      <c r="J191" s="89" t="str">
        <f t="shared" si="2"/>
        <v/>
      </c>
      <c r="K191" s="90"/>
      <c r="L191" s="89" t="str">
        <f t="shared" si="3"/>
        <v/>
      </c>
      <c r="M191" s="89"/>
      <c r="N191" s="93">
        <f t="shared" si="5"/>
        <v>0</v>
      </c>
      <c r="O191" s="94">
        <f t="shared" si="6"/>
        <v>0</v>
      </c>
      <c r="P191" s="87"/>
      <c r="Q191" s="87"/>
      <c r="R191" s="89" t="str">
        <f t="shared" si="7"/>
        <v/>
      </c>
      <c r="S191" s="90"/>
      <c r="T191" s="89" t="str">
        <f t="shared" si="8"/>
        <v/>
      </c>
      <c r="U191" s="95"/>
      <c r="V191" s="87"/>
      <c r="W191" s="87"/>
      <c r="X191" s="89" t="str">
        <f t="shared" si="9"/>
        <v/>
      </c>
      <c r="Y191" s="90"/>
      <c r="Z191" s="89" t="str">
        <f t="shared" si="10"/>
        <v/>
      </c>
      <c r="AA191" s="95"/>
      <c r="AB191" s="88" t="str">
        <f t="shared" si="27"/>
        <v/>
      </c>
      <c r="AC191" s="87"/>
      <c r="AD191" s="89" t="str">
        <f t="shared" si="11"/>
        <v/>
      </c>
      <c r="AE191" s="90"/>
      <c r="AF191" s="89" t="str">
        <f t="shared" si="12"/>
        <v/>
      </c>
      <c r="AG191" s="96"/>
      <c r="AH191" s="88" t="str">
        <f t="shared" si="13"/>
        <v/>
      </c>
      <c r="AI191" s="87"/>
      <c r="AJ191" s="89" t="str">
        <f t="shared" si="14"/>
        <v/>
      </c>
      <c r="AK191" s="90"/>
      <c r="AL191" s="89" t="str">
        <f t="shared" si="15"/>
        <v/>
      </c>
      <c r="AM191" s="89"/>
      <c r="AN191" s="93">
        <f t="shared" si="17"/>
        <v>0</v>
      </c>
      <c r="AO191" s="94">
        <f t="shared" si="18"/>
        <v>0</v>
      </c>
      <c r="AP191" s="87"/>
      <c r="AQ191" s="87"/>
      <c r="AR191" s="89" t="str">
        <f t="shared" si="19"/>
        <v/>
      </c>
      <c r="AS191" s="90"/>
      <c r="AT191" s="89" t="str">
        <f t="shared" si="20"/>
        <v/>
      </c>
      <c r="AU191" s="95"/>
      <c r="AV191" s="87"/>
      <c r="AW191" s="87"/>
      <c r="AX191" s="89" t="str">
        <f t="shared" si="21"/>
        <v/>
      </c>
      <c r="AY191" s="90"/>
      <c r="AZ191" s="89" t="str">
        <f t="shared" si="22"/>
        <v/>
      </c>
      <c r="BA191" s="95"/>
      <c r="BB191" s="88" t="str">
        <f t="shared" si="28"/>
        <v/>
      </c>
      <c r="BC191" s="87"/>
      <c r="BD191" s="89" t="str">
        <f t="shared" si="23"/>
        <v/>
      </c>
      <c r="BE191" s="90"/>
      <c r="BF191" s="89" t="str">
        <f t="shared" si="24"/>
        <v/>
      </c>
      <c r="BG191" s="96"/>
    </row>
    <row r="192">
      <c r="A192" s="87"/>
      <c r="B192" s="87"/>
      <c r="C192" s="87"/>
      <c r="D192" s="87"/>
      <c r="E192" s="87"/>
      <c r="F192" s="87"/>
      <c r="G192" s="87"/>
      <c r="H192" s="88" t="str">
        <f t="shared" si="1"/>
        <v/>
      </c>
      <c r="I192" s="87"/>
      <c r="J192" s="89" t="str">
        <f t="shared" si="2"/>
        <v/>
      </c>
      <c r="K192" s="90"/>
      <c r="L192" s="89" t="str">
        <f t="shared" si="3"/>
        <v/>
      </c>
      <c r="M192" s="89"/>
      <c r="N192" s="93">
        <f t="shared" si="5"/>
        <v>0</v>
      </c>
      <c r="O192" s="94">
        <f t="shared" si="6"/>
        <v>0</v>
      </c>
      <c r="P192" s="87"/>
      <c r="Q192" s="87"/>
      <c r="R192" s="89" t="str">
        <f t="shared" si="7"/>
        <v/>
      </c>
      <c r="S192" s="90"/>
      <c r="T192" s="89" t="str">
        <f t="shared" si="8"/>
        <v/>
      </c>
      <c r="U192" s="95"/>
      <c r="V192" s="87"/>
      <c r="W192" s="87"/>
      <c r="X192" s="89" t="str">
        <f t="shared" si="9"/>
        <v/>
      </c>
      <c r="Y192" s="90"/>
      <c r="Z192" s="89" t="str">
        <f t="shared" si="10"/>
        <v/>
      </c>
      <c r="AA192" s="95"/>
      <c r="AB192" s="88" t="str">
        <f t="shared" si="27"/>
        <v/>
      </c>
      <c r="AC192" s="87"/>
      <c r="AD192" s="89" t="str">
        <f t="shared" si="11"/>
        <v/>
      </c>
      <c r="AE192" s="90"/>
      <c r="AF192" s="89" t="str">
        <f t="shared" si="12"/>
        <v/>
      </c>
      <c r="AG192" s="96"/>
      <c r="AH192" s="88" t="str">
        <f t="shared" si="13"/>
        <v/>
      </c>
      <c r="AI192" s="87"/>
      <c r="AJ192" s="89" t="str">
        <f t="shared" si="14"/>
        <v/>
      </c>
      <c r="AK192" s="90"/>
      <c r="AL192" s="89" t="str">
        <f t="shared" si="15"/>
        <v/>
      </c>
      <c r="AM192" s="89"/>
      <c r="AN192" s="93">
        <f t="shared" si="17"/>
        <v>0</v>
      </c>
      <c r="AO192" s="94">
        <f t="shared" si="18"/>
        <v>0</v>
      </c>
      <c r="AP192" s="87"/>
      <c r="AQ192" s="87"/>
      <c r="AR192" s="89" t="str">
        <f t="shared" si="19"/>
        <v/>
      </c>
      <c r="AS192" s="90"/>
      <c r="AT192" s="89" t="str">
        <f t="shared" si="20"/>
        <v/>
      </c>
      <c r="AU192" s="95"/>
      <c r="AV192" s="87"/>
      <c r="AW192" s="87"/>
      <c r="AX192" s="89" t="str">
        <f t="shared" si="21"/>
        <v/>
      </c>
      <c r="AY192" s="90"/>
      <c r="AZ192" s="89" t="str">
        <f t="shared" si="22"/>
        <v/>
      </c>
      <c r="BA192" s="95"/>
      <c r="BB192" s="88" t="str">
        <f t="shared" si="28"/>
        <v/>
      </c>
      <c r="BC192" s="87"/>
      <c r="BD192" s="89" t="str">
        <f t="shared" si="23"/>
        <v/>
      </c>
      <c r="BE192" s="90"/>
      <c r="BF192" s="89" t="str">
        <f t="shared" si="24"/>
        <v/>
      </c>
      <c r="BG192" s="96"/>
    </row>
    <row r="193">
      <c r="A193" s="87"/>
      <c r="B193" s="87"/>
      <c r="C193" s="87"/>
      <c r="D193" s="87"/>
      <c r="E193" s="87"/>
      <c r="F193" s="87"/>
      <c r="G193" s="87"/>
      <c r="H193" s="88" t="str">
        <f t="shared" si="1"/>
        <v/>
      </c>
      <c r="I193" s="87"/>
      <c r="J193" s="89" t="str">
        <f t="shared" si="2"/>
        <v/>
      </c>
      <c r="K193" s="90"/>
      <c r="L193" s="89" t="str">
        <f t="shared" si="3"/>
        <v/>
      </c>
      <c r="M193" s="89"/>
      <c r="N193" s="93">
        <f t="shared" si="5"/>
        <v>0</v>
      </c>
      <c r="O193" s="94">
        <f t="shared" si="6"/>
        <v>0</v>
      </c>
      <c r="P193" s="87"/>
      <c r="Q193" s="87"/>
      <c r="R193" s="89" t="str">
        <f t="shared" si="7"/>
        <v/>
      </c>
      <c r="S193" s="90"/>
      <c r="T193" s="89" t="str">
        <f t="shared" si="8"/>
        <v/>
      </c>
      <c r="U193" s="95"/>
      <c r="V193" s="87"/>
      <c r="W193" s="87"/>
      <c r="X193" s="89" t="str">
        <f t="shared" si="9"/>
        <v/>
      </c>
      <c r="Y193" s="90"/>
      <c r="Z193" s="89" t="str">
        <f t="shared" si="10"/>
        <v/>
      </c>
      <c r="AA193" s="95"/>
      <c r="AB193" s="88" t="str">
        <f t="shared" si="27"/>
        <v/>
      </c>
      <c r="AC193" s="87"/>
      <c r="AD193" s="89" t="str">
        <f t="shared" si="11"/>
        <v/>
      </c>
      <c r="AE193" s="90"/>
      <c r="AF193" s="89" t="str">
        <f t="shared" si="12"/>
        <v/>
      </c>
      <c r="AG193" s="96"/>
      <c r="AH193" s="88" t="str">
        <f t="shared" si="13"/>
        <v/>
      </c>
      <c r="AI193" s="87"/>
      <c r="AJ193" s="89" t="str">
        <f t="shared" si="14"/>
        <v/>
      </c>
      <c r="AK193" s="90"/>
      <c r="AL193" s="89" t="str">
        <f t="shared" si="15"/>
        <v/>
      </c>
      <c r="AM193" s="89"/>
      <c r="AN193" s="93">
        <f t="shared" si="17"/>
        <v>0</v>
      </c>
      <c r="AO193" s="94">
        <f t="shared" si="18"/>
        <v>0</v>
      </c>
      <c r="AP193" s="87"/>
      <c r="AQ193" s="87"/>
      <c r="AR193" s="89" t="str">
        <f t="shared" si="19"/>
        <v/>
      </c>
      <c r="AS193" s="90"/>
      <c r="AT193" s="89" t="str">
        <f t="shared" si="20"/>
        <v/>
      </c>
      <c r="AU193" s="95"/>
      <c r="AV193" s="87"/>
      <c r="AW193" s="87"/>
      <c r="AX193" s="89" t="str">
        <f t="shared" si="21"/>
        <v/>
      </c>
      <c r="AY193" s="90"/>
      <c r="AZ193" s="89" t="str">
        <f t="shared" si="22"/>
        <v/>
      </c>
      <c r="BA193" s="95"/>
      <c r="BB193" s="88" t="str">
        <f t="shared" si="28"/>
        <v/>
      </c>
      <c r="BC193" s="87"/>
      <c r="BD193" s="89" t="str">
        <f t="shared" si="23"/>
        <v/>
      </c>
      <c r="BE193" s="90"/>
      <c r="BF193" s="89" t="str">
        <f t="shared" si="24"/>
        <v/>
      </c>
      <c r="BG193" s="96"/>
    </row>
    <row r="194">
      <c r="A194" s="87"/>
      <c r="B194" s="87"/>
      <c r="C194" s="87"/>
      <c r="D194" s="87"/>
      <c r="E194" s="87"/>
      <c r="F194" s="87"/>
      <c r="G194" s="87"/>
      <c r="H194" s="88" t="str">
        <f t="shared" si="1"/>
        <v/>
      </c>
      <c r="I194" s="87"/>
      <c r="J194" s="89" t="str">
        <f t="shared" si="2"/>
        <v/>
      </c>
      <c r="K194" s="90"/>
      <c r="L194" s="89" t="str">
        <f t="shared" si="3"/>
        <v/>
      </c>
      <c r="M194" s="89"/>
      <c r="N194" s="93">
        <f t="shared" si="5"/>
        <v>0</v>
      </c>
      <c r="O194" s="94">
        <f t="shared" si="6"/>
        <v>0</v>
      </c>
      <c r="P194" s="87"/>
      <c r="Q194" s="87"/>
      <c r="R194" s="89" t="str">
        <f t="shared" si="7"/>
        <v/>
      </c>
      <c r="S194" s="90"/>
      <c r="T194" s="89" t="str">
        <f t="shared" si="8"/>
        <v/>
      </c>
      <c r="U194" s="95"/>
      <c r="V194" s="87"/>
      <c r="W194" s="87"/>
      <c r="X194" s="89" t="str">
        <f t="shared" si="9"/>
        <v/>
      </c>
      <c r="Y194" s="90"/>
      <c r="Z194" s="89" t="str">
        <f t="shared" si="10"/>
        <v/>
      </c>
      <c r="AA194" s="95"/>
      <c r="AB194" s="88" t="str">
        <f t="shared" si="27"/>
        <v/>
      </c>
      <c r="AC194" s="87"/>
      <c r="AD194" s="89" t="str">
        <f t="shared" si="11"/>
        <v/>
      </c>
      <c r="AE194" s="90"/>
      <c r="AF194" s="89" t="str">
        <f t="shared" si="12"/>
        <v/>
      </c>
      <c r="AG194" s="96"/>
      <c r="AH194" s="88" t="str">
        <f t="shared" si="13"/>
        <v/>
      </c>
      <c r="AI194" s="87"/>
      <c r="AJ194" s="89" t="str">
        <f t="shared" si="14"/>
        <v/>
      </c>
      <c r="AK194" s="90"/>
      <c r="AL194" s="89" t="str">
        <f t="shared" si="15"/>
        <v/>
      </c>
      <c r="AM194" s="89"/>
      <c r="AN194" s="93">
        <f t="shared" si="17"/>
        <v>0</v>
      </c>
      <c r="AO194" s="94">
        <f t="shared" si="18"/>
        <v>0</v>
      </c>
      <c r="AP194" s="87"/>
      <c r="AQ194" s="87"/>
      <c r="AR194" s="89" t="str">
        <f t="shared" si="19"/>
        <v/>
      </c>
      <c r="AS194" s="90"/>
      <c r="AT194" s="89" t="str">
        <f t="shared" si="20"/>
        <v/>
      </c>
      <c r="AU194" s="95"/>
      <c r="AV194" s="87"/>
      <c r="AW194" s="87"/>
      <c r="AX194" s="89" t="str">
        <f t="shared" si="21"/>
        <v/>
      </c>
      <c r="AY194" s="90"/>
      <c r="AZ194" s="89" t="str">
        <f t="shared" si="22"/>
        <v/>
      </c>
      <c r="BA194" s="95"/>
      <c r="BB194" s="88" t="str">
        <f t="shared" si="28"/>
        <v/>
      </c>
      <c r="BC194" s="87"/>
      <c r="BD194" s="89" t="str">
        <f t="shared" si="23"/>
        <v/>
      </c>
      <c r="BE194" s="90"/>
      <c r="BF194" s="89" t="str">
        <f t="shared" si="24"/>
        <v/>
      </c>
      <c r="BG194" s="96"/>
    </row>
    <row r="195">
      <c r="A195" s="87"/>
      <c r="B195" s="87"/>
      <c r="C195" s="87"/>
      <c r="D195" s="87"/>
      <c r="E195" s="87"/>
      <c r="F195" s="87"/>
      <c r="G195" s="87"/>
      <c r="H195" s="88" t="str">
        <f t="shared" si="1"/>
        <v/>
      </c>
      <c r="I195" s="87"/>
      <c r="J195" s="89" t="str">
        <f t="shared" si="2"/>
        <v/>
      </c>
      <c r="K195" s="90"/>
      <c r="L195" s="89" t="str">
        <f t="shared" si="3"/>
        <v/>
      </c>
      <c r="M195" s="89"/>
      <c r="N195" s="93">
        <f t="shared" si="5"/>
        <v>0</v>
      </c>
      <c r="O195" s="94">
        <f t="shared" si="6"/>
        <v>0</v>
      </c>
      <c r="P195" s="87"/>
      <c r="Q195" s="87"/>
      <c r="R195" s="89" t="str">
        <f t="shared" si="7"/>
        <v/>
      </c>
      <c r="S195" s="90"/>
      <c r="T195" s="89" t="str">
        <f t="shared" si="8"/>
        <v/>
      </c>
      <c r="U195" s="95"/>
      <c r="V195" s="87"/>
      <c r="W195" s="87"/>
      <c r="X195" s="89" t="str">
        <f t="shared" si="9"/>
        <v/>
      </c>
      <c r="Y195" s="90"/>
      <c r="Z195" s="89" t="str">
        <f t="shared" si="10"/>
        <v/>
      </c>
      <c r="AA195" s="95"/>
      <c r="AB195" s="88" t="str">
        <f t="shared" si="27"/>
        <v/>
      </c>
      <c r="AC195" s="87"/>
      <c r="AD195" s="89" t="str">
        <f t="shared" si="11"/>
        <v/>
      </c>
      <c r="AE195" s="90"/>
      <c r="AF195" s="89" t="str">
        <f t="shared" si="12"/>
        <v/>
      </c>
      <c r="AG195" s="96"/>
      <c r="AH195" s="88" t="str">
        <f t="shared" si="13"/>
        <v/>
      </c>
      <c r="AI195" s="87"/>
      <c r="AJ195" s="89" t="str">
        <f t="shared" si="14"/>
        <v/>
      </c>
      <c r="AK195" s="90"/>
      <c r="AL195" s="89" t="str">
        <f t="shared" si="15"/>
        <v/>
      </c>
      <c r="AM195" s="89"/>
      <c r="AN195" s="93">
        <f t="shared" si="17"/>
        <v>0</v>
      </c>
      <c r="AO195" s="94">
        <f t="shared" si="18"/>
        <v>0</v>
      </c>
      <c r="AP195" s="87"/>
      <c r="AQ195" s="87"/>
      <c r="AR195" s="89" t="str">
        <f t="shared" si="19"/>
        <v/>
      </c>
      <c r="AS195" s="90"/>
      <c r="AT195" s="89" t="str">
        <f t="shared" si="20"/>
        <v/>
      </c>
      <c r="AU195" s="95"/>
      <c r="AV195" s="87"/>
      <c r="AW195" s="87"/>
      <c r="AX195" s="89" t="str">
        <f t="shared" si="21"/>
        <v/>
      </c>
      <c r="AY195" s="90"/>
      <c r="AZ195" s="89" t="str">
        <f t="shared" si="22"/>
        <v/>
      </c>
      <c r="BA195" s="95"/>
      <c r="BB195" s="88" t="str">
        <f t="shared" si="28"/>
        <v/>
      </c>
      <c r="BC195" s="87"/>
      <c r="BD195" s="89" t="str">
        <f t="shared" si="23"/>
        <v/>
      </c>
      <c r="BE195" s="90"/>
      <c r="BF195" s="89" t="str">
        <f t="shared" si="24"/>
        <v/>
      </c>
      <c r="BG195" s="96"/>
    </row>
    <row r="196">
      <c r="A196" s="87"/>
      <c r="B196" s="87"/>
      <c r="C196" s="87"/>
      <c r="D196" s="87"/>
      <c r="E196" s="87"/>
      <c r="F196" s="87"/>
      <c r="G196" s="87"/>
      <c r="H196" s="88" t="str">
        <f t="shared" si="1"/>
        <v/>
      </c>
      <c r="I196" s="87"/>
      <c r="J196" s="89" t="str">
        <f t="shared" si="2"/>
        <v/>
      </c>
      <c r="K196" s="90"/>
      <c r="L196" s="89" t="str">
        <f t="shared" si="3"/>
        <v/>
      </c>
      <c r="M196" s="89"/>
      <c r="N196" s="93">
        <f t="shared" si="5"/>
        <v>0</v>
      </c>
      <c r="O196" s="94">
        <f t="shared" si="6"/>
        <v>0</v>
      </c>
      <c r="P196" s="87"/>
      <c r="Q196" s="87"/>
      <c r="R196" s="89" t="str">
        <f t="shared" si="7"/>
        <v/>
      </c>
      <c r="S196" s="90"/>
      <c r="T196" s="89" t="str">
        <f t="shared" si="8"/>
        <v/>
      </c>
      <c r="U196" s="95"/>
      <c r="V196" s="87"/>
      <c r="W196" s="87"/>
      <c r="X196" s="89" t="str">
        <f t="shared" si="9"/>
        <v/>
      </c>
      <c r="Y196" s="90"/>
      <c r="Z196" s="89" t="str">
        <f t="shared" si="10"/>
        <v/>
      </c>
      <c r="AA196" s="95"/>
      <c r="AB196" s="88" t="str">
        <f t="shared" si="27"/>
        <v/>
      </c>
      <c r="AC196" s="87"/>
      <c r="AD196" s="89" t="str">
        <f t="shared" si="11"/>
        <v/>
      </c>
      <c r="AE196" s="90"/>
      <c r="AF196" s="89" t="str">
        <f t="shared" si="12"/>
        <v/>
      </c>
      <c r="AG196" s="96"/>
      <c r="AH196" s="88" t="str">
        <f t="shared" si="13"/>
        <v/>
      </c>
      <c r="AI196" s="87"/>
      <c r="AJ196" s="89" t="str">
        <f t="shared" si="14"/>
        <v/>
      </c>
      <c r="AK196" s="90"/>
      <c r="AL196" s="89" t="str">
        <f t="shared" si="15"/>
        <v/>
      </c>
      <c r="AM196" s="89"/>
      <c r="AN196" s="93">
        <f t="shared" si="17"/>
        <v>0</v>
      </c>
      <c r="AO196" s="94">
        <f t="shared" si="18"/>
        <v>0</v>
      </c>
      <c r="AP196" s="87"/>
      <c r="AQ196" s="87"/>
      <c r="AR196" s="89" t="str">
        <f t="shared" si="19"/>
        <v/>
      </c>
      <c r="AS196" s="90"/>
      <c r="AT196" s="89" t="str">
        <f t="shared" si="20"/>
        <v/>
      </c>
      <c r="AU196" s="95"/>
      <c r="AV196" s="87"/>
      <c r="AW196" s="87"/>
      <c r="AX196" s="89" t="str">
        <f t="shared" si="21"/>
        <v/>
      </c>
      <c r="AY196" s="90"/>
      <c r="AZ196" s="89" t="str">
        <f t="shared" si="22"/>
        <v/>
      </c>
      <c r="BA196" s="95"/>
      <c r="BB196" s="88" t="str">
        <f t="shared" si="28"/>
        <v/>
      </c>
      <c r="BC196" s="87"/>
      <c r="BD196" s="89" t="str">
        <f t="shared" si="23"/>
        <v/>
      </c>
      <c r="BE196" s="90"/>
      <c r="BF196" s="89" t="str">
        <f t="shared" si="24"/>
        <v/>
      </c>
      <c r="BG196" s="96"/>
    </row>
    <row r="197">
      <c r="A197" s="87"/>
      <c r="B197" s="87"/>
      <c r="C197" s="87"/>
      <c r="D197" s="87"/>
      <c r="E197" s="87"/>
      <c r="F197" s="87"/>
      <c r="G197" s="87"/>
      <c r="H197" s="88" t="str">
        <f t="shared" si="1"/>
        <v/>
      </c>
      <c r="I197" s="87"/>
      <c r="J197" s="89" t="str">
        <f t="shared" si="2"/>
        <v/>
      </c>
      <c r="K197" s="90"/>
      <c r="L197" s="89" t="str">
        <f t="shared" si="3"/>
        <v/>
      </c>
      <c r="M197" s="89"/>
      <c r="N197" s="93">
        <f t="shared" si="5"/>
        <v>0</v>
      </c>
      <c r="O197" s="94">
        <f t="shared" si="6"/>
        <v>0</v>
      </c>
      <c r="P197" s="87"/>
      <c r="Q197" s="87"/>
      <c r="R197" s="89" t="str">
        <f t="shared" si="7"/>
        <v/>
      </c>
      <c r="S197" s="90"/>
      <c r="T197" s="89" t="str">
        <f t="shared" si="8"/>
        <v/>
      </c>
      <c r="U197" s="95"/>
      <c r="V197" s="87"/>
      <c r="W197" s="87"/>
      <c r="X197" s="89" t="str">
        <f t="shared" si="9"/>
        <v/>
      </c>
      <c r="Y197" s="90"/>
      <c r="Z197" s="89" t="str">
        <f t="shared" si="10"/>
        <v/>
      </c>
      <c r="AA197" s="95"/>
      <c r="AB197" s="88" t="str">
        <f t="shared" si="27"/>
        <v/>
      </c>
      <c r="AC197" s="87"/>
      <c r="AD197" s="89" t="str">
        <f t="shared" si="11"/>
        <v/>
      </c>
      <c r="AE197" s="90"/>
      <c r="AF197" s="89" t="str">
        <f t="shared" si="12"/>
        <v/>
      </c>
      <c r="AG197" s="96"/>
      <c r="AH197" s="88" t="str">
        <f t="shared" si="13"/>
        <v/>
      </c>
      <c r="AI197" s="87"/>
      <c r="AJ197" s="89" t="str">
        <f t="shared" si="14"/>
        <v/>
      </c>
      <c r="AK197" s="90"/>
      <c r="AL197" s="89" t="str">
        <f t="shared" si="15"/>
        <v/>
      </c>
      <c r="AM197" s="89"/>
      <c r="AN197" s="93">
        <f t="shared" si="17"/>
        <v>0</v>
      </c>
      <c r="AO197" s="94">
        <f t="shared" si="18"/>
        <v>0</v>
      </c>
      <c r="AP197" s="87"/>
      <c r="AQ197" s="87"/>
      <c r="AR197" s="89" t="str">
        <f t="shared" si="19"/>
        <v/>
      </c>
      <c r="AS197" s="90"/>
      <c r="AT197" s="89" t="str">
        <f t="shared" si="20"/>
        <v/>
      </c>
      <c r="AU197" s="95"/>
      <c r="AV197" s="87"/>
      <c r="AW197" s="87"/>
      <c r="AX197" s="89" t="str">
        <f t="shared" si="21"/>
        <v/>
      </c>
      <c r="AY197" s="90"/>
      <c r="AZ197" s="89" t="str">
        <f t="shared" si="22"/>
        <v/>
      </c>
      <c r="BA197" s="95"/>
      <c r="BB197" s="88" t="str">
        <f t="shared" si="28"/>
        <v/>
      </c>
      <c r="BC197" s="87"/>
      <c r="BD197" s="89" t="str">
        <f t="shared" si="23"/>
        <v/>
      </c>
      <c r="BE197" s="90"/>
      <c r="BF197" s="89" t="str">
        <f t="shared" si="24"/>
        <v/>
      </c>
      <c r="BG197" s="96"/>
    </row>
    <row r="198">
      <c r="A198" s="87"/>
      <c r="B198" s="87"/>
      <c r="C198" s="87"/>
      <c r="D198" s="87"/>
      <c r="E198" s="87"/>
      <c r="F198" s="87"/>
      <c r="G198" s="87"/>
      <c r="H198" s="88" t="str">
        <f t="shared" si="1"/>
        <v/>
      </c>
      <c r="I198" s="87"/>
      <c r="J198" s="89" t="str">
        <f t="shared" si="2"/>
        <v/>
      </c>
      <c r="K198" s="90"/>
      <c r="L198" s="89" t="str">
        <f t="shared" si="3"/>
        <v/>
      </c>
      <c r="M198" s="89"/>
      <c r="N198" s="93">
        <f t="shared" si="5"/>
        <v>0</v>
      </c>
      <c r="O198" s="94">
        <f t="shared" si="6"/>
        <v>0</v>
      </c>
      <c r="P198" s="87"/>
      <c r="Q198" s="87"/>
      <c r="R198" s="89" t="str">
        <f t="shared" si="7"/>
        <v/>
      </c>
      <c r="S198" s="90"/>
      <c r="T198" s="89" t="str">
        <f t="shared" si="8"/>
        <v/>
      </c>
      <c r="U198" s="95"/>
      <c r="V198" s="87"/>
      <c r="W198" s="87"/>
      <c r="X198" s="89" t="str">
        <f t="shared" si="9"/>
        <v/>
      </c>
      <c r="Y198" s="90"/>
      <c r="Z198" s="89" t="str">
        <f t="shared" si="10"/>
        <v/>
      </c>
      <c r="AA198" s="95"/>
      <c r="AB198" s="88" t="str">
        <f t="shared" si="27"/>
        <v/>
      </c>
      <c r="AC198" s="87"/>
      <c r="AD198" s="89" t="str">
        <f t="shared" si="11"/>
        <v/>
      </c>
      <c r="AE198" s="90"/>
      <c r="AF198" s="89" t="str">
        <f t="shared" si="12"/>
        <v/>
      </c>
      <c r="AG198" s="96"/>
      <c r="AH198" s="88" t="str">
        <f t="shared" si="13"/>
        <v/>
      </c>
      <c r="AI198" s="87"/>
      <c r="AJ198" s="89" t="str">
        <f t="shared" si="14"/>
        <v/>
      </c>
      <c r="AK198" s="90"/>
      <c r="AL198" s="89" t="str">
        <f t="shared" si="15"/>
        <v/>
      </c>
      <c r="AM198" s="89"/>
      <c r="AN198" s="93">
        <f t="shared" si="17"/>
        <v>0</v>
      </c>
      <c r="AO198" s="94">
        <f t="shared" si="18"/>
        <v>0</v>
      </c>
      <c r="AP198" s="87"/>
      <c r="AQ198" s="87"/>
      <c r="AR198" s="89" t="str">
        <f t="shared" si="19"/>
        <v/>
      </c>
      <c r="AS198" s="90"/>
      <c r="AT198" s="89" t="str">
        <f t="shared" si="20"/>
        <v/>
      </c>
      <c r="AU198" s="95"/>
      <c r="AV198" s="87"/>
      <c r="AW198" s="87"/>
      <c r="AX198" s="89" t="str">
        <f t="shared" si="21"/>
        <v/>
      </c>
      <c r="AY198" s="90"/>
      <c r="AZ198" s="89" t="str">
        <f t="shared" si="22"/>
        <v/>
      </c>
      <c r="BA198" s="95"/>
      <c r="BB198" s="88" t="str">
        <f t="shared" si="28"/>
        <v/>
      </c>
      <c r="BC198" s="87"/>
      <c r="BD198" s="89" t="str">
        <f t="shared" si="23"/>
        <v/>
      </c>
      <c r="BE198" s="90"/>
      <c r="BF198" s="89" t="str">
        <f t="shared" si="24"/>
        <v/>
      </c>
      <c r="BG198" s="96"/>
    </row>
    <row r="199">
      <c r="A199" s="87"/>
      <c r="B199" s="87"/>
      <c r="C199" s="87"/>
      <c r="D199" s="87"/>
      <c r="E199" s="87"/>
      <c r="F199" s="87"/>
      <c r="G199" s="87"/>
      <c r="H199" s="88" t="str">
        <f t="shared" si="1"/>
        <v/>
      </c>
      <c r="I199" s="87"/>
      <c r="J199" s="89" t="str">
        <f t="shared" si="2"/>
        <v/>
      </c>
      <c r="K199" s="90"/>
      <c r="L199" s="89" t="str">
        <f t="shared" si="3"/>
        <v/>
      </c>
      <c r="M199" s="89"/>
      <c r="N199" s="93">
        <f t="shared" si="5"/>
        <v>0</v>
      </c>
      <c r="O199" s="94">
        <f t="shared" si="6"/>
        <v>0</v>
      </c>
      <c r="P199" s="87"/>
      <c r="Q199" s="87"/>
      <c r="R199" s="89" t="str">
        <f t="shared" si="7"/>
        <v/>
      </c>
      <c r="S199" s="90"/>
      <c r="T199" s="89" t="str">
        <f t="shared" si="8"/>
        <v/>
      </c>
      <c r="U199" s="95"/>
      <c r="V199" s="87"/>
      <c r="W199" s="87"/>
      <c r="X199" s="89" t="str">
        <f t="shared" si="9"/>
        <v/>
      </c>
      <c r="Y199" s="90"/>
      <c r="Z199" s="89" t="str">
        <f t="shared" si="10"/>
        <v/>
      </c>
      <c r="AA199" s="95"/>
      <c r="AB199" s="88" t="str">
        <f t="shared" si="27"/>
        <v/>
      </c>
      <c r="AC199" s="87"/>
      <c r="AD199" s="89" t="str">
        <f t="shared" si="11"/>
        <v/>
      </c>
      <c r="AE199" s="90"/>
      <c r="AF199" s="89" t="str">
        <f t="shared" si="12"/>
        <v/>
      </c>
      <c r="AG199" s="96"/>
      <c r="AH199" s="88" t="str">
        <f t="shared" si="13"/>
        <v/>
      </c>
      <c r="AI199" s="87"/>
      <c r="AJ199" s="89" t="str">
        <f t="shared" si="14"/>
        <v/>
      </c>
      <c r="AK199" s="90"/>
      <c r="AL199" s="89" t="str">
        <f t="shared" si="15"/>
        <v/>
      </c>
      <c r="AM199" s="89"/>
      <c r="AN199" s="93">
        <f t="shared" si="17"/>
        <v>0</v>
      </c>
      <c r="AO199" s="94">
        <f t="shared" si="18"/>
        <v>0</v>
      </c>
      <c r="AP199" s="87"/>
      <c r="AQ199" s="87"/>
      <c r="AR199" s="89" t="str">
        <f t="shared" si="19"/>
        <v/>
      </c>
      <c r="AS199" s="90"/>
      <c r="AT199" s="89" t="str">
        <f t="shared" si="20"/>
        <v/>
      </c>
      <c r="AU199" s="95"/>
      <c r="AV199" s="87"/>
      <c r="AW199" s="87"/>
      <c r="AX199" s="89" t="str">
        <f t="shared" si="21"/>
        <v/>
      </c>
      <c r="AY199" s="90"/>
      <c r="AZ199" s="89" t="str">
        <f t="shared" si="22"/>
        <v/>
      </c>
      <c r="BA199" s="95"/>
      <c r="BB199" s="88" t="str">
        <f t="shared" si="28"/>
        <v/>
      </c>
      <c r="BC199" s="87"/>
      <c r="BD199" s="89" t="str">
        <f t="shared" si="23"/>
        <v/>
      </c>
      <c r="BE199" s="90"/>
      <c r="BF199" s="89" t="str">
        <f t="shared" si="24"/>
        <v/>
      </c>
      <c r="BG199" s="96"/>
    </row>
    <row r="200">
      <c r="A200" s="87"/>
      <c r="B200" s="87"/>
      <c r="C200" s="87"/>
      <c r="D200" s="87"/>
      <c r="E200" s="87"/>
      <c r="F200" s="87"/>
      <c r="G200" s="87"/>
      <c r="H200" s="88" t="str">
        <f t="shared" si="1"/>
        <v/>
      </c>
      <c r="I200" s="87"/>
      <c r="J200" s="89" t="str">
        <f t="shared" si="2"/>
        <v/>
      </c>
      <c r="K200" s="90"/>
      <c r="L200" s="89" t="str">
        <f t="shared" si="3"/>
        <v/>
      </c>
      <c r="M200" s="89"/>
      <c r="N200" s="93">
        <f t="shared" si="5"/>
        <v>0</v>
      </c>
      <c r="O200" s="94">
        <f t="shared" si="6"/>
        <v>0</v>
      </c>
      <c r="P200" s="87"/>
      <c r="Q200" s="87"/>
      <c r="R200" s="89" t="str">
        <f t="shared" si="7"/>
        <v/>
      </c>
      <c r="S200" s="90"/>
      <c r="T200" s="89" t="str">
        <f t="shared" si="8"/>
        <v/>
      </c>
      <c r="U200" s="95"/>
      <c r="V200" s="87"/>
      <c r="W200" s="87"/>
      <c r="X200" s="89" t="str">
        <f t="shared" si="9"/>
        <v/>
      </c>
      <c r="Y200" s="90"/>
      <c r="Z200" s="89" t="str">
        <f t="shared" si="10"/>
        <v/>
      </c>
      <c r="AA200" s="95"/>
      <c r="AB200" s="88" t="str">
        <f t="shared" si="27"/>
        <v/>
      </c>
      <c r="AC200" s="87"/>
      <c r="AD200" s="89" t="str">
        <f t="shared" si="11"/>
        <v/>
      </c>
      <c r="AE200" s="90"/>
      <c r="AF200" s="89" t="str">
        <f t="shared" si="12"/>
        <v/>
      </c>
      <c r="AG200" s="96"/>
      <c r="AH200" s="88" t="str">
        <f t="shared" si="13"/>
        <v/>
      </c>
      <c r="AI200" s="87"/>
      <c r="AJ200" s="89" t="str">
        <f t="shared" si="14"/>
        <v/>
      </c>
      <c r="AK200" s="90"/>
      <c r="AL200" s="89" t="str">
        <f t="shared" si="15"/>
        <v/>
      </c>
      <c r="AM200" s="89"/>
      <c r="AN200" s="93">
        <f t="shared" si="17"/>
        <v>0</v>
      </c>
      <c r="AO200" s="94">
        <f t="shared" si="18"/>
        <v>0</v>
      </c>
      <c r="AP200" s="87"/>
      <c r="AQ200" s="87"/>
      <c r="AR200" s="89" t="str">
        <f t="shared" si="19"/>
        <v/>
      </c>
      <c r="AS200" s="90"/>
      <c r="AT200" s="89" t="str">
        <f t="shared" si="20"/>
        <v/>
      </c>
      <c r="AU200" s="95"/>
      <c r="AV200" s="87"/>
      <c r="AW200" s="87"/>
      <c r="AX200" s="89" t="str">
        <f t="shared" si="21"/>
        <v/>
      </c>
      <c r="AY200" s="90"/>
      <c r="AZ200" s="89" t="str">
        <f t="shared" si="22"/>
        <v/>
      </c>
      <c r="BA200" s="95"/>
      <c r="BB200" s="88" t="str">
        <f t="shared" si="28"/>
        <v/>
      </c>
      <c r="BC200" s="87"/>
      <c r="BD200" s="89" t="str">
        <f t="shared" si="23"/>
        <v/>
      </c>
      <c r="BE200" s="90"/>
      <c r="BF200" s="89" t="str">
        <f t="shared" si="24"/>
        <v/>
      </c>
      <c r="BG200" s="96"/>
    </row>
    <row r="201">
      <c r="A201" s="87"/>
      <c r="B201" s="87"/>
      <c r="C201" s="87"/>
      <c r="D201" s="87"/>
      <c r="E201" s="87"/>
      <c r="F201" s="87"/>
      <c r="G201" s="87"/>
      <c r="H201" s="88" t="str">
        <f t="shared" si="1"/>
        <v/>
      </c>
      <c r="I201" s="87"/>
      <c r="J201" s="89" t="str">
        <f t="shared" si="2"/>
        <v/>
      </c>
      <c r="K201" s="90"/>
      <c r="L201" s="89" t="str">
        <f t="shared" si="3"/>
        <v/>
      </c>
      <c r="M201" s="89"/>
      <c r="N201" s="93">
        <f t="shared" si="5"/>
        <v>0</v>
      </c>
      <c r="O201" s="94">
        <f t="shared" si="6"/>
        <v>0</v>
      </c>
      <c r="P201" s="87"/>
      <c r="Q201" s="87"/>
      <c r="R201" s="89" t="str">
        <f t="shared" si="7"/>
        <v/>
      </c>
      <c r="S201" s="90"/>
      <c r="T201" s="89" t="str">
        <f t="shared" si="8"/>
        <v/>
      </c>
      <c r="U201" s="95"/>
      <c r="V201" s="87"/>
      <c r="W201" s="87"/>
      <c r="X201" s="89" t="str">
        <f t="shared" si="9"/>
        <v/>
      </c>
      <c r="Y201" s="90"/>
      <c r="Z201" s="89" t="str">
        <f t="shared" si="10"/>
        <v/>
      </c>
      <c r="AA201" s="95"/>
      <c r="AB201" s="88" t="str">
        <f t="shared" si="27"/>
        <v/>
      </c>
      <c r="AC201" s="87"/>
      <c r="AD201" s="89" t="str">
        <f t="shared" si="11"/>
        <v/>
      </c>
      <c r="AE201" s="90"/>
      <c r="AF201" s="89" t="str">
        <f t="shared" si="12"/>
        <v/>
      </c>
      <c r="AG201" s="96"/>
      <c r="AH201" s="88" t="str">
        <f t="shared" si="13"/>
        <v/>
      </c>
      <c r="AI201" s="87"/>
      <c r="AJ201" s="89" t="str">
        <f t="shared" si="14"/>
        <v/>
      </c>
      <c r="AK201" s="90"/>
      <c r="AL201" s="89" t="str">
        <f t="shared" si="15"/>
        <v/>
      </c>
      <c r="AM201" s="89"/>
      <c r="AN201" s="93">
        <f t="shared" si="17"/>
        <v>0</v>
      </c>
      <c r="AO201" s="94">
        <f t="shared" si="18"/>
        <v>0</v>
      </c>
      <c r="AP201" s="87"/>
      <c r="AQ201" s="87"/>
      <c r="AR201" s="89" t="str">
        <f t="shared" si="19"/>
        <v/>
      </c>
      <c r="AS201" s="90"/>
      <c r="AT201" s="89" t="str">
        <f t="shared" si="20"/>
        <v/>
      </c>
      <c r="AU201" s="95"/>
      <c r="AV201" s="87"/>
      <c r="AW201" s="87"/>
      <c r="AX201" s="89" t="str">
        <f t="shared" si="21"/>
        <v/>
      </c>
      <c r="AY201" s="90"/>
      <c r="AZ201" s="89" t="str">
        <f t="shared" si="22"/>
        <v/>
      </c>
      <c r="BA201" s="95"/>
      <c r="BB201" s="88" t="str">
        <f t="shared" si="28"/>
        <v/>
      </c>
      <c r="BC201" s="87"/>
      <c r="BD201" s="89" t="str">
        <f t="shared" si="23"/>
        <v/>
      </c>
      <c r="BE201" s="90"/>
      <c r="BF201" s="89" t="str">
        <f t="shared" si="24"/>
        <v/>
      </c>
      <c r="BG201" s="96"/>
    </row>
    <row r="202">
      <c r="A202" s="87"/>
      <c r="B202" s="87"/>
      <c r="C202" s="87"/>
      <c r="D202" s="87"/>
      <c r="E202" s="87"/>
      <c r="F202" s="87"/>
      <c r="G202" s="87"/>
      <c r="H202" s="88" t="str">
        <f t="shared" si="1"/>
        <v/>
      </c>
      <c r="I202" s="87"/>
      <c r="J202" s="89" t="str">
        <f t="shared" si="2"/>
        <v/>
      </c>
      <c r="K202" s="90"/>
      <c r="L202" s="89" t="str">
        <f t="shared" si="3"/>
        <v/>
      </c>
      <c r="M202" s="89"/>
      <c r="N202" s="93">
        <f t="shared" si="5"/>
        <v>0</v>
      </c>
      <c r="O202" s="94">
        <f t="shared" si="6"/>
        <v>0</v>
      </c>
      <c r="P202" s="87"/>
      <c r="Q202" s="87"/>
      <c r="R202" s="89" t="str">
        <f t="shared" si="7"/>
        <v/>
      </c>
      <c r="S202" s="90"/>
      <c r="T202" s="89" t="str">
        <f t="shared" si="8"/>
        <v/>
      </c>
      <c r="U202" s="95"/>
      <c r="V202" s="87"/>
      <c r="W202" s="87"/>
      <c r="X202" s="89" t="str">
        <f t="shared" si="9"/>
        <v/>
      </c>
      <c r="Y202" s="90"/>
      <c r="Z202" s="89" t="str">
        <f t="shared" si="10"/>
        <v/>
      </c>
      <c r="AA202" s="95"/>
      <c r="AB202" s="88" t="str">
        <f t="shared" si="27"/>
        <v/>
      </c>
      <c r="AC202" s="87"/>
      <c r="AD202" s="89" t="str">
        <f t="shared" si="11"/>
        <v/>
      </c>
      <c r="AE202" s="90"/>
      <c r="AF202" s="89" t="str">
        <f t="shared" si="12"/>
        <v/>
      </c>
      <c r="AG202" s="96"/>
      <c r="AH202" s="88" t="str">
        <f t="shared" si="13"/>
        <v/>
      </c>
      <c r="AI202" s="87"/>
      <c r="AJ202" s="89" t="str">
        <f t="shared" si="14"/>
        <v/>
      </c>
      <c r="AK202" s="90"/>
      <c r="AL202" s="89" t="str">
        <f t="shared" si="15"/>
        <v/>
      </c>
      <c r="AM202" s="89"/>
      <c r="AN202" s="93">
        <f t="shared" si="17"/>
        <v>0</v>
      </c>
      <c r="AO202" s="94">
        <f t="shared" si="18"/>
        <v>0</v>
      </c>
      <c r="AP202" s="87"/>
      <c r="AQ202" s="87"/>
      <c r="AR202" s="89" t="str">
        <f t="shared" si="19"/>
        <v/>
      </c>
      <c r="AS202" s="90"/>
      <c r="AT202" s="89" t="str">
        <f t="shared" si="20"/>
        <v/>
      </c>
      <c r="AU202" s="95"/>
      <c r="AV202" s="87"/>
      <c r="AW202" s="87"/>
      <c r="AX202" s="89" t="str">
        <f t="shared" si="21"/>
        <v/>
      </c>
      <c r="AY202" s="90"/>
      <c r="AZ202" s="89" t="str">
        <f t="shared" si="22"/>
        <v/>
      </c>
      <c r="BA202" s="95"/>
      <c r="BB202" s="88" t="str">
        <f t="shared" si="28"/>
        <v/>
      </c>
      <c r="BC202" s="87"/>
      <c r="BD202" s="89" t="str">
        <f t="shared" si="23"/>
        <v/>
      </c>
      <c r="BE202" s="90"/>
      <c r="BF202" s="89" t="str">
        <f t="shared" si="24"/>
        <v/>
      </c>
      <c r="BG202" s="96"/>
    </row>
    <row r="203">
      <c r="A203" s="87"/>
      <c r="B203" s="87"/>
      <c r="C203" s="87"/>
      <c r="D203" s="87"/>
      <c r="E203" s="87"/>
      <c r="F203" s="87"/>
      <c r="G203" s="87"/>
      <c r="H203" s="88" t="str">
        <f t="shared" si="1"/>
        <v/>
      </c>
      <c r="I203" s="87"/>
      <c r="J203" s="89" t="str">
        <f t="shared" si="2"/>
        <v/>
      </c>
      <c r="K203" s="90"/>
      <c r="L203" s="89" t="str">
        <f t="shared" si="3"/>
        <v/>
      </c>
      <c r="M203" s="89"/>
      <c r="N203" s="93">
        <f t="shared" si="5"/>
        <v>0</v>
      </c>
      <c r="O203" s="94">
        <f t="shared" si="6"/>
        <v>0</v>
      </c>
      <c r="P203" s="87"/>
      <c r="Q203" s="87"/>
      <c r="R203" s="89" t="str">
        <f t="shared" si="7"/>
        <v/>
      </c>
      <c r="S203" s="90"/>
      <c r="T203" s="89" t="str">
        <f t="shared" si="8"/>
        <v/>
      </c>
      <c r="U203" s="95"/>
      <c r="V203" s="87"/>
      <c r="W203" s="87"/>
      <c r="X203" s="89" t="str">
        <f t="shared" si="9"/>
        <v/>
      </c>
      <c r="Y203" s="90"/>
      <c r="Z203" s="89" t="str">
        <f t="shared" si="10"/>
        <v/>
      </c>
      <c r="AA203" s="95"/>
      <c r="AB203" s="88" t="str">
        <f t="shared" si="27"/>
        <v/>
      </c>
      <c r="AC203" s="87"/>
      <c r="AD203" s="89" t="str">
        <f t="shared" si="11"/>
        <v/>
      </c>
      <c r="AE203" s="90"/>
      <c r="AF203" s="89" t="str">
        <f t="shared" si="12"/>
        <v/>
      </c>
      <c r="AG203" s="96"/>
      <c r="AH203" s="88" t="str">
        <f t="shared" si="13"/>
        <v/>
      </c>
      <c r="AI203" s="87"/>
      <c r="AJ203" s="89" t="str">
        <f t="shared" si="14"/>
        <v/>
      </c>
      <c r="AK203" s="90"/>
      <c r="AL203" s="89" t="str">
        <f t="shared" si="15"/>
        <v/>
      </c>
      <c r="AM203" s="89"/>
      <c r="AN203" s="93">
        <f t="shared" si="17"/>
        <v>0</v>
      </c>
      <c r="AO203" s="94">
        <f t="shared" si="18"/>
        <v>0</v>
      </c>
      <c r="AP203" s="87"/>
      <c r="AQ203" s="87"/>
      <c r="AR203" s="89" t="str">
        <f t="shared" si="19"/>
        <v/>
      </c>
      <c r="AS203" s="90"/>
      <c r="AT203" s="89" t="str">
        <f t="shared" si="20"/>
        <v/>
      </c>
      <c r="AU203" s="95"/>
      <c r="AV203" s="87"/>
      <c r="AW203" s="87"/>
      <c r="AX203" s="89" t="str">
        <f t="shared" si="21"/>
        <v/>
      </c>
      <c r="AY203" s="90"/>
      <c r="AZ203" s="89" t="str">
        <f t="shared" si="22"/>
        <v/>
      </c>
      <c r="BA203" s="95"/>
      <c r="BB203" s="88" t="str">
        <f t="shared" si="28"/>
        <v/>
      </c>
      <c r="BC203" s="87"/>
      <c r="BD203" s="89" t="str">
        <f t="shared" si="23"/>
        <v/>
      </c>
      <c r="BE203" s="90"/>
      <c r="BF203" s="89" t="str">
        <f t="shared" si="24"/>
        <v/>
      </c>
      <c r="BG203" s="96"/>
    </row>
    <row r="204">
      <c r="A204" s="87"/>
      <c r="B204" s="87"/>
      <c r="C204" s="87"/>
      <c r="D204" s="87"/>
      <c r="E204" s="87"/>
      <c r="F204" s="87"/>
      <c r="G204" s="87"/>
      <c r="H204" s="88" t="str">
        <f t="shared" si="1"/>
        <v/>
      </c>
      <c r="I204" s="87"/>
      <c r="J204" s="89" t="str">
        <f t="shared" si="2"/>
        <v/>
      </c>
      <c r="K204" s="90"/>
      <c r="L204" s="89" t="str">
        <f t="shared" si="3"/>
        <v/>
      </c>
      <c r="M204" s="89"/>
      <c r="N204" s="93">
        <f t="shared" si="5"/>
        <v>0</v>
      </c>
      <c r="O204" s="94">
        <f t="shared" si="6"/>
        <v>0</v>
      </c>
      <c r="P204" s="87"/>
      <c r="Q204" s="87"/>
      <c r="R204" s="89" t="str">
        <f t="shared" si="7"/>
        <v/>
      </c>
      <c r="S204" s="90"/>
      <c r="T204" s="89" t="str">
        <f t="shared" si="8"/>
        <v/>
      </c>
      <c r="U204" s="95"/>
      <c r="V204" s="87"/>
      <c r="W204" s="87"/>
      <c r="X204" s="89" t="str">
        <f t="shared" si="9"/>
        <v/>
      </c>
      <c r="Y204" s="90"/>
      <c r="Z204" s="89" t="str">
        <f t="shared" si="10"/>
        <v/>
      </c>
      <c r="AA204" s="95"/>
      <c r="AB204" s="88" t="str">
        <f t="shared" si="27"/>
        <v/>
      </c>
      <c r="AC204" s="87"/>
      <c r="AD204" s="89" t="str">
        <f t="shared" si="11"/>
        <v/>
      </c>
      <c r="AE204" s="90"/>
      <c r="AF204" s="89" t="str">
        <f t="shared" si="12"/>
        <v/>
      </c>
      <c r="AG204" s="96"/>
      <c r="AH204" s="88" t="str">
        <f t="shared" si="13"/>
        <v/>
      </c>
      <c r="AI204" s="87"/>
      <c r="AJ204" s="89" t="str">
        <f t="shared" si="14"/>
        <v/>
      </c>
      <c r="AK204" s="90"/>
      <c r="AL204" s="89" t="str">
        <f t="shared" si="15"/>
        <v/>
      </c>
      <c r="AM204" s="89"/>
      <c r="AN204" s="93">
        <f t="shared" si="17"/>
        <v>0</v>
      </c>
      <c r="AO204" s="94">
        <f t="shared" si="18"/>
        <v>0</v>
      </c>
      <c r="AP204" s="87"/>
      <c r="AQ204" s="87"/>
      <c r="AR204" s="89" t="str">
        <f t="shared" si="19"/>
        <v/>
      </c>
      <c r="AS204" s="90"/>
      <c r="AT204" s="89" t="str">
        <f t="shared" si="20"/>
        <v/>
      </c>
      <c r="AU204" s="95"/>
      <c r="AV204" s="87"/>
      <c r="AW204" s="87"/>
      <c r="AX204" s="89" t="str">
        <f t="shared" si="21"/>
        <v/>
      </c>
      <c r="AY204" s="90"/>
      <c r="AZ204" s="89" t="str">
        <f t="shared" si="22"/>
        <v/>
      </c>
      <c r="BA204" s="95"/>
      <c r="BB204" s="88" t="str">
        <f t="shared" si="28"/>
        <v/>
      </c>
      <c r="BC204" s="87"/>
      <c r="BD204" s="89" t="str">
        <f t="shared" si="23"/>
        <v/>
      </c>
      <c r="BE204" s="90"/>
      <c r="BF204" s="89" t="str">
        <f t="shared" si="24"/>
        <v/>
      </c>
      <c r="BG204" s="96"/>
    </row>
    <row r="205">
      <c r="A205" s="87"/>
      <c r="B205" s="87"/>
      <c r="C205" s="87"/>
      <c r="D205" s="87"/>
      <c r="E205" s="87"/>
      <c r="F205" s="87"/>
      <c r="G205" s="87"/>
      <c r="H205" s="88" t="str">
        <f t="shared" si="1"/>
        <v/>
      </c>
      <c r="I205" s="87"/>
      <c r="J205" s="89" t="str">
        <f t="shared" si="2"/>
        <v/>
      </c>
      <c r="K205" s="90"/>
      <c r="L205" s="89" t="str">
        <f t="shared" si="3"/>
        <v/>
      </c>
      <c r="M205" s="89"/>
      <c r="N205" s="93">
        <f t="shared" si="5"/>
        <v>0</v>
      </c>
      <c r="O205" s="94">
        <f t="shared" si="6"/>
        <v>0</v>
      </c>
      <c r="P205" s="87"/>
      <c r="Q205" s="87"/>
      <c r="R205" s="89" t="str">
        <f t="shared" si="7"/>
        <v/>
      </c>
      <c r="S205" s="90"/>
      <c r="T205" s="89" t="str">
        <f t="shared" si="8"/>
        <v/>
      </c>
      <c r="U205" s="95"/>
      <c r="V205" s="87"/>
      <c r="W205" s="87"/>
      <c r="X205" s="89" t="str">
        <f t="shared" si="9"/>
        <v/>
      </c>
      <c r="Y205" s="90"/>
      <c r="Z205" s="89" t="str">
        <f t="shared" si="10"/>
        <v/>
      </c>
      <c r="AA205" s="95"/>
      <c r="AB205" s="88" t="str">
        <f t="shared" si="27"/>
        <v/>
      </c>
      <c r="AC205" s="87"/>
      <c r="AD205" s="89" t="str">
        <f t="shared" si="11"/>
        <v/>
      </c>
      <c r="AE205" s="90"/>
      <c r="AF205" s="89" t="str">
        <f t="shared" si="12"/>
        <v/>
      </c>
      <c r="AG205" s="96"/>
      <c r="AH205" s="88" t="str">
        <f t="shared" si="13"/>
        <v/>
      </c>
      <c r="AI205" s="87"/>
      <c r="AJ205" s="89" t="str">
        <f t="shared" si="14"/>
        <v/>
      </c>
      <c r="AK205" s="90"/>
      <c r="AL205" s="89" t="str">
        <f t="shared" si="15"/>
        <v/>
      </c>
      <c r="AM205" s="89"/>
      <c r="AN205" s="93">
        <f t="shared" si="17"/>
        <v>0</v>
      </c>
      <c r="AO205" s="94">
        <f t="shared" si="18"/>
        <v>0</v>
      </c>
      <c r="AP205" s="87"/>
      <c r="AQ205" s="87"/>
      <c r="AR205" s="89" t="str">
        <f t="shared" si="19"/>
        <v/>
      </c>
      <c r="AS205" s="90"/>
      <c r="AT205" s="89" t="str">
        <f t="shared" si="20"/>
        <v/>
      </c>
      <c r="AU205" s="95"/>
      <c r="AV205" s="87"/>
      <c r="AW205" s="87"/>
      <c r="AX205" s="89" t="str">
        <f t="shared" si="21"/>
        <v/>
      </c>
      <c r="AY205" s="90"/>
      <c r="AZ205" s="89" t="str">
        <f t="shared" si="22"/>
        <v/>
      </c>
      <c r="BA205" s="95"/>
      <c r="BB205" s="88" t="str">
        <f t="shared" si="28"/>
        <v/>
      </c>
      <c r="BC205" s="87"/>
      <c r="BD205" s="89" t="str">
        <f t="shared" si="23"/>
        <v/>
      </c>
      <c r="BE205" s="90"/>
      <c r="BF205" s="89" t="str">
        <f t="shared" si="24"/>
        <v/>
      </c>
      <c r="BG205" s="96"/>
    </row>
    <row r="206">
      <c r="A206" s="87"/>
      <c r="B206" s="87"/>
      <c r="C206" s="87"/>
      <c r="D206" s="87"/>
      <c r="E206" s="87"/>
      <c r="F206" s="87"/>
      <c r="G206" s="87"/>
      <c r="H206" s="88" t="str">
        <f t="shared" si="1"/>
        <v/>
      </c>
      <c r="I206" s="87"/>
      <c r="J206" s="89" t="str">
        <f t="shared" si="2"/>
        <v/>
      </c>
      <c r="K206" s="90"/>
      <c r="L206" s="89" t="str">
        <f t="shared" si="3"/>
        <v/>
      </c>
      <c r="M206" s="89"/>
      <c r="N206" s="93">
        <f t="shared" si="5"/>
        <v>0</v>
      </c>
      <c r="O206" s="94">
        <f t="shared" si="6"/>
        <v>0</v>
      </c>
      <c r="P206" s="87"/>
      <c r="Q206" s="87"/>
      <c r="R206" s="89" t="str">
        <f t="shared" si="7"/>
        <v/>
      </c>
      <c r="S206" s="90"/>
      <c r="T206" s="89" t="str">
        <f t="shared" si="8"/>
        <v/>
      </c>
      <c r="U206" s="95"/>
      <c r="V206" s="87"/>
      <c r="W206" s="87"/>
      <c r="X206" s="89" t="str">
        <f t="shared" si="9"/>
        <v/>
      </c>
      <c r="Y206" s="90"/>
      <c r="Z206" s="89" t="str">
        <f t="shared" si="10"/>
        <v/>
      </c>
      <c r="AA206" s="95"/>
      <c r="AB206" s="88" t="str">
        <f t="shared" si="27"/>
        <v/>
      </c>
      <c r="AC206" s="87"/>
      <c r="AD206" s="89" t="str">
        <f t="shared" si="11"/>
        <v/>
      </c>
      <c r="AE206" s="90"/>
      <c r="AF206" s="89" t="str">
        <f t="shared" si="12"/>
        <v/>
      </c>
      <c r="AG206" s="96"/>
      <c r="AH206" s="88" t="str">
        <f t="shared" si="13"/>
        <v/>
      </c>
      <c r="AI206" s="87"/>
      <c r="AJ206" s="89" t="str">
        <f t="shared" si="14"/>
        <v/>
      </c>
      <c r="AK206" s="90"/>
      <c r="AL206" s="89" t="str">
        <f t="shared" si="15"/>
        <v/>
      </c>
      <c r="AM206" s="89"/>
      <c r="AN206" s="93">
        <f t="shared" si="17"/>
        <v>0</v>
      </c>
      <c r="AO206" s="94">
        <f t="shared" si="18"/>
        <v>0</v>
      </c>
      <c r="AP206" s="87"/>
      <c r="AQ206" s="87"/>
      <c r="AR206" s="89" t="str">
        <f t="shared" si="19"/>
        <v/>
      </c>
      <c r="AS206" s="90"/>
      <c r="AT206" s="89" t="str">
        <f t="shared" si="20"/>
        <v/>
      </c>
      <c r="AU206" s="95"/>
      <c r="AV206" s="87"/>
      <c r="AW206" s="87"/>
      <c r="AX206" s="89" t="str">
        <f t="shared" si="21"/>
        <v/>
      </c>
      <c r="AY206" s="90"/>
      <c r="AZ206" s="89" t="str">
        <f t="shared" si="22"/>
        <v/>
      </c>
      <c r="BA206" s="95"/>
      <c r="BB206" s="88" t="str">
        <f t="shared" si="28"/>
        <v/>
      </c>
      <c r="BC206" s="87"/>
      <c r="BD206" s="89" t="str">
        <f t="shared" si="23"/>
        <v/>
      </c>
      <c r="BE206" s="90"/>
      <c r="BF206" s="89" t="str">
        <f t="shared" si="24"/>
        <v/>
      </c>
      <c r="BG206" s="96"/>
    </row>
    <row r="207">
      <c r="A207" s="87"/>
      <c r="B207" s="87"/>
      <c r="C207" s="87"/>
      <c r="D207" s="87"/>
      <c r="E207" s="87"/>
      <c r="F207" s="87"/>
      <c r="G207" s="87"/>
      <c r="H207" s="88" t="str">
        <f t="shared" si="1"/>
        <v/>
      </c>
      <c r="I207" s="87"/>
      <c r="J207" s="89" t="str">
        <f t="shared" si="2"/>
        <v/>
      </c>
      <c r="K207" s="90"/>
      <c r="L207" s="89" t="str">
        <f t="shared" si="3"/>
        <v/>
      </c>
      <c r="M207" s="89"/>
      <c r="N207" s="93">
        <f t="shared" si="5"/>
        <v>0</v>
      </c>
      <c r="O207" s="94">
        <f t="shared" si="6"/>
        <v>0</v>
      </c>
      <c r="P207" s="87"/>
      <c r="Q207" s="87"/>
      <c r="R207" s="89" t="str">
        <f t="shared" si="7"/>
        <v/>
      </c>
      <c r="S207" s="90"/>
      <c r="T207" s="89" t="str">
        <f t="shared" si="8"/>
        <v/>
      </c>
      <c r="U207" s="95"/>
      <c r="V207" s="87"/>
      <c r="W207" s="87"/>
      <c r="X207" s="89" t="str">
        <f t="shared" si="9"/>
        <v/>
      </c>
      <c r="Y207" s="90"/>
      <c r="Z207" s="89" t="str">
        <f t="shared" si="10"/>
        <v/>
      </c>
      <c r="AA207" s="95"/>
      <c r="AB207" s="88" t="str">
        <f t="shared" si="27"/>
        <v/>
      </c>
      <c r="AC207" s="87"/>
      <c r="AD207" s="89" t="str">
        <f t="shared" si="11"/>
        <v/>
      </c>
      <c r="AE207" s="90"/>
      <c r="AF207" s="89" t="str">
        <f t="shared" si="12"/>
        <v/>
      </c>
      <c r="AG207" s="96"/>
      <c r="AH207" s="88" t="str">
        <f t="shared" si="13"/>
        <v/>
      </c>
      <c r="AI207" s="87"/>
      <c r="AJ207" s="89" t="str">
        <f t="shared" si="14"/>
        <v/>
      </c>
      <c r="AK207" s="90"/>
      <c r="AL207" s="89" t="str">
        <f t="shared" si="15"/>
        <v/>
      </c>
      <c r="AM207" s="89"/>
      <c r="AN207" s="93">
        <f t="shared" si="17"/>
        <v>0</v>
      </c>
      <c r="AO207" s="94">
        <f t="shared" si="18"/>
        <v>0</v>
      </c>
      <c r="AP207" s="87"/>
      <c r="AQ207" s="87"/>
      <c r="AR207" s="89" t="str">
        <f t="shared" si="19"/>
        <v/>
      </c>
      <c r="AS207" s="90"/>
      <c r="AT207" s="89" t="str">
        <f t="shared" si="20"/>
        <v/>
      </c>
      <c r="AU207" s="95"/>
      <c r="AV207" s="87"/>
      <c r="AW207" s="87"/>
      <c r="AX207" s="89" t="str">
        <f t="shared" si="21"/>
        <v/>
      </c>
      <c r="AY207" s="90"/>
      <c r="AZ207" s="89" t="str">
        <f t="shared" si="22"/>
        <v/>
      </c>
      <c r="BA207" s="95"/>
      <c r="BB207" s="88" t="str">
        <f t="shared" si="28"/>
        <v/>
      </c>
      <c r="BC207" s="87"/>
      <c r="BD207" s="89" t="str">
        <f t="shared" si="23"/>
        <v/>
      </c>
      <c r="BE207" s="90"/>
      <c r="BF207" s="89" t="str">
        <f t="shared" si="24"/>
        <v/>
      </c>
      <c r="BG207" s="96"/>
    </row>
    <row r="208">
      <c r="A208" s="87"/>
      <c r="B208" s="87"/>
      <c r="C208" s="87"/>
      <c r="D208" s="87"/>
      <c r="E208" s="87"/>
      <c r="F208" s="87"/>
      <c r="G208" s="87"/>
      <c r="H208" s="88" t="str">
        <f t="shared" si="1"/>
        <v/>
      </c>
      <c r="I208" s="87"/>
      <c r="J208" s="89" t="str">
        <f t="shared" si="2"/>
        <v/>
      </c>
      <c r="K208" s="90"/>
      <c r="L208" s="89" t="str">
        <f t="shared" si="3"/>
        <v/>
      </c>
      <c r="M208" s="89"/>
      <c r="N208" s="93">
        <f t="shared" si="5"/>
        <v>0</v>
      </c>
      <c r="O208" s="94">
        <f t="shared" si="6"/>
        <v>0</v>
      </c>
      <c r="P208" s="87"/>
      <c r="Q208" s="87"/>
      <c r="R208" s="89" t="str">
        <f t="shared" si="7"/>
        <v/>
      </c>
      <c r="S208" s="90"/>
      <c r="T208" s="89" t="str">
        <f t="shared" si="8"/>
        <v/>
      </c>
      <c r="U208" s="95"/>
      <c r="V208" s="87"/>
      <c r="W208" s="87"/>
      <c r="X208" s="89" t="str">
        <f t="shared" si="9"/>
        <v/>
      </c>
      <c r="Y208" s="90"/>
      <c r="Z208" s="89" t="str">
        <f t="shared" si="10"/>
        <v/>
      </c>
      <c r="AA208" s="95"/>
      <c r="AB208" s="88" t="str">
        <f t="shared" si="27"/>
        <v/>
      </c>
      <c r="AC208" s="87"/>
      <c r="AD208" s="89" t="str">
        <f t="shared" si="11"/>
        <v/>
      </c>
      <c r="AE208" s="90"/>
      <c r="AF208" s="89" t="str">
        <f t="shared" si="12"/>
        <v/>
      </c>
      <c r="AG208" s="96"/>
      <c r="AH208" s="88" t="str">
        <f t="shared" si="13"/>
        <v/>
      </c>
      <c r="AI208" s="87"/>
      <c r="AJ208" s="89" t="str">
        <f t="shared" si="14"/>
        <v/>
      </c>
      <c r="AK208" s="90"/>
      <c r="AL208" s="89" t="str">
        <f t="shared" si="15"/>
        <v/>
      </c>
      <c r="AM208" s="89"/>
      <c r="AN208" s="93">
        <f t="shared" si="17"/>
        <v>0</v>
      </c>
      <c r="AO208" s="94">
        <f t="shared" si="18"/>
        <v>0</v>
      </c>
      <c r="AP208" s="87"/>
      <c r="AQ208" s="87"/>
      <c r="AR208" s="89" t="str">
        <f t="shared" si="19"/>
        <v/>
      </c>
      <c r="AS208" s="90"/>
      <c r="AT208" s="89" t="str">
        <f t="shared" si="20"/>
        <v/>
      </c>
      <c r="AU208" s="95"/>
      <c r="AV208" s="87"/>
      <c r="AW208" s="87"/>
      <c r="AX208" s="89" t="str">
        <f t="shared" si="21"/>
        <v/>
      </c>
      <c r="AY208" s="90"/>
      <c r="AZ208" s="89" t="str">
        <f t="shared" si="22"/>
        <v/>
      </c>
      <c r="BA208" s="95"/>
      <c r="BB208" s="88" t="str">
        <f t="shared" si="28"/>
        <v/>
      </c>
      <c r="BC208" s="87"/>
      <c r="BD208" s="89" t="str">
        <f t="shared" si="23"/>
        <v/>
      </c>
      <c r="BE208" s="90"/>
      <c r="BF208" s="89" t="str">
        <f t="shared" si="24"/>
        <v/>
      </c>
      <c r="BG208" s="96"/>
    </row>
    <row r="209">
      <c r="A209" s="87"/>
      <c r="B209" s="87"/>
      <c r="C209" s="87"/>
      <c r="D209" s="87"/>
      <c r="E209" s="87"/>
      <c r="F209" s="87"/>
      <c r="G209" s="87"/>
      <c r="H209" s="88" t="str">
        <f t="shared" si="1"/>
        <v/>
      </c>
      <c r="I209" s="87"/>
      <c r="J209" s="89" t="str">
        <f t="shared" si="2"/>
        <v/>
      </c>
      <c r="K209" s="90"/>
      <c r="L209" s="89" t="str">
        <f t="shared" si="3"/>
        <v/>
      </c>
      <c r="M209" s="89"/>
      <c r="N209" s="93">
        <f t="shared" si="5"/>
        <v>0</v>
      </c>
      <c r="O209" s="94">
        <f t="shared" si="6"/>
        <v>0</v>
      </c>
      <c r="P209" s="87"/>
      <c r="Q209" s="87"/>
      <c r="R209" s="89" t="str">
        <f t="shared" si="7"/>
        <v/>
      </c>
      <c r="S209" s="90"/>
      <c r="T209" s="89" t="str">
        <f t="shared" si="8"/>
        <v/>
      </c>
      <c r="U209" s="95"/>
      <c r="V209" s="87"/>
      <c r="W209" s="87"/>
      <c r="X209" s="89" t="str">
        <f t="shared" si="9"/>
        <v/>
      </c>
      <c r="Y209" s="90"/>
      <c r="Z209" s="89" t="str">
        <f t="shared" si="10"/>
        <v/>
      </c>
      <c r="AA209" s="95"/>
      <c r="AB209" s="88" t="str">
        <f t="shared" si="27"/>
        <v/>
      </c>
      <c r="AC209" s="87"/>
      <c r="AD209" s="89" t="str">
        <f t="shared" si="11"/>
        <v/>
      </c>
      <c r="AE209" s="90"/>
      <c r="AF209" s="89" t="str">
        <f t="shared" si="12"/>
        <v/>
      </c>
      <c r="AG209" s="96"/>
      <c r="AH209" s="88" t="str">
        <f t="shared" si="13"/>
        <v/>
      </c>
      <c r="AI209" s="87"/>
      <c r="AJ209" s="89" t="str">
        <f t="shared" si="14"/>
        <v/>
      </c>
      <c r="AK209" s="90"/>
      <c r="AL209" s="89" t="str">
        <f t="shared" si="15"/>
        <v/>
      </c>
      <c r="AM209" s="89"/>
      <c r="AN209" s="93">
        <f t="shared" si="17"/>
        <v>0</v>
      </c>
      <c r="AO209" s="94">
        <f t="shared" si="18"/>
        <v>0</v>
      </c>
      <c r="AP209" s="87"/>
      <c r="AQ209" s="87"/>
      <c r="AR209" s="89" t="str">
        <f t="shared" si="19"/>
        <v/>
      </c>
      <c r="AS209" s="90"/>
      <c r="AT209" s="89" t="str">
        <f t="shared" si="20"/>
        <v/>
      </c>
      <c r="AU209" s="95"/>
      <c r="AV209" s="87"/>
      <c r="AW209" s="87"/>
      <c r="AX209" s="89" t="str">
        <f t="shared" si="21"/>
        <v/>
      </c>
      <c r="AY209" s="90"/>
      <c r="AZ209" s="89" t="str">
        <f t="shared" si="22"/>
        <v/>
      </c>
      <c r="BA209" s="95"/>
      <c r="BB209" s="88" t="str">
        <f t="shared" si="28"/>
        <v/>
      </c>
      <c r="BC209" s="87"/>
      <c r="BD209" s="89" t="str">
        <f t="shared" si="23"/>
        <v/>
      </c>
      <c r="BE209" s="90"/>
      <c r="BF209" s="89" t="str">
        <f t="shared" si="24"/>
        <v/>
      </c>
      <c r="BG209" s="96"/>
    </row>
    <row r="210">
      <c r="A210" s="87"/>
      <c r="B210" s="87"/>
      <c r="C210" s="87"/>
      <c r="D210" s="87"/>
      <c r="E210" s="87"/>
      <c r="F210" s="87"/>
      <c r="G210" s="87"/>
      <c r="H210" s="88" t="str">
        <f t="shared" si="1"/>
        <v/>
      </c>
      <c r="I210" s="87"/>
      <c r="J210" s="89" t="str">
        <f t="shared" si="2"/>
        <v/>
      </c>
      <c r="K210" s="90"/>
      <c r="L210" s="89" t="str">
        <f t="shared" si="3"/>
        <v/>
      </c>
      <c r="M210" s="89"/>
      <c r="N210" s="93">
        <f t="shared" si="5"/>
        <v>0</v>
      </c>
      <c r="O210" s="94">
        <f t="shared" si="6"/>
        <v>0</v>
      </c>
      <c r="P210" s="87"/>
      <c r="Q210" s="87"/>
      <c r="R210" s="89" t="str">
        <f t="shared" si="7"/>
        <v/>
      </c>
      <c r="S210" s="90"/>
      <c r="T210" s="89" t="str">
        <f t="shared" si="8"/>
        <v/>
      </c>
      <c r="U210" s="95"/>
      <c r="V210" s="87"/>
      <c r="W210" s="87"/>
      <c r="X210" s="89" t="str">
        <f t="shared" si="9"/>
        <v/>
      </c>
      <c r="Y210" s="90"/>
      <c r="Z210" s="89" t="str">
        <f t="shared" si="10"/>
        <v/>
      </c>
      <c r="AA210" s="95"/>
      <c r="AB210" s="88" t="str">
        <f t="shared" si="27"/>
        <v/>
      </c>
      <c r="AC210" s="87"/>
      <c r="AD210" s="89" t="str">
        <f t="shared" si="11"/>
        <v/>
      </c>
      <c r="AE210" s="90"/>
      <c r="AF210" s="89" t="str">
        <f t="shared" si="12"/>
        <v/>
      </c>
      <c r="AG210" s="96"/>
      <c r="AH210" s="88" t="str">
        <f t="shared" si="13"/>
        <v/>
      </c>
      <c r="AI210" s="87"/>
      <c r="AJ210" s="89" t="str">
        <f t="shared" si="14"/>
        <v/>
      </c>
      <c r="AK210" s="90"/>
      <c r="AL210" s="89" t="str">
        <f t="shared" si="15"/>
        <v/>
      </c>
      <c r="AM210" s="89"/>
      <c r="AN210" s="93">
        <f t="shared" si="17"/>
        <v>0</v>
      </c>
      <c r="AO210" s="94">
        <f t="shared" si="18"/>
        <v>0</v>
      </c>
      <c r="AP210" s="87"/>
      <c r="AQ210" s="87"/>
      <c r="AR210" s="89" t="str">
        <f t="shared" si="19"/>
        <v/>
      </c>
      <c r="AS210" s="90"/>
      <c r="AT210" s="89" t="str">
        <f t="shared" si="20"/>
        <v/>
      </c>
      <c r="AU210" s="95"/>
      <c r="AV210" s="87"/>
      <c r="AW210" s="87"/>
      <c r="AX210" s="89" t="str">
        <f t="shared" si="21"/>
        <v/>
      </c>
      <c r="AY210" s="90"/>
      <c r="AZ210" s="89" t="str">
        <f t="shared" si="22"/>
        <v/>
      </c>
      <c r="BA210" s="95"/>
      <c r="BB210" s="88" t="str">
        <f t="shared" si="28"/>
        <v/>
      </c>
      <c r="BC210" s="87"/>
      <c r="BD210" s="89" t="str">
        <f t="shared" si="23"/>
        <v/>
      </c>
      <c r="BE210" s="90"/>
      <c r="BF210" s="89" t="str">
        <f t="shared" si="24"/>
        <v/>
      </c>
      <c r="BG210" s="96"/>
    </row>
    <row r="211">
      <c r="A211" s="87"/>
      <c r="B211" s="87"/>
      <c r="C211" s="87"/>
      <c r="D211" s="87"/>
      <c r="E211" s="87"/>
      <c r="F211" s="87"/>
      <c r="G211" s="87"/>
      <c r="H211" s="88" t="str">
        <f t="shared" si="1"/>
        <v/>
      </c>
      <c r="I211" s="87"/>
      <c r="J211" s="89" t="str">
        <f t="shared" si="2"/>
        <v/>
      </c>
      <c r="K211" s="90"/>
      <c r="L211" s="89" t="str">
        <f t="shared" si="3"/>
        <v/>
      </c>
      <c r="M211" s="89"/>
      <c r="N211" s="93">
        <f t="shared" si="5"/>
        <v>0</v>
      </c>
      <c r="O211" s="94">
        <f t="shared" si="6"/>
        <v>0</v>
      </c>
      <c r="P211" s="87"/>
      <c r="Q211" s="87"/>
      <c r="R211" s="89" t="str">
        <f t="shared" si="7"/>
        <v/>
      </c>
      <c r="S211" s="90"/>
      <c r="T211" s="89" t="str">
        <f t="shared" si="8"/>
        <v/>
      </c>
      <c r="U211" s="95"/>
      <c r="V211" s="87"/>
      <c r="W211" s="87"/>
      <c r="X211" s="89" t="str">
        <f t="shared" si="9"/>
        <v/>
      </c>
      <c r="Y211" s="90"/>
      <c r="Z211" s="89" t="str">
        <f t="shared" si="10"/>
        <v/>
      </c>
      <c r="AA211" s="95"/>
      <c r="AB211" s="88" t="str">
        <f t="shared" si="27"/>
        <v/>
      </c>
      <c r="AC211" s="87"/>
      <c r="AD211" s="89" t="str">
        <f t="shared" si="11"/>
        <v/>
      </c>
      <c r="AE211" s="90"/>
      <c r="AF211" s="89" t="str">
        <f t="shared" si="12"/>
        <v/>
      </c>
      <c r="AG211" s="96"/>
      <c r="AH211" s="88" t="str">
        <f t="shared" si="13"/>
        <v/>
      </c>
      <c r="AI211" s="87"/>
      <c r="AJ211" s="89" t="str">
        <f t="shared" si="14"/>
        <v/>
      </c>
      <c r="AK211" s="90"/>
      <c r="AL211" s="89" t="str">
        <f t="shared" si="15"/>
        <v/>
      </c>
      <c r="AM211" s="89"/>
      <c r="AN211" s="93">
        <f t="shared" si="17"/>
        <v>0</v>
      </c>
      <c r="AO211" s="94">
        <f t="shared" si="18"/>
        <v>0</v>
      </c>
      <c r="AP211" s="87"/>
      <c r="AQ211" s="87"/>
      <c r="AR211" s="89" t="str">
        <f t="shared" si="19"/>
        <v/>
      </c>
      <c r="AS211" s="90"/>
      <c r="AT211" s="89" t="str">
        <f t="shared" si="20"/>
        <v/>
      </c>
      <c r="AU211" s="95"/>
      <c r="AV211" s="87"/>
      <c r="AW211" s="87"/>
      <c r="AX211" s="89" t="str">
        <f t="shared" si="21"/>
        <v/>
      </c>
      <c r="AY211" s="90"/>
      <c r="AZ211" s="89" t="str">
        <f t="shared" si="22"/>
        <v/>
      </c>
      <c r="BA211" s="95"/>
      <c r="BB211" s="88" t="str">
        <f t="shared" si="28"/>
        <v/>
      </c>
      <c r="BC211" s="87"/>
      <c r="BD211" s="89" t="str">
        <f t="shared" si="23"/>
        <v/>
      </c>
      <c r="BE211" s="90"/>
      <c r="BF211" s="89" t="str">
        <f t="shared" si="24"/>
        <v/>
      </c>
      <c r="BG211" s="96"/>
    </row>
    <row r="212">
      <c r="A212" s="87"/>
      <c r="B212" s="87"/>
      <c r="C212" s="87"/>
      <c r="D212" s="87"/>
      <c r="E212" s="87"/>
      <c r="F212" s="87"/>
      <c r="G212" s="87"/>
      <c r="H212" s="88" t="str">
        <f t="shared" si="1"/>
        <v/>
      </c>
      <c r="I212" s="87"/>
      <c r="J212" s="89" t="str">
        <f t="shared" si="2"/>
        <v/>
      </c>
      <c r="K212" s="90"/>
      <c r="L212" s="89" t="str">
        <f t="shared" si="3"/>
        <v/>
      </c>
      <c r="M212" s="89"/>
      <c r="N212" s="93">
        <f t="shared" si="5"/>
        <v>0</v>
      </c>
      <c r="O212" s="94">
        <f t="shared" si="6"/>
        <v>0</v>
      </c>
      <c r="P212" s="87"/>
      <c r="Q212" s="87"/>
      <c r="R212" s="89" t="str">
        <f t="shared" si="7"/>
        <v/>
      </c>
      <c r="S212" s="90"/>
      <c r="T212" s="89" t="str">
        <f t="shared" si="8"/>
        <v/>
      </c>
      <c r="U212" s="95"/>
      <c r="V212" s="87"/>
      <c r="W212" s="87"/>
      <c r="X212" s="89" t="str">
        <f t="shared" si="9"/>
        <v/>
      </c>
      <c r="Y212" s="90"/>
      <c r="Z212" s="89" t="str">
        <f t="shared" si="10"/>
        <v/>
      </c>
      <c r="AA212" s="95"/>
      <c r="AB212" s="88" t="str">
        <f t="shared" si="27"/>
        <v/>
      </c>
      <c r="AC212" s="87"/>
      <c r="AD212" s="89" t="str">
        <f t="shared" si="11"/>
        <v/>
      </c>
      <c r="AE212" s="90"/>
      <c r="AF212" s="89" t="str">
        <f t="shared" si="12"/>
        <v/>
      </c>
      <c r="AG212" s="96"/>
      <c r="AH212" s="88" t="str">
        <f t="shared" si="13"/>
        <v/>
      </c>
      <c r="AI212" s="87"/>
      <c r="AJ212" s="89" t="str">
        <f t="shared" si="14"/>
        <v/>
      </c>
      <c r="AK212" s="90"/>
      <c r="AL212" s="89" t="str">
        <f t="shared" si="15"/>
        <v/>
      </c>
      <c r="AM212" s="89"/>
      <c r="AN212" s="93">
        <f t="shared" si="17"/>
        <v>0</v>
      </c>
      <c r="AO212" s="94">
        <f t="shared" si="18"/>
        <v>0</v>
      </c>
      <c r="AP212" s="87"/>
      <c r="AQ212" s="87"/>
      <c r="AR212" s="89" t="str">
        <f t="shared" si="19"/>
        <v/>
      </c>
      <c r="AS212" s="90"/>
      <c r="AT212" s="89" t="str">
        <f t="shared" si="20"/>
        <v/>
      </c>
      <c r="AU212" s="95"/>
      <c r="AV212" s="87"/>
      <c r="AW212" s="87"/>
      <c r="AX212" s="89" t="str">
        <f t="shared" si="21"/>
        <v/>
      </c>
      <c r="AY212" s="90"/>
      <c r="AZ212" s="89" t="str">
        <f t="shared" si="22"/>
        <v/>
      </c>
      <c r="BA212" s="95"/>
      <c r="BB212" s="88" t="str">
        <f t="shared" si="28"/>
        <v/>
      </c>
      <c r="BC212" s="87"/>
      <c r="BD212" s="89" t="str">
        <f t="shared" si="23"/>
        <v/>
      </c>
      <c r="BE212" s="90"/>
      <c r="BF212" s="89" t="str">
        <f t="shared" si="24"/>
        <v/>
      </c>
      <c r="BG212" s="96"/>
    </row>
    <row r="213">
      <c r="A213" s="87"/>
      <c r="B213" s="87"/>
      <c r="C213" s="87"/>
      <c r="D213" s="87"/>
      <c r="E213" s="87"/>
      <c r="F213" s="87"/>
      <c r="G213" s="87"/>
      <c r="H213" s="88" t="str">
        <f t="shared" si="1"/>
        <v/>
      </c>
      <c r="I213" s="87"/>
      <c r="J213" s="89" t="str">
        <f t="shared" si="2"/>
        <v/>
      </c>
      <c r="K213" s="90"/>
      <c r="L213" s="89" t="str">
        <f t="shared" si="3"/>
        <v/>
      </c>
      <c r="M213" s="89"/>
      <c r="N213" s="93">
        <f t="shared" si="5"/>
        <v>0</v>
      </c>
      <c r="O213" s="94">
        <f t="shared" si="6"/>
        <v>0</v>
      </c>
      <c r="P213" s="87"/>
      <c r="Q213" s="87"/>
      <c r="R213" s="89" t="str">
        <f t="shared" si="7"/>
        <v/>
      </c>
      <c r="S213" s="90"/>
      <c r="T213" s="89" t="str">
        <f t="shared" si="8"/>
        <v/>
      </c>
      <c r="U213" s="95"/>
      <c r="V213" s="87"/>
      <c r="W213" s="87"/>
      <c r="X213" s="89" t="str">
        <f t="shared" si="9"/>
        <v/>
      </c>
      <c r="Y213" s="90"/>
      <c r="Z213" s="89" t="str">
        <f t="shared" si="10"/>
        <v/>
      </c>
      <c r="AA213" s="95"/>
      <c r="AB213" s="88" t="str">
        <f t="shared" si="27"/>
        <v/>
      </c>
      <c r="AC213" s="87"/>
      <c r="AD213" s="89" t="str">
        <f t="shared" si="11"/>
        <v/>
      </c>
      <c r="AE213" s="90"/>
      <c r="AF213" s="89" t="str">
        <f t="shared" si="12"/>
        <v/>
      </c>
      <c r="AG213" s="96"/>
      <c r="AH213" s="88" t="str">
        <f t="shared" si="13"/>
        <v/>
      </c>
      <c r="AI213" s="87"/>
      <c r="AJ213" s="89" t="str">
        <f t="shared" si="14"/>
        <v/>
      </c>
      <c r="AK213" s="90"/>
      <c r="AL213" s="89" t="str">
        <f t="shared" si="15"/>
        <v/>
      </c>
      <c r="AM213" s="89"/>
      <c r="AN213" s="93">
        <f t="shared" si="17"/>
        <v>0</v>
      </c>
      <c r="AO213" s="94">
        <f t="shared" si="18"/>
        <v>0</v>
      </c>
      <c r="AP213" s="87"/>
      <c r="AQ213" s="87"/>
      <c r="AR213" s="89" t="str">
        <f t="shared" si="19"/>
        <v/>
      </c>
      <c r="AS213" s="90"/>
      <c r="AT213" s="89" t="str">
        <f t="shared" si="20"/>
        <v/>
      </c>
      <c r="AU213" s="95"/>
      <c r="AV213" s="87"/>
      <c r="AW213" s="87"/>
      <c r="AX213" s="89" t="str">
        <f t="shared" si="21"/>
        <v/>
      </c>
      <c r="AY213" s="90"/>
      <c r="AZ213" s="89" t="str">
        <f t="shared" si="22"/>
        <v/>
      </c>
      <c r="BA213" s="95"/>
      <c r="BB213" s="88" t="str">
        <f t="shared" si="28"/>
        <v/>
      </c>
      <c r="BC213" s="87"/>
      <c r="BD213" s="89" t="str">
        <f t="shared" si="23"/>
        <v/>
      </c>
      <c r="BE213" s="90"/>
      <c r="BF213" s="89" t="str">
        <f t="shared" si="24"/>
        <v/>
      </c>
      <c r="BG213" s="96"/>
    </row>
    <row r="214">
      <c r="A214" s="87"/>
      <c r="B214" s="87"/>
      <c r="C214" s="87"/>
      <c r="D214" s="87"/>
      <c r="E214" s="87"/>
      <c r="F214" s="87"/>
      <c r="G214" s="87"/>
      <c r="H214" s="88" t="str">
        <f t="shared" si="1"/>
        <v/>
      </c>
      <c r="I214" s="87"/>
      <c r="J214" s="89" t="str">
        <f t="shared" si="2"/>
        <v/>
      </c>
      <c r="K214" s="90"/>
      <c r="L214" s="89" t="str">
        <f t="shared" si="3"/>
        <v/>
      </c>
      <c r="M214" s="89"/>
      <c r="N214" s="93">
        <f t="shared" si="5"/>
        <v>0</v>
      </c>
      <c r="O214" s="94">
        <f t="shared" si="6"/>
        <v>0</v>
      </c>
      <c r="P214" s="87"/>
      <c r="Q214" s="87"/>
      <c r="R214" s="89" t="str">
        <f t="shared" si="7"/>
        <v/>
      </c>
      <c r="S214" s="90"/>
      <c r="T214" s="89" t="str">
        <f t="shared" si="8"/>
        <v/>
      </c>
      <c r="U214" s="95"/>
      <c r="V214" s="87"/>
      <c r="W214" s="87"/>
      <c r="X214" s="89" t="str">
        <f t="shared" si="9"/>
        <v/>
      </c>
      <c r="Y214" s="90"/>
      <c r="Z214" s="89" t="str">
        <f t="shared" si="10"/>
        <v/>
      </c>
      <c r="AA214" s="95"/>
      <c r="AB214" s="88" t="str">
        <f t="shared" si="27"/>
        <v/>
      </c>
      <c r="AC214" s="87"/>
      <c r="AD214" s="89" t="str">
        <f t="shared" si="11"/>
        <v/>
      </c>
      <c r="AE214" s="90"/>
      <c r="AF214" s="89" t="str">
        <f t="shared" si="12"/>
        <v/>
      </c>
      <c r="AG214" s="96"/>
      <c r="AH214" s="88" t="str">
        <f t="shared" si="13"/>
        <v/>
      </c>
      <c r="AI214" s="87"/>
      <c r="AJ214" s="89" t="str">
        <f t="shared" si="14"/>
        <v/>
      </c>
      <c r="AK214" s="90"/>
      <c r="AL214" s="89" t="str">
        <f t="shared" si="15"/>
        <v/>
      </c>
      <c r="AM214" s="89"/>
      <c r="AN214" s="93">
        <f t="shared" si="17"/>
        <v>0</v>
      </c>
      <c r="AO214" s="94">
        <f t="shared" si="18"/>
        <v>0</v>
      </c>
      <c r="AP214" s="87"/>
      <c r="AQ214" s="87"/>
      <c r="AR214" s="89" t="str">
        <f t="shared" si="19"/>
        <v/>
      </c>
      <c r="AS214" s="90"/>
      <c r="AT214" s="89" t="str">
        <f t="shared" si="20"/>
        <v/>
      </c>
      <c r="AU214" s="95"/>
      <c r="AV214" s="87"/>
      <c r="AW214" s="87"/>
      <c r="AX214" s="89" t="str">
        <f t="shared" si="21"/>
        <v/>
      </c>
      <c r="AY214" s="90"/>
      <c r="AZ214" s="89" t="str">
        <f t="shared" si="22"/>
        <v/>
      </c>
      <c r="BA214" s="95"/>
      <c r="BB214" s="88" t="str">
        <f t="shared" si="28"/>
        <v/>
      </c>
      <c r="BC214" s="87"/>
      <c r="BD214" s="89" t="str">
        <f t="shared" si="23"/>
        <v/>
      </c>
      <c r="BE214" s="90"/>
      <c r="BF214" s="89" t="str">
        <f t="shared" si="24"/>
        <v/>
      </c>
      <c r="BG214" s="96"/>
    </row>
    <row r="215">
      <c r="A215" s="87"/>
      <c r="B215" s="87"/>
      <c r="C215" s="87"/>
      <c r="D215" s="87"/>
      <c r="E215" s="87"/>
      <c r="F215" s="87"/>
      <c r="G215" s="87"/>
      <c r="H215" s="88" t="str">
        <f t="shared" si="1"/>
        <v/>
      </c>
      <c r="I215" s="87"/>
      <c r="J215" s="89" t="str">
        <f t="shared" si="2"/>
        <v/>
      </c>
      <c r="K215" s="90"/>
      <c r="L215" s="89" t="str">
        <f t="shared" si="3"/>
        <v/>
      </c>
      <c r="M215" s="89"/>
      <c r="N215" s="93">
        <f t="shared" si="5"/>
        <v>0</v>
      </c>
      <c r="O215" s="94">
        <f t="shared" si="6"/>
        <v>0</v>
      </c>
      <c r="P215" s="87"/>
      <c r="Q215" s="87"/>
      <c r="R215" s="89" t="str">
        <f t="shared" si="7"/>
        <v/>
      </c>
      <c r="S215" s="90"/>
      <c r="T215" s="89" t="str">
        <f t="shared" si="8"/>
        <v/>
      </c>
      <c r="U215" s="95"/>
      <c r="V215" s="87"/>
      <c r="W215" s="87"/>
      <c r="X215" s="89" t="str">
        <f t="shared" si="9"/>
        <v/>
      </c>
      <c r="Y215" s="90"/>
      <c r="Z215" s="89" t="str">
        <f t="shared" si="10"/>
        <v/>
      </c>
      <c r="AA215" s="95"/>
      <c r="AB215" s="88" t="str">
        <f t="shared" si="27"/>
        <v/>
      </c>
      <c r="AC215" s="87"/>
      <c r="AD215" s="89" t="str">
        <f t="shared" si="11"/>
        <v/>
      </c>
      <c r="AE215" s="90"/>
      <c r="AF215" s="89" t="str">
        <f t="shared" si="12"/>
        <v/>
      </c>
      <c r="AG215" s="96"/>
      <c r="AH215" s="88" t="str">
        <f t="shared" si="13"/>
        <v/>
      </c>
      <c r="AI215" s="87"/>
      <c r="AJ215" s="89" t="str">
        <f t="shared" si="14"/>
        <v/>
      </c>
      <c r="AK215" s="90"/>
      <c r="AL215" s="89" t="str">
        <f t="shared" si="15"/>
        <v/>
      </c>
      <c r="AM215" s="89"/>
      <c r="AN215" s="93">
        <f t="shared" si="17"/>
        <v>0</v>
      </c>
      <c r="AO215" s="94">
        <f t="shared" si="18"/>
        <v>0</v>
      </c>
      <c r="AP215" s="87"/>
      <c r="AQ215" s="87"/>
      <c r="AR215" s="89" t="str">
        <f t="shared" si="19"/>
        <v/>
      </c>
      <c r="AS215" s="90"/>
      <c r="AT215" s="89" t="str">
        <f t="shared" si="20"/>
        <v/>
      </c>
      <c r="AU215" s="95"/>
      <c r="AV215" s="87"/>
      <c r="AW215" s="87"/>
      <c r="AX215" s="89" t="str">
        <f t="shared" si="21"/>
        <v/>
      </c>
      <c r="AY215" s="90"/>
      <c r="AZ215" s="89" t="str">
        <f t="shared" si="22"/>
        <v/>
      </c>
      <c r="BA215" s="95"/>
      <c r="BB215" s="88" t="str">
        <f t="shared" si="28"/>
        <v/>
      </c>
      <c r="BC215" s="87"/>
      <c r="BD215" s="89" t="str">
        <f t="shared" si="23"/>
        <v/>
      </c>
      <c r="BE215" s="90"/>
      <c r="BF215" s="89" t="str">
        <f t="shared" si="24"/>
        <v/>
      </c>
      <c r="BG215" s="96"/>
    </row>
    <row r="216">
      <c r="A216" s="87"/>
      <c r="B216" s="87"/>
      <c r="C216" s="87"/>
      <c r="D216" s="87"/>
      <c r="E216" s="87"/>
      <c r="F216" s="87"/>
      <c r="G216" s="87"/>
      <c r="H216" s="88" t="str">
        <f t="shared" si="1"/>
        <v/>
      </c>
      <c r="I216" s="87"/>
      <c r="J216" s="89" t="str">
        <f t="shared" si="2"/>
        <v/>
      </c>
      <c r="K216" s="90"/>
      <c r="L216" s="89" t="str">
        <f t="shared" si="3"/>
        <v/>
      </c>
      <c r="M216" s="89"/>
      <c r="N216" s="93">
        <f t="shared" si="5"/>
        <v>0</v>
      </c>
      <c r="O216" s="94">
        <f t="shared" si="6"/>
        <v>0</v>
      </c>
      <c r="P216" s="87"/>
      <c r="Q216" s="87"/>
      <c r="R216" s="89" t="str">
        <f t="shared" si="7"/>
        <v/>
      </c>
      <c r="S216" s="90"/>
      <c r="T216" s="89" t="str">
        <f t="shared" si="8"/>
        <v/>
      </c>
      <c r="U216" s="95"/>
      <c r="V216" s="87"/>
      <c r="W216" s="87"/>
      <c r="X216" s="89" t="str">
        <f t="shared" si="9"/>
        <v/>
      </c>
      <c r="Y216" s="90"/>
      <c r="Z216" s="89" t="str">
        <f t="shared" si="10"/>
        <v/>
      </c>
      <c r="AA216" s="95"/>
      <c r="AB216" s="88" t="str">
        <f t="shared" si="27"/>
        <v/>
      </c>
      <c r="AC216" s="87"/>
      <c r="AD216" s="89" t="str">
        <f t="shared" si="11"/>
        <v/>
      </c>
      <c r="AE216" s="90"/>
      <c r="AF216" s="89" t="str">
        <f t="shared" si="12"/>
        <v/>
      </c>
      <c r="AG216" s="96"/>
      <c r="AH216" s="88" t="str">
        <f t="shared" si="13"/>
        <v/>
      </c>
      <c r="AI216" s="87"/>
      <c r="AJ216" s="89" t="str">
        <f t="shared" si="14"/>
        <v/>
      </c>
      <c r="AK216" s="90"/>
      <c r="AL216" s="89" t="str">
        <f t="shared" si="15"/>
        <v/>
      </c>
      <c r="AM216" s="89"/>
      <c r="AN216" s="93">
        <f t="shared" si="17"/>
        <v>0</v>
      </c>
      <c r="AO216" s="94">
        <f t="shared" si="18"/>
        <v>0</v>
      </c>
      <c r="AP216" s="87"/>
      <c r="AQ216" s="87"/>
      <c r="AR216" s="89" t="str">
        <f t="shared" si="19"/>
        <v/>
      </c>
      <c r="AS216" s="90"/>
      <c r="AT216" s="89" t="str">
        <f t="shared" si="20"/>
        <v/>
      </c>
      <c r="AU216" s="95"/>
      <c r="AV216" s="87"/>
      <c r="AW216" s="87"/>
      <c r="AX216" s="89" t="str">
        <f t="shared" si="21"/>
        <v/>
      </c>
      <c r="AY216" s="90"/>
      <c r="AZ216" s="89" t="str">
        <f t="shared" si="22"/>
        <v/>
      </c>
      <c r="BA216" s="95"/>
      <c r="BB216" s="88" t="str">
        <f t="shared" si="28"/>
        <v/>
      </c>
      <c r="BC216" s="87"/>
      <c r="BD216" s="89" t="str">
        <f t="shared" si="23"/>
        <v/>
      </c>
      <c r="BE216" s="90"/>
      <c r="BF216" s="89" t="str">
        <f t="shared" si="24"/>
        <v/>
      </c>
      <c r="BG216" s="96"/>
    </row>
    <row r="217">
      <c r="A217" s="87"/>
      <c r="B217" s="87"/>
      <c r="C217" s="87"/>
      <c r="D217" s="87"/>
      <c r="E217" s="87"/>
      <c r="F217" s="87"/>
      <c r="G217" s="87"/>
      <c r="H217" s="88" t="str">
        <f t="shared" si="1"/>
        <v/>
      </c>
      <c r="I217" s="87"/>
      <c r="J217" s="89" t="str">
        <f t="shared" si="2"/>
        <v/>
      </c>
      <c r="K217" s="90"/>
      <c r="L217" s="89" t="str">
        <f t="shared" si="3"/>
        <v/>
      </c>
      <c r="M217" s="89"/>
      <c r="N217" s="93">
        <f t="shared" si="5"/>
        <v>0</v>
      </c>
      <c r="O217" s="94">
        <f t="shared" si="6"/>
        <v>0</v>
      </c>
      <c r="P217" s="87"/>
      <c r="Q217" s="87"/>
      <c r="R217" s="89" t="str">
        <f t="shared" si="7"/>
        <v/>
      </c>
      <c r="S217" s="90"/>
      <c r="T217" s="89" t="str">
        <f t="shared" si="8"/>
        <v/>
      </c>
      <c r="U217" s="95"/>
      <c r="V217" s="87"/>
      <c r="W217" s="87"/>
      <c r="X217" s="89" t="str">
        <f t="shared" si="9"/>
        <v/>
      </c>
      <c r="Y217" s="90"/>
      <c r="Z217" s="89" t="str">
        <f t="shared" si="10"/>
        <v/>
      </c>
      <c r="AA217" s="95"/>
      <c r="AB217" s="88" t="str">
        <f t="shared" si="27"/>
        <v/>
      </c>
      <c r="AC217" s="87"/>
      <c r="AD217" s="89" t="str">
        <f t="shared" si="11"/>
        <v/>
      </c>
      <c r="AE217" s="90"/>
      <c r="AF217" s="89" t="str">
        <f t="shared" si="12"/>
        <v/>
      </c>
      <c r="AG217" s="96"/>
      <c r="AH217" s="88" t="str">
        <f t="shared" si="13"/>
        <v/>
      </c>
      <c r="AI217" s="87"/>
      <c r="AJ217" s="89" t="str">
        <f t="shared" si="14"/>
        <v/>
      </c>
      <c r="AK217" s="90"/>
      <c r="AL217" s="89" t="str">
        <f t="shared" si="15"/>
        <v/>
      </c>
      <c r="AM217" s="89"/>
      <c r="AN217" s="93">
        <f t="shared" si="17"/>
        <v>0</v>
      </c>
      <c r="AO217" s="94">
        <f t="shared" si="18"/>
        <v>0</v>
      </c>
      <c r="AP217" s="87"/>
      <c r="AQ217" s="87"/>
      <c r="AR217" s="89" t="str">
        <f t="shared" si="19"/>
        <v/>
      </c>
      <c r="AS217" s="90"/>
      <c r="AT217" s="89" t="str">
        <f t="shared" si="20"/>
        <v/>
      </c>
      <c r="AU217" s="95"/>
      <c r="AV217" s="87"/>
      <c r="AW217" s="87"/>
      <c r="AX217" s="89" t="str">
        <f t="shared" si="21"/>
        <v/>
      </c>
      <c r="AY217" s="90"/>
      <c r="AZ217" s="89" t="str">
        <f t="shared" si="22"/>
        <v/>
      </c>
      <c r="BA217" s="95"/>
      <c r="BB217" s="88" t="str">
        <f t="shared" si="28"/>
        <v/>
      </c>
      <c r="BC217" s="87"/>
      <c r="BD217" s="89" t="str">
        <f t="shared" si="23"/>
        <v/>
      </c>
      <c r="BE217" s="90"/>
      <c r="BF217" s="89" t="str">
        <f t="shared" si="24"/>
        <v/>
      </c>
      <c r="BG217" s="96"/>
    </row>
    <row r="218">
      <c r="A218" s="87"/>
      <c r="B218" s="87"/>
      <c r="C218" s="87"/>
      <c r="D218" s="87"/>
      <c r="E218" s="87"/>
      <c r="F218" s="87"/>
      <c r="G218" s="87"/>
      <c r="H218" s="88" t="str">
        <f t="shared" si="1"/>
        <v/>
      </c>
      <c r="I218" s="87"/>
      <c r="J218" s="89" t="str">
        <f t="shared" si="2"/>
        <v/>
      </c>
      <c r="K218" s="90"/>
      <c r="L218" s="89" t="str">
        <f t="shared" si="3"/>
        <v/>
      </c>
      <c r="M218" s="89"/>
      <c r="N218" s="93">
        <f t="shared" si="5"/>
        <v>0</v>
      </c>
      <c r="O218" s="94">
        <f t="shared" si="6"/>
        <v>0</v>
      </c>
      <c r="P218" s="87"/>
      <c r="Q218" s="87"/>
      <c r="R218" s="89" t="str">
        <f t="shared" si="7"/>
        <v/>
      </c>
      <c r="S218" s="90"/>
      <c r="T218" s="89" t="str">
        <f t="shared" si="8"/>
        <v/>
      </c>
      <c r="U218" s="95"/>
      <c r="V218" s="87"/>
      <c r="W218" s="87"/>
      <c r="X218" s="89" t="str">
        <f t="shared" si="9"/>
        <v/>
      </c>
      <c r="Y218" s="90"/>
      <c r="Z218" s="89" t="str">
        <f t="shared" si="10"/>
        <v/>
      </c>
      <c r="AA218" s="95"/>
      <c r="AB218" s="88" t="str">
        <f t="shared" si="27"/>
        <v/>
      </c>
      <c r="AC218" s="87"/>
      <c r="AD218" s="89" t="str">
        <f t="shared" si="11"/>
        <v/>
      </c>
      <c r="AE218" s="90"/>
      <c r="AF218" s="89" t="str">
        <f t="shared" si="12"/>
        <v/>
      </c>
      <c r="AG218" s="96"/>
      <c r="AH218" s="88" t="str">
        <f t="shared" si="13"/>
        <v/>
      </c>
      <c r="AI218" s="87"/>
      <c r="AJ218" s="89" t="str">
        <f t="shared" si="14"/>
        <v/>
      </c>
      <c r="AK218" s="90"/>
      <c r="AL218" s="89" t="str">
        <f t="shared" si="15"/>
        <v/>
      </c>
      <c r="AM218" s="89"/>
      <c r="AN218" s="93">
        <f t="shared" si="17"/>
        <v>0</v>
      </c>
      <c r="AO218" s="94">
        <f t="shared" si="18"/>
        <v>0</v>
      </c>
      <c r="AP218" s="87"/>
      <c r="AQ218" s="87"/>
      <c r="AR218" s="89" t="str">
        <f t="shared" si="19"/>
        <v/>
      </c>
      <c r="AS218" s="90"/>
      <c r="AT218" s="89" t="str">
        <f t="shared" si="20"/>
        <v/>
      </c>
      <c r="AU218" s="95"/>
      <c r="AV218" s="87"/>
      <c r="AW218" s="87"/>
      <c r="AX218" s="89" t="str">
        <f t="shared" si="21"/>
        <v/>
      </c>
      <c r="AY218" s="90"/>
      <c r="AZ218" s="89" t="str">
        <f t="shared" si="22"/>
        <v/>
      </c>
      <c r="BA218" s="95"/>
      <c r="BB218" s="88" t="str">
        <f t="shared" si="28"/>
        <v/>
      </c>
      <c r="BC218" s="87"/>
      <c r="BD218" s="89" t="str">
        <f t="shared" si="23"/>
        <v/>
      </c>
      <c r="BE218" s="90"/>
      <c r="BF218" s="89" t="str">
        <f t="shared" si="24"/>
        <v/>
      </c>
      <c r="BG218" s="96"/>
    </row>
    <row r="219">
      <c r="A219" s="87"/>
      <c r="B219" s="87"/>
      <c r="C219" s="87"/>
      <c r="D219" s="87"/>
      <c r="E219" s="87"/>
      <c r="F219" s="87"/>
      <c r="G219" s="87"/>
      <c r="H219" s="88" t="str">
        <f t="shared" si="1"/>
        <v/>
      </c>
      <c r="I219" s="87"/>
      <c r="J219" s="89" t="str">
        <f t="shared" si="2"/>
        <v/>
      </c>
      <c r="K219" s="90"/>
      <c r="L219" s="89" t="str">
        <f t="shared" si="3"/>
        <v/>
      </c>
      <c r="M219" s="89"/>
      <c r="N219" s="93">
        <f t="shared" si="5"/>
        <v>0</v>
      </c>
      <c r="O219" s="94">
        <f t="shared" si="6"/>
        <v>0</v>
      </c>
      <c r="P219" s="87"/>
      <c r="Q219" s="87"/>
      <c r="R219" s="89" t="str">
        <f t="shared" si="7"/>
        <v/>
      </c>
      <c r="S219" s="90"/>
      <c r="T219" s="89" t="str">
        <f t="shared" si="8"/>
        <v/>
      </c>
      <c r="U219" s="95"/>
      <c r="V219" s="87"/>
      <c r="W219" s="87"/>
      <c r="X219" s="89" t="str">
        <f t="shared" si="9"/>
        <v/>
      </c>
      <c r="Y219" s="90"/>
      <c r="Z219" s="89" t="str">
        <f t="shared" si="10"/>
        <v/>
      </c>
      <c r="AA219" s="95"/>
      <c r="AB219" s="88" t="str">
        <f t="shared" si="27"/>
        <v/>
      </c>
      <c r="AC219" s="87"/>
      <c r="AD219" s="89" t="str">
        <f t="shared" si="11"/>
        <v/>
      </c>
      <c r="AE219" s="90"/>
      <c r="AF219" s="89" t="str">
        <f t="shared" si="12"/>
        <v/>
      </c>
      <c r="AG219" s="96"/>
      <c r="AH219" s="88" t="str">
        <f t="shared" si="13"/>
        <v/>
      </c>
      <c r="AI219" s="87"/>
      <c r="AJ219" s="89" t="str">
        <f t="shared" si="14"/>
        <v/>
      </c>
      <c r="AK219" s="90"/>
      <c r="AL219" s="89" t="str">
        <f t="shared" si="15"/>
        <v/>
      </c>
      <c r="AM219" s="89"/>
      <c r="AN219" s="93">
        <f t="shared" si="17"/>
        <v>0</v>
      </c>
      <c r="AO219" s="94">
        <f t="shared" si="18"/>
        <v>0</v>
      </c>
      <c r="AP219" s="87"/>
      <c r="AQ219" s="87"/>
      <c r="AR219" s="89" t="str">
        <f t="shared" si="19"/>
        <v/>
      </c>
      <c r="AS219" s="90"/>
      <c r="AT219" s="89" t="str">
        <f t="shared" si="20"/>
        <v/>
      </c>
      <c r="AU219" s="95"/>
      <c r="AV219" s="87"/>
      <c r="AW219" s="87"/>
      <c r="AX219" s="89" t="str">
        <f t="shared" si="21"/>
        <v/>
      </c>
      <c r="AY219" s="90"/>
      <c r="AZ219" s="89" t="str">
        <f t="shared" si="22"/>
        <v/>
      </c>
      <c r="BA219" s="95"/>
      <c r="BB219" s="88" t="str">
        <f t="shared" si="28"/>
        <v/>
      </c>
      <c r="BC219" s="87"/>
      <c r="BD219" s="89" t="str">
        <f t="shared" si="23"/>
        <v/>
      </c>
      <c r="BE219" s="90"/>
      <c r="BF219" s="89" t="str">
        <f t="shared" si="24"/>
        <v/>
      </c>
      <c r="BG219" s="96"/>
    </row>
    <row r="220">
      <c r="A220" s="87"/>
      <c r="B220" s="87"/>
      <c r="C220" s="87"/>
      <c r="D220" s="87"/>
      <c r="E220" s="87"/>
      <c r="F220" s="87"/>
      <c r="G220" s="87"/>
      <c r="H220" s="88" t="str">
        <f t="shared" si="1"/>
        <v/>
      </c>
      <c r="I220" s="87"/>
      <c r="J220" s="89" t="str">
        <f t="shared" si="2"/>
        <v/>
      </c>
      <c r="K220" s="90"/>
      <c r="L220" s="89" t="str">
        <f t="shared" si="3"/>
        <v/>
      </c>
      <c r="M220" s="89"/>
      <c r="N220" s="93">
        <f t="shared" si="5"/>
        <v>0</v>
      </c>
      <c r="O220" s="94">
        <f t="shared" si="6"/>
        <v>0</v>
      </c>
      <c r="P220" s="87"/>
      <c r="Q220" s="87"/>
      <c r="R220" s="89" t="str">
        <f t="shared" si="7"/>
        <v/>
      </c>
      <c r="S220" s="90"/>
      <c r="T220" s="89" t="str">
        <f t="shared" si="8"/>
        <v/>
      </c>
      <c r="U220" s="95"/>
      <c r="V220" s="87"/>
      <c r="W220" s="87"/>
      <c r="X220" s="89" t="str">
        <f t="shared" si="9"/>
        <v/>
      </c>
      <c r="Y220" s="90"/>
      <c r="Z220" s="89" t="str">
        <f t="shared" si="10"/>
        <v/>
      </c>
      <c r="AA220" s="95"/>
      <c r="AB220" s="88" t="str">
        <f t="shared" si="27"/>
        <v/>
      </c>
      <c r="AC220" s="87"/>
      <c r="AD220" s="89" t="str">
        <f t="shared" si="11"/>
        <v/>
      </c>
      <c r="AE220" s="90"/>
      <c r="AF220" s="89" t="str">
        <f t="shared" si="12"/>
        <v/>
      </c>
      <c r="AG220" s="96"/>
      <c r="AH220" s="88" t="str">
        <f t="shared" si="13"/>
        <v/>
      </c>
      <c r="AI220" s="87"/>
      <c r="AJ220" s="89" t="str">
        <f t="shared" si="14"/>
        <v/>
      </c>
      <c r="AK220" s="90"/>
      <c r="AL220" s="89" t="str">
        <f t="shared" si="15"/>
        <v/>
      </c>
      <c r="AM220" s="89"/>
      <c r="AN220" s="93">
        <f t="shared" si="17"/>
        <v>0</v>
      </c>
      <c r="AO220" s="94">
        <f t="shared" si="18"/>
        <v>0</v>
      </c>
      <c r="AP220" s="87"/>
      <c r="AQ220" s="87"/>
      <c r="AR220" s="89" t="str">
        <f t="shared" si="19"/>
        <v/>
      </c>
      <c r="AS220" s="90"/>
      <c r="AT220" s="89" t="str">
        <f t="shared" si="20"/>
        <v/>
      </c>
      <c r="AU220" s="95"/>
      <c r="AV220" s="87"/>
      <c r="AW220" s="87"/>
      <c r="AX220" s="89" t="str">
        <f t="shared" si="21"/>
        <v/>
      </c>
      <c r="AY220" s="90"/>
      <c r="AZ220" s="89" t="str">
        <f t="shared" si="22"/>
        <v/>
      </c>
      <c r="BA220" s="95"/>
      <c r="BB220" s="88" t="str">
        <f t="shared" si="28"/>
        <v/>
      </c>
      <c r="BC220" s="87"/>
      <c r="BD220" s="89" t="str">
        <f t="shared" si="23"/>
        <v/>
      </c>
      <c r="BE220" s="90"/>
      <c r="BF220" s="89" t="str">
        <f t="shared" si="24"/>
        <v/>
      </c>
      <c r="BG220" s="96"/>
    </row>
    <row r="221">
      <c r="A221" s="87"/>
      <c r="B221" s="87"/>
      <c r="C221" s="87"/>
      <c r="D221" s="87"/>
      <c r="E221" s="87"/>
      <c r="F221" s="87"/>
      <c r="G221" s="87"/>
      <c r="H221" s="88" t="str">
        <f t="shared" si="1"/>
        <v/>
      </c>
      <c r="I221" s="87"/>
      <c r="J221" s="89" t="str">
        <f t="shared" si="2"/>
        <v/>
      </c>
      <c r="K221" s="90"/>
      <c r="L221" s="89" t="str">
        <f t="shared" si="3"/>
        <v/>
      </c>
      <c r="M221" s="89"/>
      <c r="N221" s="93">
        <f t="shared" si="5"/>
        <v>0</v>
      </c>
      <c r="O221" s="94">
        <f t="shared" si="6"/>
        <v>0</v>
      </c>
      <c r="P221" s="87"/>
      <c r="Q221" s="87"/>
      <c r="R221" s="89" t="str">
        <f t="shared" si="7"/>
        <v/>
      </c>
      <c r="S221" s="90"/>
      <c r="T221" s="89" t="str">
        <f t="shared" si="8"/>
        <v/>
      </c>
      <c r="U221" s="95"/>
      <c r="V221" s="87"/>
      <c r="W221" s="87"/>
      <c r="X221" s="89" t="str">
        <f t="shared" si="9"/>
        <v/>
      </c>
      <c r="Y221" s="90"/>
      <c r="Z221" s="89" t="str">
        <f t="shared" si="10"/>
        <v/>
      </c>
      <c r="AA221" s="95"/>
      <c r="AB221" s="88" t="str">
        <f t="shared" si="27"/>
        <v/>
      </c>
      <c r="AC221" s="87"/>
      <c r="AD221" s="89" t="str">
        <f t="shared" si="11"/>
        <v/>
      </c>
      <c r="AE221" s="90"/>
      <c r="AF221" s="89" t="str">
        <f t="shared" si="12"/>
        <v/>
      </c>
      <c r="AG221" s="96"/>
      <c r="AH221" s="88" t="str">
        <f t="shared" si="13"/>
        <v/>
      </c>
      <c r="AI221" s="87"/>
      <c r="AJ221" s="89" t="str">
        <f t="shared" si="14"/>
        <v/>
      </c>
      <c r="AK221" s="90"/>
      <c r="AL221" s="89" t="str">
        <f t="shared" si="15"/>
        <v/>
      </c>
      <c r="AM221" s="89"/>
      <c r="AN221" s="93">
        <f t="shared" si="17"/>
        <v>0</v>
      </c>
      <c r="AO221" s="94">
        <f t="shared" si="18"/>
        <v>0</v>
      </c>
      <c r="AP221" s="87"/>
      <c r="AQ221" s="87"/>
      <c r="AR221" s="89" t="str">
        <f t="shared" si="19"/>
        <v/>
      </c>
      <c r="AS221" s="90"/>
      <c r="AT221" s="89" t="str">
        <f t="shared" si="20"/>
        <v/>
      </c>
      <c r="AU221" s="95"/>
      <c r="AV221" s="87"/>
      <c r="AW221" s="87"/>
      <c r="AX221" s="89" t="str">
        <f t="shared" si="21"/>
        <v/>
      </c>
      <c r="AY221" s="90"/>
      <c r="AZ221" s="89" t="str">
        <f t="shared" si="22"/>
        <v/>
      </c>
      <c r="BA221" s="95"/>
      <c r="BB221" s="88" t="str">
        <f t="shared" si="28"/>
        <v/>
      </c>
      <c r="BC221" s="87"/>
      <c r="BD221" s="89" t="str">
        <f t="shared" si="23"/>
        <v/>
      </c>
      <c r="BE221" s="90"/>
      <c r="BF221" s="89" t="str">
        <f t="shared" si="24"/>
        <v/>
      </c>
      <c r="BG221" s="96"/>
    </row>
    <row r="222">
      <c r="A222" s="87"/>
      <c r="B222" s="87"/>
      <c r="C222" s="87"/>
      <c r="D222" s="87"/>
      <c r="E222" s="87"/>
      <c r="F222" s="87"/>
      <c r="G222" s="87"/>
      <c r="H222" s="88" t="str">
        <f t="shared" si="1"/>
        <v/>
      </c>
      <c r="I222" s="87"/>
      <c r="J222" s="89" t="str">
        <f t="shared" si="2"/>
        <v/>
      </c>
      <c r="K222" s="90"/>
      <c r="L222" s="89" t="str">
        <f t="shared" si="3"/>
        <v/>
      </c>
      <c r="M222" s="89"/>
      <c r="N222" s="93">
        <f t="shared" si="5"/>
        <v>0</v>
      </c>
      <c r="O222" s="94">
        <f t="shared" si="6"/>
        <v>0</v>
      </c>
      <c r="P222" s="87"/>
      <c r="Q222" s="87"/>
      <c r="R222" s="89" t="str">
        <f t="shared" si="7"/>
        <v/>
      </c>
      <c r="S222" s="90"/>
      <c r="T222" s="89" t="str">
        <f t="shared" si="8"/>
        <v/>
      </c>
      <c r="U222" s="95"/>
      <c r="V222" s="87"/>
      <c r="W222" s="87"/>
      <c r="X222" s="89" t="str">
        <f t="shared" si="9"/>
        <v/>
      </c>
      <c r="Y222" s="90"/>
      <c r="Z222" s="89" t="str">
        <f t="shared" si="10"/>
        <v/>
      </c>
      <c r="AA222" s="95"/>
      <c r="AB222" s="88" t="str">
        <f t="shared" si="27"/>
        <v/>
      </c>
      <c r="AC222" s="87"/>
      <c r="AD222" s="89" t="str">
        <f t="shared" si="11"/>
        <v/>
      </c>
      <c r="AE222" s="90"/>
      <c r="AF222" s="89" t="str">
        <f t="shared" si="12"/>
        <v/>
      </c>
      <c r="AG222" s="96"/>
      <c r="AH222" s="88" t="str">
        <f t="shared" si="13"/>
        <v/>
      </c>
      <c r="AI222" s="87"/>
      <c r="AJ222" s="89" t="str">
        <f t="shared" si="14"/>
        <v/>
      </c>
      <c r="AK222" s="90"/>
      <c r="AL222" s="89" t="str">
        <f t="shared" si="15"/>
        <v/>
      </c>
      <c r="AM222" s="89"/>
      <c r="AN222" s="93">
        <f t="shared" si="17"/>
        <v>0</v>
      </c>
      <c r="AO222" s="94">
        <f t="shared" si="18"/>
        <v>0</v>
      </c>
      <c r="AP222" s="87"/>
      <c r="AQ222" s="87"/>
      <c r="AR222" s="89" t="str">
        <f t="shared" si="19"/>
        <v/>
      </c>
      <c r="AS222" s="90"/>
      <c r="AT222" s="89" t="str">
        <f t="shared" si="20"/>
        <v/>
      </c>
      <c r="AU222" s="95"/>
      <c r="AV222" s="87"/>
      <c r="AW222" s="87"/>
      <c r="AX222" s="89" t="str">
        <f t="shared" si="21"/>
        <v/>
      </c>
      <c r="AY222" s="90"/>
      <c r="AZ222" s="89" t="str">
        <f t="shared" si="22"/>
        <v/>
      </c>
      <c r="BA222" s="95"/>
      <c r="BB222" s="88" t="str">
        <f t="shared" si="28"/>
        <v/>
      </c>
      <c r="BC222" s="87"/>
      <c r="BD222" s="89" t="str">
        <f t="shared" si="23"/>
        <v/>
      </c>
      <c r="BE222" s="90"/>
      <c r="BF222" s="89" t="str">
        <f t="shared" si="24"/>
        <v/>
      </c>
      <c r="BG222" s="96"/>
    </row>
    <row r="223">
      <c r="A223" s="87"/>
      <c r="B223" s="87"/>
      <c r="C223" s="87"/>
      <c r="D223" s="87"/>
      <c r="E223" s="87"/>
      <c r="F223" s="87"/>
      <c r="G223" s="87"/>
      <c r="H223" s="88" t="str">
        <f t="shared" si="1"/>
        <v/>
      </c>
      <c r="I223" s="87"/>
      <c r="J223" s="89" t="str">
        <f t="shared" si="2"/>
        <v/>
      </c>
      <c r="K223" s="90"/>
      <c r="L223" s="89" t="str">
        <f t="shared" si="3"/>
        <v/>
      </c>
      <c r="M223" s="89"/>
      <c r="N223" s="93">
        <f t="shared" si="5"/>
        <v>0</v>
      </c>
      <c r="O223" s="94">
        <f t="shared" si="6"/>
        <v>0</v>
      </c>
      <c r="P223" s="87"/>
      <c r="Q223" s="87"/>
      <c r="R223" s="89" t="str">
        <f t="shared" si="7"/>
        <v/>
      </c>
      <c r="S223" s="90"/>
      <c r="T223" s="89" t="str">
        <f t="shared" si="8"/>
        <v/>
      </c>
      <c r="U223" s="95"/>
      <c r="V223" s="87"/>
      <c r="W223" s="87"/>
      <c r="X223" s="89" t="str">
        <f t="shared" si="9"/>
        <v/>
      </c>
      <c r="Y223" s="90"/>
      <c r="Z223" s="89" t="str">
        <f t="shared" si="10"/>
        <v/>
      </c>
      <c r="AA223" s="95"/>
      <c r="AB223" s="88" t="str">
        <f t="shared" si="27"/>
        <v/>
      </c>
      <c r="AC223" s="87"/>
      <c r="AD223" s="89" t="str">
        <f t="shared" si="11"/>
        <v/>
      </c>
      <c r="AE223" s="90"/>
      <c r="AF223" s="89" t="str">
        <f t="shared" si="12"/>
        <v/>
      </c>
      <c r="AG223" s="96"/>
      <c r="AH223" s="88" t="str">
        <f t="shared" si="13"/>
        <v/>
      </c>
      <c r="AI223" s="87"/>
      <c r="AJ223" s="89" t="str">
        <f t="shared" si="14"/>
        <v/>
      </c>
      <c r="AK223" s="90"/>
      <c r="AL223" s="89" t="str">
        <f t="shared" si="15"/>
        <v/>
      </c>
      <c r="AM223" s="89"/>
      <c r="AN223" s="93">
        <f t="shared" si="17"/>
        <v>0</v>
      </c>
      <c r="AO223" s="94">
        <f t="shared" si="18"/>
        <v>0</v>
      </c>
      <c r="AP223" s="87"/>
      <c r="AQ223" s="87"/>
      <c r="AR223" s="89" t="str">
        <f t="shared" si="19"/>
        <v/>
      </c>
      <c r="AS223" s="90"/>
      <c r="AT223" s="89" t="str">
        <f t="shared" si="20"/>
        <v/>
      </c>
      <c r="AU223" s="95"/>
      <c r="AV223" s="87"/>
      <c r="AW223" s="87"/>
      <c r="AX223" s="89" t="str">
        <f t="shared" si="21"/>
        <v/>
      </c>
      <c r="AY223" s="90"/>
      <c r="AZ223" s="89" t="str">
        <f t="shared" si="22"/>
        <v/>
      </c>
      <c r="BA223" s="95"/>
      <c r="BB223" s="88" t="str">
        <f t="shared" si="28"/>
        <v/>
      </c>
      <c r="BC223" s="87"/>
      <c r="BD223" s="89" t="str">
        <f t="shared" si="23"/>
        <v/>
      </c>
      <c r="BE223" s="90"/>
      <c r="BF223" s="89" t="str">
        <f t="shared" si="24"/>
        <v/>
      </c>
      <c r="BG223" s="96"/>
    </row>
    <row r="224">
      <c r="A224" s="87"/>
      <c r="B224" s="87"/>
      <c r="C224" s="87"/>
      <c r="D224" s="87"/>
      <c r="E224" s="87"/>
      <c r="F224" s="87"/>
      <c r="G224" s="87"/>
      <c r="H224" s="88" t="str">
        <f t="shared" si="1"/>
        <v/>
      </c>
      <c r="I224" s="87"/>
      <c r="J224" s="89" t="str">
        <f t="shared" si="2"/>
        <v/>
      </c>
      <c r="K224" s="90"/>
      <c r="L224" s="89" t="str">
        <f t="shared" si="3"/>
        <v/>
      </c>
      <c r="M224" s="89"/>
      <c r="N224" s="93">
        <f t="shared" si="5"/>
        <v>0</v>
      </c>
      <c r="O224" s="94">
        <f t="shared" si="6"/>
        <v>0</v>
      </c>
      <c r="P224" s="87"/>
      <c r="Q224" s="87"/>
      <c r="R224" s="89" t="str">
        <f t="shared" si="7"/>
        <v/>
      </c>
      <c r="S224" s="90"/>
      <c r="T224" s="89" t="str">
        <f t="shared" si="8"/>
        <v/>
      </c>
      <c r="U224" s="95"/>
      <c r="V224" s="87"/>
      <c r="W224" s="87"/>
      <c r="X224" s="89" t="str">
        <f t="shared" si="9"/>
        <v/>
      </c>
      <c r="Y224" s="90"/>
      <c r="Z224" s="89" t="str">
        <f t="shared" si="10"/>
        <v/>
      </c>
      <c r="AA224" s="95"/>
      <c r="AB224" s="88" t="str">
        <f t="shared" si="27"/>
        <v/>
      </c>
      <c r="AC224" s="87"/>
      <c r="AD224" s="89" t="str">
        <f t="shared" si="11"/>
        <v/>
      </c>
      <c r="AE224" s="90"/>
      <c r="AF224" s="89" t="str">
        <f t="shared" si="12"/>
        <v/>
      </c>
      <c r="AG224" s="96"/>
      <c r="AH224" s="88" t="str">
        <f t="shared" si="13"/>
        <v/>
      </c>
      <c r="AI224" s="87"/>
      <c r="AJ224" s="89" t="str">
        <f t="shared" si="14"/>
        <v/>
      </c>
      <c r="AK224" s="90"/>
      <c r="AL224" s="89" t="str">
        <f t="shared" si="15"/>
        <v/>
      </c>
      <c r="AM224" s="89"/>
      <c r="AN224" s="93">
        <f t="shared" si="17"/>
        <v>0</v>
      </c>
      <c r="AO224" s="94">
        <f t="shared" si="18"/>
        <v>0</v>
      </c>
      <c r="AP224" s="87"/>
      <c r="AQ224" s="87"/>
      <c r="AR224" s="89" t="str">
        <f t="shared" si="19"/>
        <v/>
      </c>
      <c r="AS224" s="90"/>
      <c r="AT224" s="89" t="str">
        <f t="shared" si="20"/>
        <v/>
      </c>
      <c r="AU224" s="95"/>
      <c r="AV224" s="87"/>
      <c r="AW224" s="87"/>
      <c r="AX224" s="89" t="str">
        <f t="shared" si="21"/>
        <v/>
      </c>
      <c r="AY224" s="90"/>
      <c r="AZ224" s="89" t="str">
        <f t="shared" si="22"/>
        <v/>
      </c>
      <c r="BA224" s="95"/>
      <c r="BB224" s="88" t="str">
        <f t="shared" si="28"/>
        <v/>
      </c>
      <c r="BC224" s="87"/>
      <c r="BD224" s="89" t="str">
        <f t="shared" si="23"/>
        <v/>
      </c>
      <c r="BE224" s="90"/>
      <c r="BF224" s="89" t="str">
        <f t="shared" si="24"/>
        <v/>
      </c>
      <c r="BG224" s="96"/>
    </row>
    <row r="225">
      <c r="A225" s="87"/>
      <c r="B225" s="87"/>
      <c r="C225" s="87"/>
      <c r="D225" s="87"/>
      <c r="E225" s="87"/>
      <c r="F225" s="87"/>
      <c r="G225" s="87"/>
      <c r="H225" s="88" t="str">
        <f t="shared" si="1"/>
        <v/>
      </c>
      <c r="I225" s="87"/>
      <c r="J225" s="89" t="str">
        <f t="shared" si="2"/>
        <v/>
      </c>
      <c r="K225" s="90"/>
      <c r="L225" s="89" t="str">
        <f t="shared" si="3"/>
        <v/>
      </c>
      <c r="M225" s="89"/>
      <c r="N225" s="93">
        <f t="shared" si="5"/>
        <v>0</v>
      </c>
      <c r="O225" s="94">
        <f t="shared" si="6"/>
        <v>0</v>
      </c>
      <c r="P225" s="87"/>
      <c r="Q225" s="87"/>
      <c r="R225" s="89" t="str">
        <f t="shared" si="7"/>
        <v/>
      </c>
      <c r="S225" s="90"/>
      <c r="T225" s="89" t="str">
        <f t="shared" si="8"/>
        <v/>
      </c>
      <c r="U225" s="95"/>
      <c r="V225" s="87"/>
      <c r="W225" s="87"/>
      <c r="X225" s="89" t="str">
        <f t="shared" si="9"/>
        <v/>
      </c>
      <c r="Y225" s="90"/>
      <c r="Z225" s="89" t="str">
        <f t="shared" si="10"/>
        <v/>
      </c>
      <c r="AA225" s="95"/>
      <c r="AB225" s="88" t="str">
        <f t="shared" si="27"/>
        <v/>
      </c>
      <c r="AC225" s="87"/>
      <c r="AD225" s="89" t="str">
        <f t="shared" si="11"/>
        <v/>
      </c>
      <c r="AE225" s="90"/>
      <c r="AF225" s="89" t="str">
        <f t="shared" si="12"/>
        <v/>
      </c>
      <c r="AG225" s="96"/>
      <c r="AH225" s="88" t="str">
        <f t="shared" si="13"/>
        <v/>
      </c>
      <c r="AI225" s="87"/>
      <c r="AJ225" s="89" t="str">
        <f t="shared" si="14"/>
        <v/>
      </c>
      <c r="AK225" s="90"/>
      <c r="AL225" s="89" t="str">
        <f t="shared" si="15"/>
        <v/>
      </c>
      <c r="AM225" s="89"/>
      <c r="AN225" s="93">
        <f t="shared" si="17"/>
        <v>0</v>
      </c>
      <c r="AO225" s="94">
        <f t="shared" si="18"/>
        <v>0</v>
      </c>
      <c r="AP225" s="87"/>
      <c r="AQ225" s="87"/>
      <c r="AR225" s="89" t="str">
        <f t="shared" si="19"/>
        <v/>
      </c>
      <c r="AS225" s="90"/>
      <c r="AT225" s="89" t="str">
        <f t="shared" si="20"/>
        <v/>
      </c>
      <c r="AU225" s="95"/>
      <c r="AV225" s="87"/>
      <c r="AW225" s="87"/>
      <c r="AX225" s="89" t="str">
        <f t="shared" si="21"/>
        <v/>
      </c>
      <c r="AY225" s="90"/>
      <c r="AZ225" s="89" t="str">
        <f t="shared" si="22"/>
        <v/>
      </c>
      <c r="BA225" s="95"/>
      <c r="BB225" s="88" t="str">
        <f t="shared" si="28"/>
        <v/>
      </c>
      <c r="BC225" s="87"/>
      <c r="BD225" s="89" t="str">
        <f t="shared" si="23"/>
        <v/>
      </c>
      <c r="BE225" s="90"/>
      <c r="BF225" s="89" t="str">
        <f t="shared" si="24"/>
        <v/>
      </c>
      <c r="BG225" s="96"/>
    </row>
    <row r="226">
      <c r="A226" s="87"/>
      <c r="B226" s="87"/>
      <c r="C226" s="87"/>
      <c r="D226" s="87"/>
      <c r="E226" s="87"/>
      <c r="F226" s="87"/>
      <c r="G226" s="87"/>
      <c r="H226" s="88" t="str">
        <f t="shared" si="1"/>
        <v/>
      </c>
      <c r="I226" s="87"/>
      <c r="J226" s="89" t="str">
        <f t="shared" si="2"/>
        <v/>
      </c>
      <c r="K226" s="90"/>
      <c r="L226" s="89" t="str">
        <f t="shared" si="3"/>
        <v/>
      </c>
      <c r="M226" s="89"/>
      <c r="N226" s="93">
        <f t="shared" si="5"/>
        <v>0</v>
      </c>
      <c r="O226" s="94">
        <f t="shared" si="6"/>
        <v>0</v>
      </c>
      <c r="P226" s="87"/>
      <c r="Q226" s="87"/>
      <c r="R226" s="89" t="str">
        <f t="shared" si="7"/>
        <v/>
      </c>
      <c r="S226" s="90"/>
      <c r="T226" s="89" t="str">
        <f t="shared" si="8"/>
        <v/>
      </c>
      <c r="U226" s="95"/>
      <c r="V226" s="87"/>
      <c r="W226" s="87"/>
      <c r="X226" s="89" t="str">
        <f t="shared" si="9"/>
        <v/>
      </c>
      <c r="Y226" s="90"/>
      <c r="Z226" s="89" t="str">
        <f t="shared" si="10"/>
        <v/>
      </c>
      <c r="AA226" s="95"/>
      <c r="AB226" s="88" t="str">
        <f t="shared" si="27"/>
        <v/>
      </c>
      <c r="AC226" s="87"/>
      <c r="AD226" s="89" t="str">
        <f t="shared" si="11"/>
        <v/>
      </c>
      <c r="AE226" s="90"/>
      <c r="AF226" s="89" t="str">
        <f t="shared" si="12"/>
        <v/>
      </c>
      <c r="AG226" s="96"/>
      <c r="AH226" s="88" t="str">
        <f t="shared" si="13"/>
        <v/>
      </c>
      <c r="AI226" s="87"/>
      <c r="AJ226" s="89" t="str">
        <f t="shared" si="14"/>
        <v/>
      </c>
      <c r="AK226" s="90"/>
      <c r="AL226" s="89" t="str">
        <f t="shared" si="15"/>
        <v/>
      </c>
      <c r="AM226" s="89"/>
      <c r="AN226" s="93">
        <f t="shared" si="17"/>
        <v>0</v>
      </c>
      <c r="AO226" s="94">
        <f t="shared" si="18"/>
        <v>0</v>
      </c>
      <c r="AP226" s="87"/>
      <c r="AQ226" s="87"/>
      <c r="AR226" s="89" t="str">
        <f t="shared" si="19"/>
        <v/>
      </c>
      <c r="AS226" s="90"/>
      <c r="AT226" s="89" t="str">
        <f t="shared" si="20"/>
        <v/>
      </c>
      <c r="AU226" s="95"/>
      <c r="AV226" s="87"/>
      <c r="AW226" s="87"/>
      <c r="AX226" s="89" t="str">
        <f t="shared" si="21"/>
        <v/>
      </c>
      <c r="AY226" s="90"/>
      <c r="AZ226" s="89" t="str">
        <f t="shared" si="22"/>
        <v/>
      </c>
      <c r="BA226" s="95"/>
      <c r="BB226" s="88" t="str">
        <f t="shared" si="28"/>
        <v/>
      </c>
      <c r="BC226" s="87"/>
      <c r="BD226" s="89" t="str">
        <f t="shared" si="23"/>
        <v/>
      </c>
      <c r="BE226" s="90"/>
      <c r="BF226" s="89" t="str">
        <f t="shared" si="24"/>
        <v/>
      </c>
      <c r="BG226" s="96"/>
    </row>
    <row r="227">
      <c r="A227" s="87"/>
      <c r="B227" s="87"/>
      <c r="C227" s="87"/>
      <c r="D227" s="87"/>
      <c r="E227" s="87"/>
      <c r="F227" s="87"/>
      <c r="G227" s="87"/>
      <c r="H227" s="88" t="str">
        <f t="shared" si="1"/>
        <v/>
      </c>
      <c r="I227" s="87"/>
      <c r="J227" s="89" t="str">
        <f t="shared" si="2"/>
        <v/>
      </c>
      <c r="K227" s="90"/>
      <c r="L227" s="89" t="str">
        <f t="shared" si="3"/>
        <v/>
      </c>
      <c r="M227" s="89"/>
      <c r="N227" s="93">
        <f t="shared" si="5"/>
        <v>0</v>
      </c>
      <c r="O227" s="94">
        <f t="shared" si="6"/>
        <v>0</v>
      </c>
      <c r="P227" s="87"/>
      <c r="Q227" s="87"/>
      <c r="R227" s="89" t="str">
        <f t="shared" si="7"/>
        <v/>
      </c>
      <c r="S227" s="90"/>
      <c r="T227" s="89" t="str">
        <f t="shared" si="8"/>
        <v/>
      </c>
      <c r="U227" s="95"/>
      <c r="V227" s="87"/>
      <c r="W227" s="87"/>
      <c r="X227" s="89" t="str">
        <f t="shared" si="9"/>
        <v/>
      </c>
      <c r="Y227" s="90"/>
      <c r="Z227" s="89" t="str">
        <f t="shared" si="10"/>
        <v/>
      </c>
      <c r="AA227" s="95"/>
      <c r="AB227" s="88" t="str">
        <f t="shared" si="27"/>
        <v/>
      </c>
      <c r="AC227" s="87"/>
      <c r="AD227" s="89" t="str">
        <f t="shared" si="11"/>
        <v/>
      </c>
      <c r="AE227" s="90"/>
      <c r="AF227" s="89" t="str">
        <f t="shared" si="12"/>
        <v/>
      </c>
      <c r="AG227" s="96"/>
      <c r="AH227" s="88" t="str">
        <f t="shared" si="13"/>
        <v/>
      </c>
      <c r="AI227" s="87"/>
      <c r="AJ227" s="89" t="str">
        <f t="shared" si="14"/>
        <v/>
      </c>
      <c r="AK227" s="90"/>
      <c r="AL227" s="89" t="str">
        <f t="shared" si="15"/>
        <v/>
      </c>
      <c r="AM227" s="89"/>
      <c r="AN227" s="93">
        <f t="shared" si="17"/>
        <v>0</v>
      </c>
      <c r="AO227" s="94">
        <f t="shared" si="18"/>
        <v>0</v>
      </c>
      <c r="AP227" s="87"/>
      <c r="AQ227" s="87"/>
      <c r="AR227" s="89" t="str">
        <f t="shared" si="19"/>
        <v/>
      </c>
      <c r="AS227" s="90"/>
      <c r="AT227" s="89" t="str">
        <f t="shared" si="20"/>
        <v/>
      </c>
      <c r="AU227" s="95"/>
      <c r="AV227" s="87"/>
      <c r="AW227" s="87"/>
      <c r="AX227" s="89" t="str">
        <f t="shared" si="21"/>
        <v/>
      </c>
      <c r="AY227" s="90"/>
      <c r="AZ227" s="89" t="str">
        <f t="shared" si="22"/>
        <v/>
      </c>
      <c r="BA227" s="95"/>
      <c r="BB227" s="88" t="str">
        <f t="shared" si="28"/>
        <v/>
      </c>
      <c r="BC227" s="87"/>
      <c r="BD227" s="89" t="str">
        <f t="shared" si="23"/>
        <v/>
      </c>
      <c r="BE227" s="90"/>
      <c r="BF227" s="89" t="str">
        <f t="shared" si="24"/>
        <v/>
      </c>
      <c r="BG227" s="96"/>
    </row>
    <row r="228">
      <c r="A228" s="87"/>
      <c r="B228" s="87"/>
      <c r="C228" s="87"/>
      <c r="D228" s="87"/>
      <c r="E228" s="87"/>
      <c r="F228" s="87"/>
      <c r="G228" s="87"/>
      <c r="H228" s="88" t="str">
        <f t="shared" si="1"/>
        <v/>
      </c>
      <c r="I228" s="87"/>
      <c r="J228" s="89" t="str">
        <f t="shared" si="2"/>
        <v/>
      </c>
      <c r="K228" s="90"/>
      <c r="L228" s="89" t="str">
        <f t="shared" si="3"/>
        <v/>
      </c>
      <c r="M228" s="89"/>
      <c r="N228" s="93">
        <f t="shared" si="5"/>
        <v>0</v>
      </c>
      <c r="O228" s="94">
        <f t="shared" si="6"/>
        <v>0</v>
      </c>
      <c r="P228" s="87"/>
      <c r="Q228" s="87"/>
      <c r="R228" s="89" t="str">
        <f t="shared" si="7"/>
        <v/>
      </c>
      <c r="S228" s="90"/>
      <c r="T228" s="89" t="str">
        <f t="shared" si="8"/>
        <v/>
      </c>
      <c r="U228" s="95"/>
      <c r="V228" s="87"/>
      <c r="W228" s="87"/>
      <c r="X228" s="89" t="str">
        <f t="shared" si="9"/>
        <v/>
      </c>
      <c r="Y228" s="90"/>
      <c r="Z228" s="89" t="str">
        <f t="shared" si="10"/>
        <v/>
      </c>
      <c r="AA228" s="95"/>
      <c r="AB228" s="88" t="str">
        <f t="shared" si="27"/>
        <v/>
      </c>
      <c r="AC228" s="87"/>
      <c r="AD228" s="89" t="str">
        <f t="shared" si="11"/>
        <v/>
      </c>
      <c r="AE228" s="90"/>
      <c r="AF228" s="89" t="str">
        <f t="shared" si="12"/>
        <v/>
      </c>
      <c r="AG228" s="96"/>
      <c r="AH228" s="88" t="str">
        <f t="shared" si="13"/>
        <v/>
      </c>
      <c r="AI228" s="87"/>
      <c r="AJ228" s="89" t="str">
        <f t="shared" si="14"/>
        <v/>
      </c>
      <c r="AK228" s="90"/>
      <c r="AL228" s="89" t="str">
        <f t="shared" si="15"/>
        <v/>
      </c>
      <c r="AM228" s="89"/>
      <c r="AN228" s="93">
        <f t="shared" si="17"/>
        <v>0</v>
      </c>
      <c r="AO228" s="94">
        <f t="shared" si="18"/>
        <v>0</v>
      </c>
      <c r="AP228" s="87"/>
      <c r="AQ228" s="87"/>
      <c r="AR228" s="89" t="str">
        <f t="shared" si="19"/>
        <v/>
      </c>
      <c r="AS228" s="90"/>
      <c r="AT228" s="89" t="str">
        <f t="shared" si="20"/>
        <v/>
      </c>
      <c r="AU228" s="95"/>
      <c r="AV228" s="87"/>
      <c r="AW228" s="87"/>
      <c r="AX228" s="89" t="str">
        <f t="shared" si="21"/>
        <v/>
      </c>
      <c r="AY228" s="90"/>
      <c r="AZ228" s="89" t="str">
        <f t="shared" si="22"/>
        <v/>
      </c>
      <c r="BA228" s="95"/>
      <c r="BB228" s="88" t="str">
        <f t="shared" si="28"/>
        <v/>
      </c>
      <c r="BC228" s="87"/>
      <c r="BD228" s="89" t="str">
        <f t="shared" si="23"/>
        <v/>
      </c>
      <c r="BE228" s="90"/>
      <c r="BF228" s="89" t="str">
        <f t="shared" si="24"/>
        <v/>
      </c>
      <c r="BG228" s="96"/>
    </row>
    <row r="229">
      <c r="A229" s="87"/>
      <c r="B229" s="87"/>
      <c r="C229" s="87"/>
      <c r="D229" s="87"/>
      <c r="E229" s="87"/>
      <c r="F229" s="87"/>
      <c r="G229" s="87"/>
      <c r="H229" s="88" t="str">
        <f t="shared" si="1"/>
        <v/>
      </c>
      <c r="I229" s="87"/>
      <c r="J229" s="89" t="str">
        <f t="shared" si="2"/>
        <v/>
      </c>
      <c r="K229" s="90"/>
      <c r="L229" s="89" t="str">
        <f t="shared" si="3"/>
        <v/>
      </c>
      <c r="M229" s="89"/>
      <c r="N229" s="93">
        <f t="shared" si="5"/>
        <v>0</v>
      </c>
      <c r="O229" s="94">
        <f t="shared" si="6"/>
        <v>0</v>
      </c>
      <c r="P229" s="87"/>
      <c r="Q229" s="87"/>
      <c r="R229" s="89" t="str">
        <f t="shared" si="7"/>
        <v/>
      </c>
      <c r="S229" s="90"/>
      <c r="T229" s="89" t="str">
        <f t="shared" si="8"/>
        <v/>
      </c>
      <c r="U229" s="95"/>
      <c r="V229" s="87"/>
      <c r="W229" s="87"/>
      <c r="X229" s="89" t="str">
        <f t="shared" si="9"/>
        <v/>
      </c>
      <c r="Y229" s="90"/>
      <c r="Z229" s="89" t="str">
        <f t="shared" si="10"/>
        <v/>
      </c>
      <c r="AA229" s="95"/>
      <c r="AB229" s="88" t="str">
        <f t="shared" si="27"/>
        <v/>
      </c>
      <c r="AC229" s="87"/>
      <c r="AD229" s="89" t="str">
        <f t="shared" si="11"/>
        <v/>
      </c>
      <c r="AE229" s="90"/>
      <c r="AF229" s="89" t="str">
        <f t="shared" si="12"/>
        <v/>
      </c>
      <c r="AG229" s="96"/>
      <c r="AH229" s="88" t="str">
        <f t="shared" si="13"/>
        <v/>
      </c>
      <c r="AI229" s="87"/>
      <c r="AJ229" s="89" t="str">
        <f t="shared" si="14"/>
        <v/>
      </c>
      <c r="AK229" s="90"/>
      <c r="AL229" s="89" t="str">
        <f t="shared" si="15"/>
        <v/>
      </c>
      <c r="AM229" s="89"/>
      <c r="AN229" s="93">
        <f t="shared" si="17"/>
        <v>0</v>
      </c>
      <c r="AO229" s="94">
        <f t="shared" si="18"/>
        <v>0</v>
      </c>
      <c r="AP229" s="87"/>
      <c r="AQ229" s="87"/>
      <c r="AR229" s="89" t="str">
        <f t="shared" si="19"/>
        <v/>
      </c>
      <c r="AS229" s="90"/>
      <c r="AT229" s="89" t="str">
        <f t="shared" si="20"/>
        <v/>
      </c>
      <c r="AU229" s="95"/>
      <c r="AV229" s="87"/>
      <c r="AW229" s="87"/>
      <c r="AX229" s="89" t="str">
        <f t="shared" si="21"/>
        <v/>
      </c>
      <c r="AY229" s="90"/>
      <c r="AZ229" s="89" t="str">
        <f t="shared" si="22"/>
        <v/>
      </c>
      <c r="BA229" s="95"/>
      <c r="BB229" s="88" t="str">
        <f t="shared" si="28"/>
        <v/>
      </c>
      <c r="BC229" s="87"/>
      <c r="BD229" s="89" t="str">
        <f t="shared" si="23"/>
        <v/>
      </c>
      <c r="BE229" s="90"/>
      <c r="BF229" s="89" t="str">
        <f t="shared" si="24"/>
        <v/>
      </c>
      <c r="BG229" s="96"/>
    </row>
    <row r="230">
      <c r="A230" s="87"/>
      <c r="B230" s="87"/>
      <c r="C230" s="87"/>
      <c r="D230" s="87"/>
      <c r="E230" s="87"/>
      <c r="F230" s="87"/>
      <c r="G230" s="87"/>
      <c r="H230" s="88" t="str">
        <f t="shared" si="1"/>
        <v/>
      </c>
      <c r="I230" s="87"/>
      <c r="J230" s="89" t="str">
        <f t="shared" si="2"/>
        <v/>
      </c>
      <c r="K230" s="90"/>
      <c r="L230" s="89" t="str">
        <f t="shared" si="3"/>
        <v/>
      </c>
      <c r="M230" s="89"/>
      <c r="N230" s="93">
        <f t="shared" si="5"/>
        <v>0</v>
      </c>
      <c r="O230" s="94">
        <f t="shared" si="6"/>
        <v>0</v>
      </c>
      <c r="P230" s="87"/>
      <c r="Q230" s="87"/>
      <c r="R230" s="89" t="str">
        <f t="shared" si="7"/>
        <v/>
      </c>
      <c r="S230" s="90"/>
      <c r="T230" s="89" t="str">
        <f t="shared" si="8"/>
        <v/>
      </c>
      <c r="U230" s="95"/>
      <c r="V230" s="87"/>
      <c r="W230" s="87"/>
      <c r="X230" s="89" t="str">
        <f t="shared" si="9"/>
        <v/>
      </c>
      <c r="Y230" s="90"/>
      <c r="Z230" s="89" t="str">
        <f t="shared" si="10"/>
        <v/>
      </c>
      <c r="AA230" s="95"/>
      <c r="AB230" s="88" t="str">
        <f t="shared" si="27"/>
        <v/>
      </c>
      <c r="AC230" s="87"/>
      <c r="AD230" s="89" t="str">
        <f t="shared" si="11"/>
        <v/>
      </c>
      <c r="AE230" s="90"/>
      <c r="AF230" s="89" t="str">
        <f t="shared" si="12"/>
        <v/>
      </c>
      <c r="AG230" s="96"/>
      <c r="AH230" s="88" t="str">
        <f t="shared" si="13"/>
        <v/>
      </c>
      <c r="AI230" s="87"/>
      <c r="AJ230" s="89" t="str">
        <f t="shared" si="14"/>
        <v/>
      </c>
      <c r="AK230" s="90"/>
      <c r="AL230" s="89" t="str">
        <f t="shared" si="15"/>
        <v/>
      </c>
      <c r="AM230" s="89"/>
      <c r="AN230" s="93">
        <f t="shared" si="17"/>
        <v>0</v>
      </c>
      <c r="AO230" s="94">
        <f t="shared" si="18"/>
        <v>0</v>
      </c>
      <c r="AP230" s="87"/>
      <c r="AQ230" s="87"/>
      <c r="AR230" s="89" t="str">
        <f t="shared" si="19"/>
        <v/>
      </c>
      <c r="AS230" s="90"/>
      <c r="AT230" s="89" t="str">
        <f t="shared" si="20"/>
        <v/>
      </c>
      <c r="AU230" s="95"/>
      <c r="AV230" s="87"/>
      <c r="AW230" s="87"/>
      <c r="AX230" s="89" t="str">
        <f t="shared" si="21"/>
        <v/>
      </c>
      <c r="AY230" s="90"/>
      <c r="AZ230" s="89" t="str">
        <f t="shared" si="22"/>
        <v/>
      </c>
      <c r="BA230" s="95"/>
      <c r="BB230" s="88" t="str">
        <f t="shared" si="28"/>
        <v/>
      </c>
      <c r="BC230" s="87"/>
      <c r="BD230" s="89" t="str">
        <f t="shared" si="23"/>
        <v/>
      </c>
      <c r="BE230" s="90"/>
      <c r="BF230" s="89" t="str">
        <f t="shared" si="24"/>
        <v/>
      </c>
      <c r="BG230" s="96"/>
    </row>
    <row r="231">
      <c r="A231" s="87"/>
      <c r="B231" s="87"/>
      <c r="C231" s="87"/>
      <c r="D231" s="87"/>
      <c r="E231" s="87"/>
      <c r="F231" s="87"/>
      <c r="G231" s="87"/>
      <c r="H231" s="88" t="str">
        <f t="shared" si="1"/>
        <v/>
      </c>
      <c r="I231" s="87"/>
      <c r="J231" s="89" t="str">
        <f t="shared" si="2"/>
        <v/>
      </c>
      <c r="K231" s="90"/>
      <c r="L231" s="89" t="str">
        <f t="shared" si="3"/>
        <v/>
      </c>
      <c r="M231" s="89"/>
      <c r="N231" s="93">
        <f t="shared" si="5"/>
        <v>0</v>
      </c>
      <c r="O231" s="94">
        <f t="shared" si="6"/>
        <v>0</v>
      </c>
      <c r="P231" s="87"/>
      <c r="Q231" s="87"/>
      <c r="R231" s="89" t="str">
        <f t="shared" si="7"/>
        <v/>
      </c>
      <c r="S231" s="90"/>
      <c r="T231" s="89" t="str">
        <f t="shared" si="8"/>
        <v/>
      </c>
      <c r="U231" s="95"/>
      <c r="V231" s="87"/>
      <c r="W231" s="87"/>
      <c r="X231" s="89" t="str">
        <f t="shared" si="9"/>
        <v/>
      </c>
      <c r="Y231" s="90"/>
      <c r="Z231" s="89" t="str">
        <f t="shared" si="10"/>
        <v/>
      </c>
      <c r="AA231" s="95"/>
      <c r="AB231" s="88" t="str">
        <f t="shared" si="27"/>
        <v/>
      </c>
      <c r="AC231" s="87"/>
      <c r="AD231" s="89" t="str">
        <f t="shared" si="11"/>
        <v/>
      </c>
      <c r="AE231" s="90"/>
      <c r="AF231" s="89" t="str">
        <f t="shared" si="12"/>
        <v/>
      </c>
      <c r="AG231" s="96"/>
      <c r="AH231" s="88" t="str">
        <f t="shared" si="13"/>
        <v/>
      </c>
      <c r="AI231" s="87"/>
      <c r="AJ231" s="89" t="str">
        <f t="shared" si="14"/>
        <v/>
      </c>
      <c r="AK231" s="90"/>
      <c r="AL231" s="89" t="str">
        <f t="shared" si="15"/>
        <v/>
      </c>
      <c r="AM231" s="89"/>
      <c r="AN231" s="93">
        <f t="shared" si="17"/>
        <v>0</v>
      </c>
      <c r="AO231" s="94">
        <f t="shared" si="18"/>
        <v>0</v>
      </c>
      <c r="AP231" s="87"/>
      <c r="AQ231" s="87"/>
      <c r="AR231" s="89" t="str">
        <f t="shared" si="19"/>
        <v/>
      </c>
      <c r="AS231" s="90"/>
      <c r="AT231" s="89" t="str">
        <f t="shared" si="20"/>
        <v/>
      </c>
      <c r="AU231" s="95"/>
      <c r="AV231" s="87"/>
      <c r="AW231" s="87"/>
      <c r="AX231" s="89" t="str">
        <f t="shared" si="21"/>
        <v/>
      </c>
      <c r="AY231" s="90"/>
      <c r="AZ231" s="89" t="str">
        <f t="shared" si="22"/>
        <v/>
      </c>
      <c r="BA231" s="95"/>
      <c r="BB231" s="88" t="str">
        <f t="shared" si="28"/>
        <v/>
      </c>
      <c r="BC231" s="87"/>
      <c r="BD231" s="89" t="str">
        <f t="shared" si="23"/>
        <v/>
      </c>
      <c r="BE231" s="90"/>
      <c r="BF231" s="89" t="str">
        <f t="shared" si="24"/>
        <v/>
      </c>
      <c r="BG231" s="96"/>
    </row>
    <row r="232">
      <c r="A232" s="87"/>
      <c r="B232" s="87"/>
      <c r="C232" s="87"/>
      <c r="D232" s="87"/>
      <c r="E232" s="87"/>
      <c r="F232" s="87"/>
      <c r="G232" s="87"/>
      <c r="H232" s="88" t="str">
        <f t="shared" si="1"/>
        <v/>
      </c>
      <c r="I232" s="87"/>
      <c r="J232" s="89" t="str">
        <f t="shared" si="2"/>
        <v/>
      </c>
      <c r="K232" s="90"/>
      <c r="L232" s="89" t="str">
        <f t="shared" si="3"/>
        <v/>
      </c>
      <c r="M232" s="89"/>
      <c r="N232" s="93">
        <f t="shared" si="5"/>
        <v>0</v>
      </c>
      <c r="O232" s="94">
        <f t="shared" si="6"/>
        <v>0</v>
      </c>
      <c r="P232" s="87"/>
      <c r="Q232" s="87"/>
      <c r="R232" s="89" t="str">
        <f t="shared" si="7"/>
        <v/>
      </c>
      <c r="S232" s="90"/>
      <c r="T232" s="89" t="str">
        <f t="shared" si="8"/>
        <v/>
      </c>
      <c r="U232" s="95"/>
      <c r="V232" s="87"/>
      <c r="W232" s="87"/>
      <c r="X232" s="89" t="str">
        <f t="shared" si="9"/>
        <v/>
      </c>
      <c r="Y232" s="90"/>
      <c r="Z232" s="89" t="str">
        <f t="shared" si="10"/>
        <v/>
      </c>
      <c r="AA232" s="95"/>
      <c r="AB232" s="88" t="str">
        <f t="shared" si="27"/>
        <v/>
      </c>
      <c r="AC232" s="87"/>
      <c r="AD232" s="89" t="str">
        <f t="shared" si="11"/>
        <v/>
      </c>
      <c r="AE232" s="90"/>
      <c r="AF232" s="89" t="str">
        <f t="shared" si="12"/>
        <v/>
      </c>
      <c r="AG232" s="96"/>
      <c r="AH232" s="88" t="str">
        <f t="shared" si="13"/>
        <v/>
      </c>
      <c r="AI232" s="87"/>
      <c r="AJ232" s="89" t="str">
        <f t="shared" si="14"/>
        <v/>
      </c>
      <c r="AK232" s="90"/>
      <c r="AL232" s="89" t="str">
        <f t="shared" si="15"/>
        <v/>
      </c>
      <c r="AM232" s="89"/>
      <c r="AN232" s="93">
        <f t="shared" si="17"/>
        <v>0</v>
      </c>
      <c r="AO232" s="94">
        <f t="shared" si="18"/>
        <v>0</v>
      </c>
      <c r="AP232" s="87"/>
      <c r="AQ232" s="87"/>
      <c r="AR232" s="89" t="str">
        <f t="shared" si="19"/>
        <v/>
      </c>
      <c r="AS232" s="90"/>
      <c r="AT232" s="89" t="str">
        <f t="shared" si="20"/>
        <v/>
      </c>
      <c r="AU232" s="95"/>
      <c r="AV232" s="87"/>
      <c r="AW232" s="87"/>
      <c r="AX232" s="89" t="str">
        <f t="shared" si="21"/>
        <v/>
      </c>
      <c r="AY232" s="90"/>
      <c r="AZ232" s="89" t="str">
        <f t="shared" si="22"/>
        <v/>
      </c>
      <c r="BA232" s="95"/>
      <c r="BB232" s="88" t="str">
        <f t="shared" si="28"/>
        <v/>
      </c>
      <c r="BC232" s="87"/>
      <c r="BD232" s="89" t="str">
        <f t="shared" si="23"/>
        <v/>
      </c>
      <c r="BE232" s="90"/>
      <c r="BF232" s="89" t="str">
        <f t="shared" si="24"/>
        <v/>
      </c>
      <c r="BG232" s="96"/>
    </row>
    <row r="233">
      <c r="A233" s="87"/>
      <c r="B233" s="87"/>
      <c r="C233" s="87"/>
      <c r="D233" s="87"/>
      <c r="E233" s="87"/>
      <c r="F233" s="87"/>
      <c r="G233" s="87"/>
      <c r="H233" s="88" t="str">
        <f t="shared" si="1"/>
        <v/>
      </c>
      <c r="I233" s="87"/>
      <c r="J233" s="89" t="str">
        <f t="shared" si="2"/>
        <v/>
      </c>
      <c r="K233" s="90"/>
      <c r="L233" s="89" t="str">
        <f t="shared" si="3"/>
        <v/>
      </c>
      <c r="M233" s="89"/>
      <c r="N233" s="93">
        <f t="shared" si="5"/>
        <v>0</v>
      </c>
      <c r="O233" s="94">
        <f t="shared" si="6"/>
        <v>0</v>
      </c>
      <c r="P233" s="87"/>
      <c r="Q233" s="87"/>
      <c r="R233" s="89" t="str">
        <f t="shared" si="7"/>
        <v/>
      </c>
      <c r="S233" s="90"/>
      <c r="T233" s="89" t="str">
        <f t="shared" si="8"/>
        <v/>
      </c>
      <c r="U233" s="95"/>
      <c r="V233" s="87"/>
      <c r="W233" s="87"/>
      <c r="X233" s="89" t="str">
        <f t="shared" si="9"/>
        <v/>
      </c>
      <c r="Y233" s="90"/>
      <c r="Z233" s="89" t="str">
        <f t="shared" si="10"/>
        <v/>
      </c>
      <c r="AA233" s="95"/>
      <c r="AB233" s="88" t="str">
        <f t="shared" si="27"/>
        <v/>
      </c>
      <c r="AC233" s="87"/>
      <c r="AD233" s="89" t="str">
        <f t="shared" si="11"/>
        <v/>
      </c>
      <c r="AE233" s="90"/>
      <c r="AF233" s="89" t="str">
        <f t="shared" si="12"/>
        <v/>
      </c>
      <c r="AG233" s="96"/>
      <c r="AH233" s="88" t="str">
        <f t="shared" si="13"/>
        <v/>
      </c>
      <c r="AI233" s="87"/>
      <c r="AJ233" s="89" t="str">
        <f t="shared" si="14"/>
        <v/>
      </c>
      <c r="AK233" s="90"/>
      <c r="AL233" s="89" t="str">
        <f t="shared" si="15"/>
        <v/>
      </c>
      <c r="AM233" s="89"/>
      <c r="AN233" s="93">
        <f t="shared" si="17"/>
        <v>0</v>
      </c>
      <c r="AO233" s="94">
        <f t="shared" si="18"/>
        <v>0</v>
      </c>
      <c r="AP233" s="87"/>
      <c r="AQ233" s="87"/>
      <c r="AR233" s="89" t="str">
        <f t="shared" si="19"/>
        <v/>
      </c>
      <c r="AS233" s="90"/>
      <c r="AT233" s="89" t="str">
        <f t="shared" si="20"/>
        <v/>
      </c>
      <c r="AU233" s="95"/>
      <c r="AV233" s="87"/>
      <c r="AW233" s="87"/>
      <c r="AX233" s="89" t="str">
        <f t="shared" si="21"/>
        <v/>
      </c>
      <c r="AY233" s="90"/>
      <c r="AZ233" s="89" t="str">
        <f t="shared" si="22"/>
        <v/>
      </c>
      <c r="BA233" s="95"/>
      <c r="BB233" s="88" t="str">
        <f t="shared" si="28"/>
        <v/>
      </c>
      <c r="BC233" s="87"/>
      <c r="BD233" s="89" t="str">
        <f t="shared" si="23"/>
        <v/>
      </c>
      <c r="BE233" s="90"/>
      <c r="BF233" s="89" t="str">
        <f t="shared" si="24"/>
        <v/>
      </c>
      <c r="BG233" s="96"/>
    </row>
    <row r="234">
      <c r="A234" s="87"/>
      <c r="B234" s="87"/>
      <c r="C234" s="87"/>
      <c r="D234" s="87"/>
      <c r="E234" s="87"/>
      <c r="F234" s="87"/>
      <c r="G234" s="87"/>
      <c r="H234" s="88" t="str">
        <f t="shared" si="1"/>
        <v/>
      </c>
      <c r="I234" s="87"/>
      <c r="J234" s="89" t="str">
        <f t="shared" si="2"/>
        <v/>
      </c>
      <c r="K234" s="90"/>
      <c r="L234" s="89" t="str">
        <f t="shared" si="3"/>
        <v/>
      </c>
      <c r="M234" s="89"/>
      <c r="N234" s="93">
        <f t="shared" si="5"/>
        <v>0</v>
      </c>
      <c r="O234" s="94">
        <f t="shared" si="6"/>
        <v>0</v>
      </c>
      <c r="P234" s="87"/>
      <c r="Q234" s="87"/>
      <c r="R234" s="89" t="str">
        <f t="shared" si="7"/>
        <v/>
      </c>
      <c r="S234" s="90"/>
      <c r="T234" s="89" t="str">
        <f t="shared" si="8"/>
        <v/>
      </c>
      <c r="U234" s="95"/>
      <c r="V234" s="87"/>
      <c r="W234" s="87"/>
      <c r="X234" s="89" t="str">
        <f t="shared" si="9"/>
        <v/>
      </c>
      <c r="Y234" s="90"/>
      <c r="Z234" s="89" t="str">
        <f t="shared" si="10"/>
        <v/>
      </c>
      <c r="AA234" s="95"/>
      <c r="AB234" s="88" t="str">
        <f t="shared" si="27"/>
        <v/>
      </c>
      <c r="AC234" s="87"/>
      <c r="AD234" s="89" t="str">
        <f t="shared" si="11"/>
        <v/>
      </c>
      <c r="AE234" s="90"/>
      <c r="AF234" s="89" t="str">
        <f t="shared" si="12"/>
        <v/>
      </c>
      <c r="AG234" s="96"/>
      <c r="AH234" s="88" t="str">
        <f t="shared" si="13"/>
        <v/>
      </c>
      <c r="AI234" s="87"/>
      <c r="AJ234" s="89" t="str">
        <f t="shared" si="14"/>
        <v/>
      </c>
      <c r="AK234" s="90"/>
      <c r="AL234" s="89" t="str">
        <f t="shared" si="15"/>
        <v/>
      </c>
      <c r="AM234" s="89"/>
      <c r="AN234" s="93">
        <f t="shared" si="17"/>
        <v>0</v>
      </c>
      <c r="AO234" s="94">
        <f t="shared" si="18"/>
        <v>0</v>
      </c>
      <c r="AP234" s="87"/>
      <c r="AQ234" s="87"/>
      <c r="AR234" s="89" t="str">
        <f t="shared" si="19"/>
        <v/>
      </c>
      <c r="AS234" s="90"/>
      <c r="AT234" s="89" t="str">
        <f t="shared" si="20"/>
        <v/>
      </c>
      <c r="AU234" s="95"/>
      <c r="AV234" s="87"/>
      <c r="AW234" s="87"/>
      <c r="AX234" s="89" t="str">
        <f t="shared" si="21"/>
        <v/>
      </c>
      <c r="AY234" s="90"/>
      <c r="AZ234" s="89" t="str">
        <f t="shared" si="22"/>
        <v/>
      </c>
      <c r="BA234" s="95"/>
      <c r="BB234" s="88" t="str">
        <f t="shared" si="28"/>
        <v/>
      </c>
      <c r="BC234" s="87"/>
      <c r="BD234" s="89" t="str">
        <f t="shared" si="23"/>
        <v/>
      </c>
      <c r="BE234" s="90"/>
      <c r="BF234" s="89" t="str">
        <f t="shared" si="24"/>
        <v/>
      </c>
      <c r="BG234" s="96"/>
    </row>
    <row r="235">
      <c r="A235" s="87"/>
      <c r="B235" s="87"/>
      <c r="C235" s="87"/>
      <c r="D235" s="87"/>
      <c r="E235" s="87"/>
      <c r="F235" s="87"/>
      <c r="G235" s="87"/>
      <c r="H235" s="88" t="str">
        <f t="shared" si="1"/>
        <v/>
      </c>
      <c r="I235" s="87"/>
      <c r="J235" s="89" t="str">
        <f t="shared" si="2"/>
        <v/>
      </c>
      <c r="K235" s="90"/>
      <c r="L235" s="89" t="str">
        <f t="shared" si="3"/>
        <v/>
      </c>
      <c r="M235" s="89"/>
      <c r="N235" s="93">
        <f t="shared" si="5"/>
        <v>0</v>
      </c>
      <c r="O235" s="94">
        <f t="shared" si="6"/>
        <v>0</v>
      </c>
      <c r="P235" s="87"/>
      <c r="Q235" s="87"/>
      <c r="R235" s="89" t="str">
        <f t="shared" si="7"/>
        <v/>
      </c>
      <c r="S235" s="90"/>
      <c r="T235" s="89" t="str">
        <f t="shared" si="8"/>
        <v/>
      </c>
      <c r="U235" s="95"/>
      <c r="V235" s="87"/>
      <c r="W235" s="87"/>
      <c r="X235" s="89" t="str">
        <f t="shared" si="9"/>
        <v/>
      </c>
      <c r="Y235" s="90"/>
      <c r="Z235" s="89" t="str">
        <f t="shared" si="10"/>
        <v/>
      </c>
      <c r="AA235" s="95"/>
      <c r="AB235" s="88" t="str">
        <f t="shared" si="27"/>
        <v/>
      </c>
      <c r="AC235" s="87"/>
      <c r="AD235" s="89" t="str">
        <f t="shared" si="11"/>
        <v/>
      </c>
      <c r="AE235" s="90"/>
      <c r="AF235" s="89" t="str">
        <f t="shared" si="12"/>
        <v/>
      </c>
      <c r="AG235" s="96"/>
      <c r="AH235" s="88" t="str">
        <f t="shared" si="13"/>
        <v/>
      </c>
      <c r="AI235" s="87"/>
      <c r="AJ235" s="89" t="str">
        <f t="shared" si="14"/>
        <v/>
      </c>
      <c r="AK235" s="90"/>
      <c r="AL235" s="89" t="str">
        <f t="shared" si="15"/>
        <v/>
      </c>
      <c r="AM235" s="89"/>
      <c r="AN235" s="93">
        <f t="shared" si="17"/>
        <v>0</v>
      </c>
      <c r="AO235" s="94">
        <f t="shared" si="18"/>
        <v>0</v>
      </c>
      <c r="AP235" s="87"/>
      <c r="AQ235" s="87"/>
      <c r="AR235" s="89" t="str">
        <f t="shared" si="19"/>
        <v/>
      </c>
      <c r="AS235" s="90"/>
      <c r="AT235" s="89" t="str">
        <f t="shared" si="20"/>
        <v/>
      </c>
      <c r="AU235" s="95"/>
      <c r="AV235" s="87"/>
      <c r="AW235" s="87"/>
      <c r="AX235" s="89" t="str">
        <f t="shared" si="21"/>
        <v/>
      </c>
      <c r="AY235" s="90"/>
      <c r="AZ235" s="89" t="str">
        <f t="shared" si="22"/>
        <v/>
      </c>
      <c r="BA235" s="95"/>
      <c r="BB235" s="88" t="str">
        <f t="shared" si="28"/>
        <v/>
      </c>
      <c r="BC235" s="87"/>
      <c r="BD235" s="89" t="str">
        <f t="shared" si="23"/>
        <v/>
      </c>
      <c r="BE235" s="90"/>
      <c r="BF235" s="89" t="str">
        <f t="shared" si="24"/>
        <v/>
      </c>
      <c r="BG235" s="96"/>
    </row>
    <row r="236">
      <c r="A236" s="87"/>
      <c r="B236" s="87"/>
      <c r="C236" s="87"/>
      <c r="D236" s="87"/>
      <c r="E236" s="87"/>
      <c r="F236" s="87"/>
      <c r="G236" s="87"/>
      <c r="H236" s="88" t="str">
        <f t="shared" si="1"/>
        <v/>
      </c>
      <c r="I236" s="87"/>
      <c r="J236" s="89" t="str">
        <f t="shared" si="2"/>
        <v/>
      </c>
      <c r="K236" s="90"/>
      <c r="L236" s="89" t="str">
        <f t="shared" si="3"/>
        <v/>
      </c>
      <c r="M236" s="89"/>
      <c r="N236" s="93">
        <f t="shared" si="5"/>
        <v>0</v>
      </c>
      <c r="O236" s="94">
        <f t="shared" si="6"/>
        <v>0</v>
      </c>
      <c r="P236" s="87"/>
      <c r="Q236" s="87"/>
      <c r="R236" s="89" t="str">
        <f t="shared" si="7"/>
        <v/>
      </c>
      <c r="S236" s="90"/>
      <c r="T236" s="89" t="str">
        <f t="shared" si="8"/>
        <v/>
      </c>
      <c r="U236" s="95"/>
      <c r="V236" s="87"/>
      <c r="W236" s="87"/>
      <c r="X236" s="89" t="str">
        <f t="shared" si="9"/>
        <v/>
      </c>
      <c r="Y236" s="90"/>
      <c r="Z236" s="89" t="str">
        <f t="shared" si="10"/>
        <v/>
      </c>
      <c r="AA236" s="95"/>
      <c r="AB236" s="88" t="str">
        <f t="shared" si="27"/>
        <v/>
      </c>
      <c r="AC236" s="87"/>
      <c r="AD236" s="89" t="str">
        <f t="shared" si="11"/>
        <v/>
      </c>
      <c r="AE236" s="90"/>
      <c r="AF236" s="89" t="str">
        <f t="shared" si="12"/>
        <v/>
      </c>
      <c r="AG236" s="96"/>
      <c r="AH236" s="88" t="str">
        <f t="shared" si="13"/>
        <v/>
      </c>
      <c r="AI236" s="87"/>
      <c r="AJ236" s="89" t="str">
        <f t="shared" si="14"/>
        <v/>
      </c>
      <c r="AK236" s="90"/>
      <c r="AL236" s="89" t="str">
        <f t="shared" si="15"/>
        <v/>
      </c>
      <c r="AM236" s="89"/>
      <c r="AN236" s="93">
        <f t="shared" si="17"/>
        <v>0</v>
      </c>
      <c r="AO236" s="94">
        <f t="shared" si="18"/>
        <v>0</v>
      </c>
      <c r="AP236" s="87"/>
      <c r="AQ236" s="87"/>
      <c r="AR236" s="89" t="str">
        <f t="shared" si="19"/>
        <v/>
      </c>
      <c r="AS236" s="90"/>
      <c r="AT236" s="89" t="str">
        <f t="shared" si="20"/>
        <v/>
      </c>
      <c r="AU236" s="95"/>
      <c r="AV236" s="87"/>
      <c r="AW236" s="87"/>
      <c r="AX236" s="89" t="str">
        <f t="shared" si="21"/>
        <v/>
      </c>
      <c r="AY236" s="90"/>
      <c r="AZ236" s="89" t="str">
        <f t="shared" si="22"/>
        <v/>
      </c>
      <c r="BA236" s="95"/>
      <c r="BB236" s="88" t="str">
        <f t="shared" si="28"/>
        <v/>
      </c>
      <c r="BC236" s="87"/>
      <c r="BD236" s="89" t="str">
        <f t="shared" si="23"/>
        <v/>
      </c>
      <c r="BE236" s="90"/>
      <c r="BF236" s="89" t="str">
        <f t="shared" si="24"/>
        <v/>
      </c>
      <c r="BG236" s="96"/>
    </row>
    <row r="237">
      <c r="A237" s="87"/>
      <c r="B237" s="87"/>
      <c r="C237" s="87"/>
      <c r="D237" s="87"/>
      <c r="E237" s="87"/>
      <c r="F237" s="87"/>
      <c r="G237" s="87"/>
      <c r="H237" s="88" t="str">
        <f t="shared" si="1"/>
        <v/>
      </c>
      <c r="I237" s="87"/>
      <c r="J237" s="89" t="str">
        <f t="shared" si="2"/>
        <v/>
      </c>
      <c r="K237" s="90"/>
      <c r="L237" s="89" t="str">
        <f t="shared" si="3"/>
        <v/>
      </c>
      <c r="M237" s="89"/>
      <c r="N237" s="93">
        <f t="shared" si="5"/>
        <v>0</v>
      </c>
      <c r="O237" s="94">
        <f t="shared" si="6"/>
        <v>0</v>
      </c>
      <c r="P237" s="87"/>
      <c r="Q237" s="87"/>
      <c r="R237" s="89" t="str">
        <f t="shared" si="7"/>
        <v/>
      </c>
      <c r="S237" s="90"/>
      <c r="T237" s="89" t="str">
        <f t="shared" si="8"/>
        <v/>
      </c>
      <c r="U237" s="95"/>
      <c r="V237" s="87"/>
      <c r="W237" s="87"/>
      <c r="X237" s="89" t="str">
        <f t="shared" si="9"/>
        <v/>
      </c>
      <c r="Y237" s="90"/>
      <c r="Z237" s="89" t="str">
        <f t="shared" si="10"/>
        <v/>
      </c>
      <c r="AA237" s="95"/>
      <c r="AB237" s="88" t="str">
        <f t="shared" si="27"/>
        <v/>
      </c>
      <c r="AC237" s="87"/>
      <c r="AD237" s="89" t="str">
        <f t="shared" si="11"/>
        <v/>
      </c>
      <c r="AE237" s="90"/>
      <c r="AF237" s="89" t="str">
        <f t="shared" si="12"/>
        <v/>
      </c>
      <c r="AG237" s="96"/>
      <c r="AH237" s="88" t="str">
        <f t="shared" si="13"/>
        <v/>
      </c>
      <c r="AI237" s="87"/>
      <c r="AJ237" s="89" t="str">
        <f t="shared" si="14"/>
        <v/>
      </c>
      <c r="AK237" s="90"/>
      <c r="AL237" s="89" t="str">
        <f t="shared" si="15"/>
        <v/>
      </c>
      <c r="AM237" s="89"/>
      <c r="AN237" s="93">
        <f t="shared" si="17"/>
        <v>0</v>
      </c>
      <c r="AO237" s="94">
        <f t="shared" si="18"/>
        <v>0</v>
      </c>
      <c r="AP237" s="87"/>
      <c r="AQ237" s="87"/>
      <c r="AR237" s="89" t="str">
        <f t="shared" si="19"/>
        <v/>
      </c>
      <c r="AS237" s="90"/>
      <c r="AT237" s="89" t="str">
        <f t="shared" si="20"/>
        <v/>
      </c>
      <c r="AU237" s="95"/>
      <c r="AV237" s="87"/>
      <c r="AW237" s="87"/>
      <c r="AX237" s="89" t="str">
        <f t="shared" si="21"/>
        <v/>
      </c>
      <c r="AY237" s="90"/>
      <c r="AZ237" s="89" t="str">
        <f t="shared" si="22"/>
        <v/>
      </c>
      <c r="BA237" s="95"/>
      <c r="BB237" s="88" t="str">
        <f t="shared" si="28"/>
        <v/>
      </c>
      <c r="BC237" s="87"/>
      <c r="BD237" s="89" t="str">
        <f t="shared" si="23"/>
        <v/>
      </c>
      <c r="BE237" s="90"/>
      <c r="BF237" s="89" t="str">
        <f t="shared" si="24"/>
        <v/>
      </c>
      <c r="BG237" s="96"/>
    </row>
    <row r="238">
      <c r="A238" s="87"/>
      <c r="B238" s="87"/>
      <c r="C238" s="87"/>
      <c r="D238" s="87"/>
      <c r="E238" s="87"/>
      <c r="F238" s="87"/>
      <c r="G238" s="87"/>
      <c r="H238" s="88" t="str">
        <f t="shared" si="1"/>
        <v/>
      </c>
      <c r="I238" s="87"/>
      <c r="J238" s="89" t="str">
        <f t="shared" si="2"/>
        <v/>
      </c>
      <c r="K238" s="90"/>
      <c r="L238" s="89" t="str">
        <f t="shared" si="3"/>
        <v/>
      </c>
      <c r="M238" s="89"/>
      <c r="N238" s="93">
        <f t="shared" si="5"/>
        <v>0</v>
      </c>
      <c r="O238" s="94">
        <f t="shared" si="6"/>
        <v>0</v>
      </c>
      <c r="P238" s="87"/>
      <c r="Q238" s="87"/>
      <c r="R238" s="89" t="str">
        <f t="shared" si="7"/>
        <v/>
      </c>
      <c r="S238" s="90"/>
      <c r="T238" s="89" t="str">
        <f t="shared" si="8"/>
        <v/>
      </c>
      <c r="U238" s="95"/>
      <c r="V238" s="87"/>
      <c r="W238" s="87"/>
      <c r="X238" s="89" t="str">
        <f t="shared" si="9"/>
        <v/>
      </c>
      <c r="Y238" s="90"/>
      <c r="Z238" s="89" t="str">
        <f t="shared" si="10"/>
        <v/>
      </c>
      <c r="AA238" s="95"/>
      <c r="AB238" s="88" t="str">
        <f t="shared" si="27"/>
        <v/>
      </c>
      <c r="AC238" s="87"/>
      <c r="AD238" s="89" t="str">
        <f t="shared" si="11"/>
        <v/>
      </c>
      <c r="AE238" s="90"/>
      <c r="AF238" s="89" t="str">
        <f t="shared" si="12"/>
        <v/>
      </c>
      <c r="AG238" s="96"/>
      <c r="AH238" s="88" t="str">
        <f t="shared" si="13"/>
        <v/>
      </c>
      <c r="AI238" s="87"/>
      <c r="AJ238" s="89" t="str">
        <f t="shared" si="14"/>
        <v/>
      </c>
      <c r="AK238" s="90"/>
      <c r="AL238" s="89" t="str">
        <f t="shared" si="15"/>
        <v/>
      </c>
      <c r="AM238" s="89"/>
      <c r="AN238" s="93">
        <f t="shared" si="17"/>
        <v>0</v>
      </c>
      <c r="AO238" s="94">
        <f t="shared" si="18"/>
        <v>0</v>
      </c>
      <c r="AP238" s="87"/>
      <c r="AQ238" s="87"/>
      <c r="AR238" s="89" t="str">
        <f t="shared" si="19"/>
        <v/>
      </c>
      <c r="AS238" s="90"/>
      <c r="AT238" s="89" t="str">
        <f t="shared" si="20"/>
        <v/>
      </c>
      <c r="AU238" s="95"/>
      <c r="AV238" s="87"/>
      <c r="AW238" s="87"/>
      <c r="AX238" s="89" t="str">
        <f t="shared" si="21"/>
        <v/>
      </c>
      <c r="AY238" s="90"/>
      <c r="AZ238" s="89" t="str">
        <f t="shared" si="22"/>
        <v/>
      </c>
      <c r="BA238" s="95"/>
      <c r="BB238" s="88" t="str">
        <f t="shared" si="28"/>
        <v/>
      </c>
      <c r="BC238" s="87"/>
      <c r="BD238" s="89" t="str">
        <f t="shared" si="23"/>
        <v/>
      </c>
      <c r="BE238" s="90"/>
      <c r="BF238" s="89" t="str">
        <f t="shared" si="24"/>
        <v/>
      </c>
      <c r="BG238" s="96"/>
    </row>
    <row r="239">
      <c r="A239" s="87"/>
      <c r="B239" s="87"/>
      <c r="C239" s="87"/>
      <c r="D239" s="87"/>
      <c r="E239" s="87"/>
      <c r="F239" s="87"/>
      <c r="G239" s="87"/>
      <c r="H239" s="88" t="str">
        <f t="shared" si="1"/>
        <v/>
      </c>
      <c r="I239" s="87"/>
      <c r="J239" s="89" t="str">
        <f t="shared" si="2"/>
        <v/>
      </c>
      <c r="K239" s="90"/>
      <c r="L239" s="89" t="str">
        <f t="shared" si="3"/>
        <v/>
      </c>
      <c r="M239" s="89"/>
      <c r="N239" s="93">
        <f t="shared" si="5"/>
        <v>0</v>
      </c>
      <c r="O239" s="94">
        <f t="shared" si="6"/>
        <v>0</v>
      </c>
      <c r="P239" s="87"/>
      <c r="Q239" s="87"/>
      <c r="R239" s="89" t="str">
        <f t="shared" si="7"/>
        <v/>
      </c>
      <c r="S239" s="90"/>
      <c r="T239" s="89" t="str">
        <f t="shared" si="8"/>
        <v/>
      </c>
      <c r="U239" s="95"/>
      <c r="V239" s="87"/>
      <c r="W239" s="87"/>
      <c r="X239" s="89" t="str">
        <f t="shared" si="9"/>
        <v/>
      </c>
      <c r="Y239" s="90"/>
      <c r="Z239" s="89" t="str">
        <f t="shared" si="10"/>
        <v/>
      </c>
      <c r="AA239" s="95"/>
      <c r="AB239" s="88" t="str">
        <f t="shared" si="27"/>
        <v/>
      </c>
      <c r="AC239" s="87"/>
      <c r="AD239" s="89" t="str">
        <f t="shared" si="11"/>
        <v/>
      </c>
      <c r="AE239" s="90"/>
      <c r="AF239" s="89" t="str">
        <f t="shared" si="12"/>
        <v/>
      </c>
      <c r="AG239" s="96"/>
      <c r="AH239" s="88" t="str">
        <f t="shared" si="13"/>
        <v/>
      </c>
      <c r="AI239" s="87"/>
      <c r="AJ239" s="89" t="str">
        <f t="shared" si="14"/>
        <v/>
      </c>
      <c r="AK239" s="90"/>
      <c r="AL239" s="89" t="str">
        <f t="shared" si="15"/>
        <v/>
      </c>
      <c r="AM239" s="89"/>
      <c r="AN239" s="93">
        <f t="shared" si="17"/>
        <v>0</v>
      </c>
      <c r="AO239" s="94">
        <f t="shared" si="18"/>
        <v>0</v>
      </c>
      <c r="AP239" s="87"/>
      <c r="AQ239" s="87"/>
      <c r="AR239" s="89" t="str">
        <f t="shared" si="19"/>
        <v/>
      </c>
      <c r="AS239" s="90"/>
      <c r="AT239" s="89" t="str">
        <f t="shared" si="20"/>
        <v/>
      </c>
      <c r="AU239" s="95"/>
      <c r="AV239" s="87"/>
      <c r="AW239" s="87"/>
      <c r="AX239" s="89" t="str">
        <f t="shared" si="21"/>
        <v/>
      </c>
      <c r="AY239" s="90"/>
      <c r="AZ239" s="89" t="str">
        <f t="shared" si="22"/>
        <v/>
      </c>
      <c r="BA239" s="95"/>
      <c r="BB239" s="88" t="str">
        <f t="shared" si="28"/>
        <v/>
      </c>
      <c r="BC239" s="87"/>
      <c r="BD239" s="89" t="str">
        <f t="shared" si="23"/>
        <v/>
      </c>
      <c r="BE239" s="90"/>
      <c r="BF239" s="89" t="str">
        <f t="shared" si="24"/>
        <v/>
      </c>
      <c r="BG239" s="96"/>
    </row>
    <row r="240">
      <c r="A240" s="87"/>
      <c r="B240" s="87"/>
      <c r="C240" s="87"/>
      <c r="D240" s="87"/>
      <c r="E240" s="87"/>
      <c r="F240" s="87"/>
      <c r="G240" s="87"/>
      <c r="H240" s="88" t="str">
        <f t="shared" si="1"/>
        <v/>
      </c>
      <c r="I240" s="87"/>
      <c r="J240" s="89" t="str">
        <f t="shared" si="2"/>
        <v/>
      </c>
      <c r="K240" s="90"/>
      <c r="L240" s="89" t="str">
        <f t="shared" si="3"/>
        <v/>
      </c>
      <c r="M240" s="89"/>
      <c r="N240" s="93">
        <f t="shared" si="5"/>
        <v>0</v>
      </c>
      <c r="O240" s="94">
        <f t="shared" si="6"/>
        <v>0</v>
      </c>
      <c r="P240" s="87"/>
      <c r="Q240" s="87"/>
      <c r="R240" s="89" t="str">
        <f t="shared" si="7"/>
        <v/>
      </c>
      <c r="S240" s="90"/>
      <c r="T240" s="89" t="str">
        <f t="shared" si="8"/>
        <v/>
      </c>
      <c r="U240" s="95"/>
      <c r="V240" s="87"/>
      <c r="W240" s="87"/>
      <c r="X240" s="89" t="str">
        <f t="shared" si="9"/>
        <v/>
      </c>
      <c r="Y240" s="90"/>
      <c r="Z240" s="89" t="str">
        <f t="shared" si="10"/>
        <v/>
      </c>
      <c r="AA240" s="95"/>
      <c r="AB240" s="88" t="str">
        <f t="shared" si="27"/>
        <v/>
      </c>
      <c r="AC240" s="87"/>
      <c r="AD240" s="89" t="str">
        <f t="shared" si="11"/>
        <v/>
      </c>
      <c r="AE240" s="90"/>
      <c r="AF240" s="89" t="str">
        <f t="shared" si="12"/>
        <v/>
      </c>
      <c r="AG240" s="96"/>
      <c r="AH240" s="88" t="str">
        <f t="shared" si="13"/>
        <v/>
      </c>
      <c r="AI240" s="87"/>
      <c r="AJ240" s="89" t="str">
        <f t="shared" si="14"/>
        <v/>
      </c>
      <c r="AK240" s="90"/>
      <c r="AL240" s="89" t="str">
        <f t="shared" si="15"/>
        <v/>
      </c>
      <c r="AM240" s="89"/>
      <c r="AN240" s="93">
        <f t="shared" si="17"/>
        <v>0</v>
      </c>
      <c r="AO240" s="94">
        <f t="shared" si="18"/>
        <v>0</v>
      </c>
      <c r="AP240" s="87"/>
      <c r="AQ240" s="87"/>
      <c r="AR240" s="89" t="str">
        <f t="shared" si="19"/>
        <v/>
      </c>
      <c r="AS240" s="90"/>
      <c r="AT240" s="89" t="str">
        <f t="shared" si="20"/>
        <v/>
      </c>
      <c r="AU240" s="95"/>
      <c r="AV240" s="87"/>
      <c r="AW240" s="87"/>
      <c r="AX240" s="89" t="str">
        <f t="shared" si="21"/>
        <v/>
      </c>
      <c r="AY240" s="90"/>
      <c r="AZ240" s="89" t="str">
        <f t="shared" si="22"/>
        <v/>
      </c>
      <c r="BA240" s="95"/>
      <c r="BB240" s="88" t="str">
        <f t="shared" si="28"/>
        <v/>
      </c>
      <c r="BC240" s="87"/>
      <c r="BD240" s="89" t="str">
        <f t="shared" si="23"/>
        <v/>
      </c>
      <c r="BE240" s="90"/>
      <c r="BF240" s="89" t="str">
        <f t="shared" si="24"/>
        <v/>
      </c>
      <c r="BG240" s="96"/>
    </row>
    <row r="241">
      <c r="A241" s="87"/>
      <c r="B241" s="87"/>
      <c r="C241" s="87"/>
      <c r="D241" s="87"/>
      <c r="E241" s="87"/>
      <c r="F241" s="87"/>
      <c r="G241" s="87"/>
      <c r="H241" s="88" t="str">
        <f t="shared" si="1"/>
        <v/>
      </c>
      <c r="I241" s="87"/>
      <c r="J241" s="89" t="str">
        <f t="shared" si="2"/>
        <v/>
      </c>
      <c r="K241" s="90"/>
      <c r="L241" s="89" t="str">
        <f t="shared" si="3"/>
        <v/>
      </c>
      <c r="M241" s="89"/>
      <c r="N241" s="93">
        <f t="shared" si="5"/>
        <v>0</v>
      </c>
      <c r="O241" s="94">
        <f t="shared" si="6"/>
        <v>0</v>
      </c>
      <c r="P241" s="87"/>
      <c r="Q241" s="87"/>
      <c r="R241" s="89" t="str">
        <f t="shared" si="7"/>
        <v/>
      </c>
      <c r="S241" s="90"/>
      <c r="T241" s="89" t="str">
        <f t="shared" si="8"/>
        <v/>
      </c>
      <c r="U241" s="95"/>
      <c r="V241" s="87"/>
      <c r="W241" s="87"/>
      <c r="X241" s="89" t="str">
        <f t="shared" si="9"/>
        <v/>
      </c>
      <c r="Y241" s="90"/>
      <c r="Z241" s="89" t="str">
        <f t="shared" si="10"/>
        <v/>
      </c>
      <c r="AA241" s="95"/>
      <c r="AB241" s="88" t="str">
        <f t="shared" si="27"/>
        <v/>
      </c>
      <c r="AC241" s="87"/>
      <c r="AD241" s="89" t="str">
        <f t="shared" si="11"/>
        <v/>
      </c>
      <c r="AE241" s="90"/>
      <c r="AF241" s="89" t="str">
        <f t="shared" si="12"/>
        <v/>
      </c>
      <c r="AG241" s="96"/>
      <c r="AH241" s="88" t="str">
        <f t="shared" si="13"/>
        <v/>
      </c>
      <c r="AI241" s="87"/>
      <c r="AJ241" s="89" t="str">
        <f t="shared" si="14"/>
        <v/>
      </c>
      <c r="AK241" s="90"/>
      <c r="AL241" s="89" t="str">
        <f t="shared" si="15"/>
        <v/>
      </c>
      <c r="AM241" s="89"/>
      <c r="AN241" s="93">
        <f t="shared" si="17"/>
        <v>0</v>
      </c>
      <c r="AO241" s="94">
        <f t="shared" si="18"/>
        <v>0</v>
      </c>
      <c r="AP241" s="87"/>
      <c r="AQ241" s="87"/>
      <c r="AR241" s="89" t="str">
        <f t="shared" si="19"/>
        <v/>
      </c>
      <c r="AS241" s="90"/>
      <c r="AT241" s="89" t="str">
        <f t="shared" si="20"/>
        <v/>
      </c>
      <c r="AU241" s="95"/>
      <c r="AV241" s="87"/>
      <c r="AW241" s="87"/>
      <c r="AX241" s="89" t="str">
        <f t="shared" si="21"/>
        <v/>
      </c>
      <c r="AY241" s="90"/>
      <c r="AZ241" s="89" t="str">
        <f t="shared" si="22"/>
        <v/>
      </c>
      <c r="BA241" s="95"/>
      <c r="BB241" s="88" t="str">
        <f t="shared" si="28"/>
        <v/>
      </c>
      <c r="BC241" s="87"/>
      <c r="BD241" s="89" t="str">
        <f t="shared" si="23"/>
        <v/>
      </c>
      <c r="BE241" s="90"/>
      <c r="BF241" s="89" t="str">
        <f t="shared" si="24"/>
        <v/>
      </c>
      <c r="BG241" s="96"/>
    </row>
    <row r="242">
      <c r="A242" s="87"/>
      <c r="B242" s="87"/>
      <c r="C242" s="87"/>
      <c r="D242" s="87"/>
      <c r="E242" s="87"/>
      <c r="F242" s="87"/>
      <c r="G242" s="87"/>
      <c r="H242" s="88" t="str">
        <f t="shared" si="1"/>
        <v/>
      </c>
      <c r="I242" s="87"/>
      <c r="J242" s="89" t="str">
        <f t="shared" si="2"/>
        <v/>
      </c>
      <c r="K242" s="90"/>
      <c r="L242" s="89" t="str">
        <f t="shared" si="3"/>
        <v/>
      </c>
      <c r="M242" s="89"/>
      <c r="N242" s="93">
        <f t="shared" si="5"/>
        <v>0</v>
      </c>
      <c r="O242" s="94">
        <f t="shared" si="6"/>
        <v>0</v>
      </c>
      <c r="P242" s="87"/>
      <c r="Q242" s="87"/>
      <c r="R242" s="89" t="str">
        <f t="shared" si="7"/>
        <v/>
      </c>
      <c r="S242" s="90"/>
      <c r="T242" s="89" t="str">
        <f t="shared" si="8"/>
        <v/>
      </c>
      <c r="U242" s="95"/>
      <c r="V242" s="87"/>
      <c r="W242" s="87"/>
      <c r="X242" s="89" t="str">
        <f t="shared" si="9"/>
        <v/>
      </c>
      <c r="Y242" s="90"/>
      <c r="Z242" s="89" t="str">
        <f t="shared" si="10"/>
        <v/>
      </c>
      <c r="AA242" s="95"/>
      <c r="AB242" s="88" t="str">
        <f t="shared" si="27"/>
        <v/>
      </c>
      <c r="AC242" s="87"/>
      <c r="AD242" s="89" t="str">
        <f t="shared" si="11"/>
        <v/>
      </c>
      <c r="AE242" s="90"/>
      <c r="AF242" s="89" t="str">
        <f t="shared" si="12"/>
        <v/>
      </c>
      <c r="AG242" s="96"/>
      <c r="AH242" s="88" t="str">
        <f t="shared" si="13"/>
        <v/>
      </c>
      <c r="AI242" s="87"/>
      <c r="AJ242" s="89" t="str">
        <f t="shared" si="14"/>
        <v/>
      </c>
      <c r="AK242" s="90"/>
      <c r="AL242" s="89" t="str">
        <f t="shared" si="15"/>
        <v/>
      </c>
      <c r="AM242" s="89"/>
      <c r="AN242" s="93">
        <f t="shared" si="17"/>
        <v>0</v>
      </c>
      <c r="AO242" s="94">
        <f t="shared" si="18"/>
        <v>0</v>
      </c>
      <c r="AP242" s="87"/>
      <c r="AQ242" s="87"/>
      <c r="AR242" s="89" t="str">
        <f t="shared" si="19"/>
        <v/>
      </c>
      <c r="AS242" s="90"/>
      <c r="AT242" s="89" t="str">
        <f t="shared" si="20"/>
        <v/>
      </c>
      <c r="AU242" s="95"/>
      <c r="AV242" s="87"/>
      <c r="AW242" s="87"/>
      <c r="AX242" s="89" t="str">
        <f t="shared" si="21"/>
        <v/>
      </c>
      <c r="AY242" s="90"/>
      <c r="AZ242" s="89" t="str">
        <f t="shared" si="22"/>
        <v/>
      </c>
      <c r="BA242" s="95"/>
      <c r="BB242" s="88" t="str">
        <f t="shared" si="28"/>
        <v/>
      </c>
      <c r="BC242" s="87"/>
      <c r="BD242" s="89" t="str">
        <f t="shared" si="23"/>
        <v/>
      </c>
      <c r="BE242" s="90"/>
      <c r="BF242" s="89" t="str">
        <f t="shared" si="24"/>
        <v/>
      </c>
      <c r="BG242" s="96"/>
    </row>
    <row r="243">
      <c r="A243" s="87"/>
      <c r="B243" s="87"/>
      <c r="C243" s="87"/>
      <c r="D243" s="87"/>
      <c r="E243" s="87"/>
      <c r="F243" s="87"/>
      <c r="G243" s="87"/>
      <c r="H243" s="88" t="str">
        <f t="shared" si="1"/>
        <v/>
      </c>
      <c r="I243" s="87"/>
      <c r="J243" s="89" t="str">
        <f t="shared" si="2"/>
        <v/>
      </c>
      <c r="K243" s="90"/>
      <c r="L243" s="89" t="str">
        <f t="shared" si="3"/>
        <v/>
      </c>
      <c r="M243" s="89"/>
      <c r="N243" s="93">
        <f t="shared" si="5"/>
        <v>0</v>
      </c>
      <c r="O243" s="94">
        <f t="shared" si="6"/>
        <v>0</v>
      </c>
      <c r="P243" s="87"/>
      <c r="Q243" s="87"/>
      <c r="R243" s="89" t="str">
        <f t="shared" si="7"/>
        <v/>
      </c>
      <c r="S243" s="90"/>
      <c r="T243" s="89" t="str">
        <f t="shared" si="8"/>
        <v/>
      </c>
      <c r="U243" s="95"/>
      <c r="V243" s="87"/>
      <c r="W243" s="87"/>
      <c r="X243" s="89" t="str">
        <f t="shared" si="9"/>
        <v/>
      </c>
      <c r="Y243" s="90"/>
      <c r="Z243" s="89" t="str">
        <f t="shared" si="10"/>
        <v/>
      </c>
      <c r="AA243" s="95"/>
      <c r="AB243" s="88" t="str">
        <f t="shared" si="27"/>
        <v/>
      </c>
      <c r="AC243" s="87"/>
      <c r="AD243" s="89" t="str">
        <f t="shared" si="11"/>
        <v/>
      </c>
      <c r="AE243" s="90"/>
      <c r="AF243" s="89" t="str">
        <f t="shared" si="12"/>
        <v/>
      </c>
      <c r="AG243" s="96"/>
      <c r="AH243" s="88" t="str">
        <f t="shared" si="13"/>
        <v/>
      </c>
      <c r="AI243" s="87"/>
      <c r="AJ243" s="89" t="str">
        <f t="shared" si="14"/>
        <v/>
      </c>
      <c r="AK243" s="90"/>
      <c r="AL243" s="89" t="str">
        <f t="shared" si="15"/>
        <v/>
      </c>
      <c r="AM243" s="89"/>
      <c r="AN243" s="93">
        <f t="shared" si="17"/>
        <v>0</v>
      </c>
      <c r="AO243" s="94">
        <f t="shared" si="18"/>
        <v>0</v>
      </c>
      <c r="AP243" s="87"/>
      <c r="AQ243" s="87"/>
      <c r="AR243" s="89" t="str">
        <f t="shared" si="19"/>
        <v/>
      </c>
      <c r="AS243" s="90"/>
      <c r="AT243" s="89" t="str">
        <f t="shared" si="20"/>
        <v/>
      </c>
      <c r="AU243" s="95"/>
      <c r="AV243" s="87"/>
      <c r="AW243" s="87"/>
      <c r="AX243" s="89" t="str">
        <f t="shared" si="21"/>
        <v/>
      </c>
      <c r="AY243" s="90"/>
      <c r="AZ243" s="89" t="str">
        <f t="shared" si="22"/>
        <v/>
      </c>
      <c r="BA243" s="95"/>
      <c r="BB243" s="88" t="str">
        <f t="shared" si="28"/>
        <v/>
      </c>
      <c r="BC243" s="87"/>
      <c r="BD243" s="89" t="str">
        <f t="shared" si="23"/>
        <v/>
      </c>
      <c r="BE243" s="90"/>
      <c r="BF243" s="89" t="str">
        <f t="shared" si="24"/>
        <v/>
      </c>
      <c r="BG243" s="96"/>
    </row>
    <row r="244">
      <c r="A244" s="87"/>
      <c r="B244" s="87"/>
      <c r="C244" s="87"/>
      <c r="D244" s="87"/>
      <c r="E244" s="87"/>
      <c r="F244" s="87"/>
      <c r="G244" s="87"/>
      <c r="H244" s="88" t="str">
        <f t="shared" si="1"/>
        <v/>
      </c>
      <c r="I244" s="87"/>
      <c r="J244" s="89" t="str">
        <f t="shared" si="2"/>
        <v/>
      </c>
      <c r="K244" s="90"/>
      <c r="L244" s="89" t="str">
        <f t="shared" si="3"/>
        <v/>
      </c>
      <c r="M244" s="89"/>
      <c r="N244" s="93">
        <f t="shared" si="5"/>
        <v>0</v>
      </c>
      <c r="O244" s="94">
        <f t="shared" si="6"/>
        <v>0</v>
      </c>
      <c r="P244" s="87"/>
      <c r="Q244" s="87"/>
      <c r="R244" s="89" t="str">
        <f t="shared" si="7"/>
        <v/>
      </c>
      <c r="S244" s="90"/>
      <c r="T244" s="89" t="str">
        <f t="shared" si="8"/>
        <v/>
      </c>
      <c r="U244" s="95"/>
      <c r="V244" s="87"/>
      <c r="W244" s="87"/>
      <c r="X244" s="89" t="str">
        <f t="shared" si="9"/>
        <v/>
      </c>
      <c r="Y244" s="90"/>
      <c r="Z244" s="89" t="str">
        <f t="shared" si="10"/>
        <v/>
      </c>
      <c r="AA244" s="95"/>
      <c r="AB244" s="88" t="str">
        <f t="shared" si="27"/>
        <v/>
      </c>
      <c r="AC244" s="87"/>
      <c r="AD244" s="89" t="str">
        <f t="shared" si="11"/>
        <v/>
      </c>
      <c r="AE244" s="90"/>
      <c r="AF244" s="89" t="str">
        <f t="shared" si="12"/>
        <v/>
      </c>
      <c r="AG244" s="96"/>
      <c r="AH244" s="88" t="str">
        <f t="shared" si="13"/>
        <v/>
      </c>
      <c r="AI244" s="87"/>
      <c r="AJ244" s="89" t="str">
        <f t="shared" si="14"/>
        <v/>
      </c>
      <c r="AK244" s="90"/>
      <c r="AL244" s="89" t="str">
        <f t="shared" si="15"/>
        <v/>
      </c>
      <c r="AM244" s="89"/>
      <c r="AN244" s="93">
        <f t="shared" si="17"/>
        <v>0</v>
      </c>
      <c r="AO244" s="94">
        <f t="shared" si="18"/>
        <v>0</v>
      </c>
      <c r="AP244" s="87"/>
      <c r="AQ244" s="87"/>
      <c r="AR244" s="89" t="str">
        <f t="shared" si="19"/>
        <v/>
      </c>
      <c r="AS244" s="90"/>
      <c r="AT244" s="89" t="str">
        <f t="shared" si="20"/>
        <v/>
      </c>
      <c r="AU244" s="95"/>
      <c r="AV244" s="87"/>
      <c r="AW244" s="87"/>
      <c r="AX244" s="89" t="str">
        <f t="shared" si="21"/>
        <v/>
      </c>
      <c r="AY244" s="90"/>
      <c r="AZ244" s="89" t="str">
        <f t="shared" si="22"/>
        <v/>
      </c>
      <c r="BA244" s="95"/>
      <c r="BB244" s="88" t="str">
        <f t="shared" si="28"/>
        <v/>
      </c>
      <c r="BC244" s="87"/>
      <c r="BD244" s="89" t="str">
        <f t="shared" si="23"/>
        <v/>
      </c>
      <c r="BE244" s="90"/>
      <c r="BF244" s="89" t="str">
        <f t="shared" si="24"/>
        <v/>
      </c>
      <c r="BG244" s="96"/>
    </row>
    <row r="245">
      <c r="A245" s="87"/>
      <c r="B245" s="87"/>
      <c r="C245" s="87"/>
      <c r="D245" s="87"/>
      <c r="E245" s="87"/>
      <c r="F245" s="87"/>
      <c r="G245" s="87"/>
      <c r="H245" s="88" t="str">
        <f t="shared" si="1"/>
        <v/>
      </c>
      <c r="I245" s="87"/>
      <c r="J245" s="89" t="str">
        <f t="shared" si="2"/>
        <v/>
      </c>
      <c r="K245" s="90"/>
      <c r="L245" s="89" t="str">
        <f t="shared" si="3"/>
        <v/>
      </c>
      <c r="M245" s="89"/>
      <c r="N245" s="93">
        <f t="shared" si="5"/>
        <v>0</v>
      </c>
      <c r="O245" s="94">
        <f t="shared" si="6"/>
        <v>0</v>
      </c>
      <c r="P245" s="87"/>
      <c r="Q245" s="87"/>
      <c r="R245" s="89" t="str">
        <f t="shared" si="7"/>
        <v/>
      </c>
      <c r="S245" s="90"/>
      <c r="T245" s="89" t="str">
        <f t="shared" si="8"/>
        <v/>
      </c>
      <c r="U245" s="95"/>
      <c r="V245" s="87"/>
      <c r="W245" s="87"/>
      <c r="X245" s="89" t="str">
        <f t="shared" si="9"/>
        <v/>
      </c>
      <c r="Y245" s="90"/>
      <c r="Z245" s="89" t="str">
        <f t="shared" si="10"/>
        <v/>
      </c>
      <c r="AA245" s="95"/>
      <c r="AB245" s="88" t="str">
        <f t="shared" si="27"/>
        <v/>
      </c>
      <c r="AC245" s="87"/>
      <c r="AD245" s="89" t="str">
        <f t="shared" si="11"/>
        <v/>
      </c>
      <c r="AE245" s="90"/>
      <c r="AF245" s="89" t="str">
        <f t="shared" si="12"/>
        <v/>
      </c>
      <c r="AG245" s="96"/>
      <c r="AH245" s="88" t="str">
        <f t="shared" si="13"/>
        <v/>
      </c>
      <c r="AI245" s="87"/>
      <c r="AJ245" s="89" t="str">
        <f t="shared" si="14"/>
        <v/>
      </c>
      <c r="AK245" s="90"/>
      <c r="AL245" s="89" t="str">
        <f t="shared" si="15"/>
        <v/>
      </c>
      <c r="AM245" s="89"/>
      <c r="AN245" s="93">
        <f t="shared" si="17"/>
        <v>0</v>
      </c>
      <c r="AO245" s="94">
        <f t="shared" si="18"/>
        <v>0</v>
      </c>
      <c r="AP245" s="87"/>
      <c r="AQ245" s="87"/>
      <c r="AR245" s="89" t="str">
        <f t="shared" si="19"/>
        <v/>
      </c>
      <c r="AS245" s="90"/>
      <c r="AT245" s="89" t="str">
        <f t="shared" si="20"/>
        <v/>
      </c>
      <c r="AU245" s="95"/>
      <c r="AV245" s="87"/>
      <c r="AW245" s="87"/>
      <c r="AX245" s="89" t="str">
        <f t="shared" si="21"/>
        <v/>
      </c>
      <c r="AY245" s="90"/>
      <c r="AZ245" s="89" t="str">
        <f t="shared" si="22"/>
        <v/>
      </c>
      <c r="BA245" s="95"/>
      <c r="BB245" s="88" t="str">
        <f t="shared" si="28"/>
        <v/>
      </c>
      <c r="BC245" s="87"/>
      <c r="BD245" s="89" t="str">
        <f t="shared" si="23"/>
        <v/>
      </c>
      <c r="BE245" s="90"/>
      <c r="BF245" s="89" t="str">
        <f t="shared" si="24"/>
        <v/>
      </c>
      <c r="BG245" s="96"/>
    </row>
    <row r="246">
      <c r="A246" s="87"/>
      <c r="B246" s="87"/>
      <c r="C246" s="87"/>
      <c r="D246" s="87"/>
      <c r="E246" s="87"/>
      <c r="F246" s="87"/>
      <c r="G246" s="87"/>
      <c r="H246" s="88" t="str">
        <f t="shared" si="1"/>
        <v/>
      </c>
      <c r="I246" s="87"/>
      <c r="J246" s="89" t="str">
        <f t="shared" si="2"/>
        <v/>
      </c>
      <c r="K246" s="90"/>
      <c r="L246" s="89" t="str">
        <f t="shared" si="3"/>
        <v/>
      </c>
      <c r="M246" s="89"/>
      <c r="N246" s="93">
        <f t="shared" si="5"/>
        <v>0</v>
      </c>
      <c r="O246" s="94">
        <f t="shared" si="6"/>
        <v>0</v>
      </c>
      <c r="P246" s="87"/>
      <c r="Q246" s="87"/>
      <c r="R246" s="89" t="str">
        <f t="shared" si="7"/>
        <v/>
      </c>
      <c r="S246" s="90"/>
      <c r="T246" s="89" t="str">
        <f t="shared" si="8"/>
        <v/>
      </c>
      <c r="U246" s="95"/>
      <c r="V246" s="87"/>
      <c r="W246" s="87"/>
      <c r="X246" s="89" t="str">
        <f t="shared" si="9"/>
        <v/>
      </c>
      <c r="Y246" s="90"/>
      <c r="Z246" s="89" t="str">
        <f t="shared" si="10"/>
        <v/>
      </c>
      <c r="AA246" s="95"/>
      <c r="AB246" s="88" t="str">
        <f t="shared" si="27"/>
        <v/>
      </c>
      <c r="AC246" s="87"/>
      <c r="AD246" s="89" t="str">
        <f t="shared" si="11"/>
        <v/>
      </c>
      <c r="AE246" s="90"/>
      <c r="AF246" s="89" t="str">
        <f t="shared" si="12"/>
        <v/>
      </c>
      <c r="AG246" s="96"/>
      <c r="AH246" s="88" t="str">
        <f t="shared" si="13"/>
        <v/>
      </c>
      <c r="AI246" s="87"/>
      <c r="AJ246" s="89" t="str">
        <f t="shared" si="14"/>
        <v/>
      </c>
      <c r="AK246" s="90"/>
      <c r="AL246" s="89" t="str">
        <f t="shared" si="15"/>
        <v/>
      </c>
      <c r="AM246" s="89"/>
      <c r="AN246" s="93">
        <f t="shared" si="17"/>
        <v>0</v>
      </c>
      <c r="AO246" s="94">
        <f t="shared" si="18"/>
        <v>0</v>
      </c>
      <c r="AP246" s="87"/>
      <c r="AQ246" s="87"/>
      <c r="AR246" s="89" t="str">
        <f t="shared" si="19"/>
        <v/>
      </c>
      <c r="AS246" s="90"/>
      <c r="AT246" s="89" t="str">
        <f t="shared" si="20"/>
        <v/>
      </c>
      <c r="AU246" s="95"/>
      <c r="AV246" s="87"/>
      <c r="AW246" s="87"/>
      <c r="AX246" s="89" t="str">
        <f t="shared" si="21"/>
        <v/>
      </c>
      <c r="AY246" s="90"/>
      <c r="AZ246" s="89" t="str">
        <f t="shared" si="22"/>
        <v/>
      </c>
      <c r="BA246" s="95"/>
      <c r="BB246" s="88" t="str">
        <f t="shared" si="28"/>
        <v/>
      </c>
      <c r="BC246" s="87"/>
      <c r="BD246" s="89" t="str">
        <f t="shared" si="23"/>
        <v/>
      </c>
      <c r="BE246" s="90"/>
      <c r="BF246" s="89" t="str">
        <f t="shared" si="24"/>
        <v/>
      </c>
      <c r="BG246" s="96"/>
    </row>
    <row r="247">
      <c r="A247" s="87"/>
      <c r="B247" s="87"/>
      <c r="C247" s="87"/>
      <c r="D247" s="87"/>
      <c r="E247" s="87"/>
      <c r="F247" s="87"/>
      <c r="G247" s="87"/>
      <c r="H247" s="88" t="str">
        <f t="shared" si="1"/>
        <v/>
      </c>
      <c r="I247" s="87"/>
      <c r="J247" s="89" t="str">
        <f t="shared" si="2"/>
        <v/>
      </c>
      <c r="K247" s="90"/>
      <c r="L247" s="89" t="str">
        <f t="shared" si="3"/>
        <v/>
      </c>
      <c r="M247" s="89"/>
      <c r="N247" s="93">
        <f t="shared" si="5"/>
        <v>0</v>
      </c>
      <c r="O247" s="94">
        <f t="shared" si="6"/>
        <v>0</v>
      </c>
      <c r="P247" s="87"/>
      <c r="Q247" s="87"/>
      <c r="R247" s="89" t="str">
        <f t="shared" si="7"/>
        <v/>
      </c>
      <c r="S247" s="90"/>
      <c r="T247" s="89" t="str">
        <f t="shared" si="8"/>
        <v/>
      </c>
      <c r="U247" s="95"/>
      <c r="V247" s="87"/>
      <c r="W247" s="87"/>
      <c r="X247" s="89" t="str">
        <f t="shared" si="9"/>
        <v/>
      </c>
      <c r="Y247" s="90"/>
      <c r="Z247" s="89" t="str">
        <f t="shared" si="10"/>
        <v/>
      </c>
      <c r="AA247" s="95"/>
      <c r="AB247" s="88" t="str">
        <f t="shared" si="27"/>
        <v/>
      </c>
      <c r="AC247" s="87"/>
      <c r="AD247" s="89" t="str">
        <f t="shared" si="11"/>
        <v/>
      </c>
      <c r="AE247" s="90"/>
      <c r="AF247" s="89" t="str">
        <f t="shared" si="12"/>
        <v/>
      </c>
      <c r="AG247" s="96"/>
      <c r="AH247" s="88" t="str">
        <f t="shared" si="13"/>
        <v/>
      </c>
      <c r="AI247" s="87"/>
      <c r="AJ247" s="89" t="str">
        <f t="shared" si="14"/>
        <v/>
      </c>
      <c r="AK247" s="90"/>
      <c r="AL247" s="89" t="str">
        <f t="shared" si="15"/>
        <v/>
      </c>
      <c r="AM247" s="89"/>
      <c r="AN247" s="93">
        <f t="shared" si="17"/>
        <v>0</v>
      </c>
      <c r="AO247" s="94">
        <f t="shared" si="18"/>
        <v>0</v>
      </c>
      <c r="AP247" s="87"/>
      <c r="AQ247" s="87"/>
      <c r="AR247" s="89" t="str">
        <f t="shared" si="19"/>
        <v/>
      </c>
      <c r="AS247" s="90"/>
      <c r="AT247" s="89" t="str">
        <f t="shared" si="20"/>
        <v/>
      </c>
      <c r="AU247" s="95"/>
      <c r="AV247" s="87"/>
      <c r="AW247" s="87"/>
      <c r="AX247" s="89" t="str">
        <f t="shared" si="21"/>
        <v/>
      </c>
      <c r="AY247" s="90"/>
      <c r="AZ247" s="89" t="str">
        <f t="shared" si="22"/>
        <v/>
      </c>
      <c r="BA247" s="95"/>
      <c r="BB247" s="88" t="str">
        <f t="shared" si="28"/>
        <v/>
      </c>
      <c r="BC247" s="87"/>
      <c r="BD247" s="89" t="str">
        <f t="shared" si="23"/>
        <v/>
      </c>
      <c r="BE247" s="90"/>
      <c r="BF247" s="89" t="str">
        <f t="shared" si="24"/>
        <v/>
      </c>
      <c r="BG247" s="96"/>
    </row>
    <row r="248">
      <c r="A248" s="87"/>
      <c r="B248" s="87"/>
      <c r="C248" s="87"/>
      <c r="D248" s="87"/>
      <c r="E248" s="87"/>
      <c r="F248" s="87"/>
      <c r="G248" s="87"/>
      <c r="H248" s="88" t="str">
        <f t="shared" si="1"/>
        <v/>
      </c>
      <c r="I248" s="87"/>
      <c r="J248" s="89" t="str">
        <f t="shared" si="2"/>
        <v/>
      </c>
      <c r="K248" s="90"/>
      <c r="L248" s="89" t="str">
        <f t="shared" si="3"/>
        <v/>
      </c>
      <c r="M248" s="89"/>
      <c r="N248" s="93">
        <f t="shared" si="5"/>
        <v>0</v>
      </c>
      <c r="O248" s="94">
        <f t="shared" si="6"/>
        <v>0</v>
      </c>
      <c r="P248" s="87"/>
      <c r="Q248" s="87"/>
      <c r="R248" s="89" t="str">
        <f t="shared" si="7"/>
        <v/>
      </c>
      <c r="S248" s="90"/>
      <c r="T248" s="89" t="str">
        <f t="shared" si="8"/>
        <v/>
      </c>
      <c r="U248" s="95"/>
      <c r="V248" s="87"/>
      <c r="W248" s="87"/>
      <c r="X248" s="89" t="str">
        <f t="shared" si="9"/>
        <v/>
      </c>
      <c r="Y248" s="90"/>
      <c r="Z248" s="89" t="str">
        <f t="shared" si="10"/>
        <v/>
      </c>
      <c r="AA248" s="95"/>
      <c r="AB248" s="88" t="str">
        <f t="shared" si="27"/>
        <v/>
      </c>
      <c r="AC248" s="87"/>
      <c r="AD248" s="89" t="str">
        <f t="shared" si="11"/>
        <v/>
      </c>
      <c r="AE248" s="90"/>
      <c r="AF248" s="89" t="str">
        <f t="shared" si="12"/>
        <v/>
      </c>
      <c r="AG248" s="96"/>
      <c r="AH248" s="88" t="str">
        <f t="shared" si="13"/>
        <v/>
      </c>
      <c r="AI248" s="87"/>
      <c r="AJ248" s="89" t="str">
        <f t="shared" si="14"/>
        <v/>
      </c>
      <c r="AK248" s="90"/>
      <c r="AL248" s="89" t="str">
        <f t="shared" si="15"/>
        <v/>
      </c>
      <c r="AM248" s="89"/>
      <c r="AN248" s="93">
        <f t="shared" si="17"/>
        <v>0</v>
      </c>
      <c r="AO248" s="94">
        <f t="shared" si="18"/>
        <v>0</v>
      </c>
      <c r="AP248" s="87"/>
      <c r="AQ248" s="87"/>
      <c r="AR248" s="89" t="str">
        <f t="shared" si="19"/>
        <v/>
      </c>
      <c r="AS248" s="90"/>
      <c r="AT248" s="89" t="str">
        <f t="shared" si="20"/>
        <v/>
      </c>
      <c r="AU248" s="95"/>
      <c r="AV248" s="87"/>
      <c r="AW248" s="87"/>
      <c r="AX248" s="89" t="str">
        <f t="shared" si="21"/>
        <v/>
      </c>
      <c r="AY248" s="90"/>
      <c r="AZ248" s="89" t="str">
        <f t="shared" si="22"/>
        <v/>
      </c>
      <c r="BA248" s="95"/>
      <c r="BB248" s="88" t="str">
        <f t="shared" si="28"/>
        <v/>
      </c>
      <c r="BC248" s="87"/>
      <c r="BD248" s="89" t="str">
        <f t="shared" si="23"/>
        <v/>
      </c>
      <c r="BE248" s="90"/>
      <c r="BF248" s="89" t="str">
        <f t="shared" si="24"/>
        <v/>
      </c>
      <c r="BG248" s="96"/>
    </row>
    <row r="249">
      <c r="A249" s="87"/>
      <c r="B249" s="87"/>
      <c r="C249" s="87"/>
      <c r="D249" s="87"/>
      <c r="E249" s="87"/>
      <c r="F249" s="87"/>
      <c r="G249" s="87"/>
      <c r="H249" s="88" t="str">
        <f t="shared" si="1"/>
        <v/>
      </c>
      <c r="I249" s="87"/>
      <c r="J249" s="89" t="str">
        <f t="shared" si="2"/>
        <v/>
      </c>
      <c r="K249" s="90"/>
      <c r="L249" s="89" t="str">
        <f t="shared" si="3"/>
        <v/>
      </c>
      <c r="M249" s="89"/>
      <c r="N249" s="93">
        <f t="shared" si="5"/>
        <v>0</v>
      </c>
      <c r="O249" s="94">
        <f t="shared" si="6"/>
        <v>0</v>
      </c>
      <c r="P249" s="87"/>
      <c r="Q249" s="87"/>
      <c r="R249" s="89" t="str">
        <f t="shared" si="7"/>
        <v/>
      </c>
      <c r="S249" s="90"/>
      <c r="T249" s="89" t="str">
        <f t="shared" si="8"/>
        <v/>
      </c>
      <c r="U249" s="95"/>
      <c r="V249" s="87"/>
      <c r="W249" s="87"/>
      <c r="X249" s="89" t="str">
        <f t="shared" si="9"/>
        <v/>
      </c>
      <c r="Y249" s="90"/>
      <c r="Z249" s="89" t="str">
        <f t="shared" si="10"/>
        <v/>
      </c>
      <c r="AA249" s="95"/>
      <c r="AB249" s="88" t="str">
        <f t="shared" si="27"/>
        <v/>
      </c>
      <c r="AC249" s="87"/>
      <c r="AD249" s="89" t="str">
        <f t="shared" si="11"/>
        <v/>
      </c>
      <c r="AE249" s="90"/>
      <c r="AF249" s="89" t="str">
        <f t="shared" si="12"/>
        <v/>
      </c>
      <c r="AG249" s="96"/>
      <c r="AH249" s="88" t="str">
        <f t="shared" si="13"/>
        <v/>
      </c>
      <c r="AI249" s="87"/>
      <c r="AJ249" s="89" t="str">
        <f t="shared" si="14"/>
        <v/>
      </c>
      <c r="AK249" s="90"/>
      <c r="AL249" s="89" t="str">
        <f t="shared" si="15"/>
        <v/>
      </c>
      <c r="AM249" s="89"/>
      <c r="AN249" s="93">
        <f t="shared" si="17"/>
        <v>0</v>
      </c>
      <c r="AO249" s="94">
        <f t="shared" si="18"/>
        <v>0</v>
      </c>
      <c r="AP249" s="87"/>
      <c r="AQ249" s="87"/>
      <c r="AR249" s="89" t="str">
        <f t="shared" si="19"/>
        <v/>
      </c>
      <c r="AS249" s="90"/>
      <c r="AT249" s="89" t="str">
        <f t="shared" si="20"/>
        <v/>
      </c>
      <c r="AU249" s="95"/>
      <c r="AV249" s="87"/>
      <c r="AW249" s="87"/>
      <c r="AX249" s="89" t="str">
        <f t="shared" si="21"/>
        <v/>
      </c>
      <c r="AY249" s="90"/>
      <c r="AZ249" s="89" t="str">
        <f t="shared" si="22"/>
        <v/>
      </c>
      <c r="BA249" s="95"/>
      <c r="BB249" s="88" t="str">
        <f t="shared" si="28"/>
        <v/>
      </c>
      <c r="BC249" s="87"/>
      <c r="BD249" s="89" t="str">
        <f t="shared" si="23"/>
        <v/>
      </c>
      <c r="BE249" s="90"/>
      <c r="BF249" s="89" t="str">
        <f t="shared" si="24"/>
        <v/>
      </c>
      <c r="BG249" s="96"/>
    </row>
    <row r="250">
      <c r="A250" s="87"/>
      <c r="B250" s="87"/>
      <c r="C250" s="87"/>
      <c r="D250" s="87"/>
      <c r="E250" s="87"/>
      <c r="F250" s="87"/>
      <c r="G250" s="87"/>
      <c r="H250" s="88" t="str">
        <f t="shared" si="1"/>
        <v/>
      </c>
      <c r="I250" s="87"/>
      <c r="J250" s="89" t="str">
        <f t="shared" si="2"/>
        <v/>
      </c>
      <c r="K250" s="90"/>
      <c r="L250" s="89" t="str">
        <f t="shared" si="3"/>
        <v/>
      </c>
      <c r="M250" s="89"/>
      <c r="N250" s="93">
        <f t="shared" si="5"/>
        <v>0</v>
      </c>
      <c r="O250" s="94">
        <f t="shared" si="6"/>
        <v>0</v>
      </c>
      <c r="P250" s="87"/>
      <c r="Q250" s="87"/>
      <c r="R250" s="89" t="str">
        <f t="shared" si="7"/>
        <v/>
      </c>
      <c r="S250" s="90"/>
      <c r="T250" s="89" t="str">
        <f t="shared" si="8"/>
        <v/>
      </c>
      <c r="U250" s="95"/>
      <c r="V250" s="87"/>
      <c r="W250" s="87"/>
      <c r="X250" s="89" t="str">
        <f t="shared" si="9"/>
        <v/>
      </c>
      <c r="Y250" s="90"/>
      <c r="Z250" s="89" t="str">
        <f t="shared" si="10"/>
        <v/>
      </c>
      <c r="AA250" s="95"/>
      <c r="AB250" s="88" t="str">
        <f t="shared" si="27"/>
        <v/>
      </c>
      <c r="AC250" s="87"/>
      <c r="AD250" s="89" t="str">
        <f t="shared" si="11"/>
        <v/>
      </c>
      <c r="AE250" s="90"/>
      <c r="AF250" s="89" t="str">
        <f t="shared" si="12"/>
        <v/>
      </c>
      <c r="AG250" s="96"/>
      <c r="AH250" s="88" t="str">
        <f t="shared" si="13"/>
        <v/>
      </c>
      <c r="AI250" s="87"/>
      <c r="AJ250" s="89" t="str">
        <f t="shared" si="14"/>
        <v/>
      </c>
      <c r="AK250" s="90"/>
      <c r="AL250" s="89" t="str">
        <f t="shared" si="15"/>
        <v/>
      </c>
      <c r="AM250" s="89"/>
      <c r="AN250" s="93">
        <f t="shared" si="17"/>
        <v>0</v>
      </c>
      <c r="AO250" s="94">
        <f t="shared" si="18"/>
        <v>0</v>
      </c>
      <c r="AP250" s="87"/>
      <c r="AQ250" s="87"/>
      <c r="AR250" s="89" t="str">
        <f t="shared" si="19"/>
        <v/>
      </c>
      <c r="AS250" s="90"/>
      <c r="AT250" s="89" t="str">
        <f t="shared" si="20"/>
        <v/>
      </c>
      <c r="AU250" s="95"/>
      <c r="AV250" s="87"/>
      <c r="AW250" s="87"/>
      <c r="AX250" s="89" t="str">
        <f t="shared" si="21"/>
        <v/>
      </c>
      <c r="AY250" s="90"/>
      <c r="AZ250" s="89" t="str">
        <f t="shared" si="22"/>
        <v/>
      </c>
      <c r="BA250" s="95"/>
      <c r="BB250" s="88" t="str">
        <f t="shared" si="28"/>
        <v/>
      </c>
      <c r="BC250" s="87"/>
      <c r="BD250" s="89" t="str">
        <f t="shared" si="23"/>
        <v/>
      </c>
      <c r="BE250" s="90"/>
      <c r="BF250" s="89" t="str">
        <f t="shared" si="24"/>
        <v/>
      </c>
      <c r="BG250" s="96"/>
    </row>
    <row r="251">
      <c r="A251" s="87"/>
      <c r="B251" s="87"/>
      <c r="C251" s="87"/>
      <c r="D251" s="87"/>
      <c r="E251" s="87"/>
      <c r="F251" s="87"/>
      <c r="G251" s="87"/>
      <c r="H251" s="88" t="str">
        <f t="shared" si="1"/>
        <v/>
      </c>
      <c r="I251" s="87"/>
      <c r="J251" s="89" t="str">
        <f t="shared" si="2"/>
        <v/>
      </c>
      <c r="K251" s="90"/>
      <c r="L251" s="89" t="str">
        <f t="shared" si="3"/>
        <v/>
      </c>
      <c r="M251" s="89"/>
      <c r="N251" s="93">
        <f t="shared" si="5"/>
        <v>0</v>
      </c>
      <c r="O251" s="94">
        <f t="shared" si="6"/>
        <v>0</v>
      </c>
      <c r="P251" s="87"/>
      <c r="Q251" s="87"/>
      <c r="R251" s="89" t="str">
        <f t="shared" si="7"/>
        <v/>
      </c>
      <c r="S251" s="90"/>
      <c r="T251" s="89" t="str">
        <f t="shared" si="8"/>
        <v/>
      </c>
      <c r="U251" s="95"/>
      <c r="V251" s="87"/>
      <c r="W251" s="87"/>
      <c r="X251" s="89" t="str">
        <f t="shared" si="9"/>
        <v/>
      </c>
      <c r="Y251" s="90"/>
      <c r="Z251" s="89" t="str">
        <f t="shared" si="10"/>
        <v/>
      </c>
      <c r="AA251" s="95"/>
      <c r="AB251" s="88" t="str">
        <f t="shared" si="27"/>
        <v/>
      </c>
      <c r="AC251" s="87"/>
      <c r="AD251" s="89" t="str">
        <f t="shared" si="11"/>
        <v/>
      </c>
      <c r="AE251" s="90"/>
      <c r="AF251" s="89" t="str">
        <f t="shared" si="12"/>
        <v/>
      </c>
      <c r="AG251" s="96"/>
      <c r="AH251" s="88" t="str">
        <f t="shared" si="13"/>
        <v/>
      </c>
      <c r="AI251" s="87"/>
      <c r="AJ251" s="89" t="str">
        <f t="shared" si="14"/>
        <v/>
      </c>
      <c r="AK251" s="90"/>
      <c r="AL251" s="89" t="str">
        <f t="shared" si="15"/>
        <v/>
      </c>
      <c r="AM251" s="89"/>
      <c r="AN251" s="93">
        <f t="shared" si="17"/>
        <v>0</v>
      </c>
      <c r="AO251" s="94">
        <f t="shared" si="18"/>
        <v>0</v>
      </c>
      <c r="AP251" s="87"/>
      <c r="AQ251" s="87"/>
      <c r="AR251" s="89" t="str">
        <f t="shared" si="19"/>
        <v/>
      </c>
      <c r="AS251" s="90"/>
      <c r="AT251" s="89" t="str">
        <f t="shared" si="20"/>
        <v/>
      </c>
      <c r="AU251" s="95"/>
      <c r="AV251" s="87"/>
      <c r="AW251" s="87"/>
      <c r="AX251" s="89" t="str">
        <f t="shared" si="21"/>
        <v/>
      </c>
      <c r="AY251" s="90"/>
      <c r="AZ251" s="89" t="str">
        <f t="shared" si="22"/>
        <v/>
      </c>
      <c r="BA251" s="95"/>
      <c r="BB251" s="88" t="str">
        <f t="shared" si="28"/>
        <v/>
      </c>
      <c r="BC251" s="87"/>
      <c r="BD251" s="89" t="str">
        <f t="shared" si="23"/>
        <v/>
      </c>
      <c r="BE251" s="90"/>
      <c r="BF251" s="89" t="str">
        <f t="shared" si="24"/>
        <v/>
      </c>
      <c r="BG251" s="96"/>
    </row>
    <row r="252">
      <c r="A252" s="87"/>
      <c r="B252" s="87"/>
      <c r="C252" s="87"/>
      <c r="D252" s="87"/>
      <c r="E252" s="87"/>
      <c r="F252" s="87"/>
      <c r="G252" s="87"/>
      <c r="H252" s="88" t="str">
        <f t="shared" si="1"/>
        <v/>
      </c>
      <c r="I252" s="87"/>
      <c r="J252" s="89" t="str">
        <f t="shared" si="2"/>
        <v/>
      </c>
      <c r="K252" s="90"/>
      <c r="L252" s="89" t="str">
        <f t="shared" si="3"/>
        <v/>
      </c>
      <c r="M252" s="89"/>
      <c r="N252" s="93">
        <f t="shared" si="5"/>
        <v>0</v>
      </c>
      <c r="O252" s="94">
        <f t="shared" si="6"/>
        <v>0</v>
      </c>
      <c r="P252" s="87"/>
      <c r="Q252" s="87"/>
      <c r="R252" s="89" t="str">
        <f t="shared" si="7"/>
        <v/>
      </c>
      <c r="S252" s="90"/>
      <c r="T252" s="89" t="str">
        <f t="shared" si="8"/>
        <v/>
      </c>
      <c r="U252" s="95"/>
      <c r="V252" s="87"/>
      <c r="W252" s="87"/>
      <c r="X252" s="89" t="str">
        <f t="shared" si="9"/>
        <v/>
      </c>
      <c r="Y252" s="90"/>
      <c r="Z252" s="89" t="str">
        <f t="shared" si="10"/>
        <v/>
      </c>
      <c r="AA252" s="95"/>
      <c r="AB252" s="88" t="str">
        <f t="shared" si="27"/>
        <v/>
      </c>
      <c r="AC252" s="87"/>
      <c r="AD252" s="89" t="str">
        <f t="shared" si="11"/>
        <v/>
      </c>
      <c r="AE252" s="90"/>
      <c r="AF252" s="89" t="str">
        <f t="shared" si="12"/>
        <v/>
      </c>
      <c r="AG252" s="96"/>
      <c r="AH252" s="88" t="str">
        <f t="shared" si="13"/>
        <v/>
      </c>
      <c r="AI252" s="87"/>
      <c r="AJ252" s="89" t="str">
        <f t="shared" si="14"/>
        <v/>
      </c>
      <c r="AK252" s="90"/>
      <c r="AL252" s="89" t="str">
        <f t="shared" si="15"/>
        <v/>
      </c>
      <c r="AM252" s="89"/>
      <c r="AN252" s="93">
        <f t="shared" si="17"/>
        <v>0</v>
      </c>
      <c r="AO252" s="94">
        <f t="shared" si="18"/>
        <v>0</v>
      </c>
      <c r="AP252" s="87"/>
      <c r="AQ252" s="87"/>
      <c r="AR252" s="89" t="str">
        <f t="shared" si="19"/>
        <v/>
      </c>
      <c r="AS252" s="90"/>
      <c r="AT252" s="89" t="str">
        <f t="shared" si="20"/>
        <v/>
      </c>
      <c r="AU252" s="95"/>
      <c r="AV252" s="87"/>
      <c r="AW252" s="87"/>
      <c r="AX252" s="89" t="str">
        <f t="shared" si="21"/>
        <v/>
      </c>
      <c r="AY252" s="90"/>
      <c r="AZ252" s="89" t="str">
        <f t="shared" si="22"/>
        <v/>
      </c>
      <c r="BA252" s="95"/>
      <c r="BB252" s="88" t="str">
        <f t="shared" si="28"/>
        <v/>
      </c>
      <c r="BC252" s="87"/>
      <c r="BD252" s="89" t="str">
        <f t="shared" si="23"/>
        <v/>
      </c>
      <c r="BE252" s="90"/>
      <c r="BF252" s="89" t="str">
        <f t="shared" si="24"/>
        <v/>
      </c>
      <c r="BG252" s="96"/>
    </row>
    <row r="253">
      <c r="A253" s="87"/>
      <c r="B253" s="87"/>
      <c r="C253" s="87"/>
      <c r="D253" s="87"/>
      <c r="E253" s="87"/>
      <c r="F253" s="87"/>
      <c r="G253" s="87"/>
      <c r="H253" s="88" t="str">
        <f t="shared" si="1"/>
        <v/>
      </c>
      <c r="I253" s="87"/>
      <c r="J253" s="89" t="str">
        <f t="shared" si="2"/>
        <v/>
      </c>
      <c r="K253" s="90"/>
      <c r="L253" s="89" t="str">
        <f t="shared" si="3"/>
        <v/>
      </c>
      <c r="M253" s="89"/>
      <c r="N253" s="93">
        <f t="shared" si="5"/>
        <v>0</v>
      </c>
      <c r="O253" s="94">
        <f t="shared" si="6"/>
        <v>0</v>
      </c>
      <c r="P253" s="87"/>
      <c r="Q253" s="87"/>
      <c r="R253" s="89" t="str">
        <f t="shared" si="7"/>
        <v/>
      </c>
      <c r="S253" s="90"/>
      <c r="T253" s="89" t="str">
        <f t="shared" si="8"/>
        <v/>
      </c>
      <c r="U253" s="95"/>
      <c r="V253" s="87"/>
      <c r="W253" s="87"/>
      <c r="X253" s="89" t="str">
        <f t="shared" si="9"/>
        <v/>
      </c>
      <c r="Y253" s="90"/>
      <c r="Z253" s="89" t="str">
        <f t="shared" si="10"/>
        <v/>
      </c>
      <c r="AA253" s="95"/>
      <c r="AB253" s="88" t="str">
        <f t="shared" si="27"/>
        <v/>
      </c>
      <c r="AC253" s="87"/>
      <c r="AD253" s="89" t="str">
        <f t="shared" si="11"/>
        <v/>
      </c>
      <c r="AE253" s="90"/>
      <c r="AF253" s="89" t="str">
        <f t="shared" si="12"/>
        <v/>
      </c>
      <c r="AG253" s="96"/>
      <c r="AH253" s="88" t="str">
        <f t="shared" si="13"/>
        <v/>
      </c>
      <c r="AI253" s="87"/>
      <c r="AJ253" s="89" t="str">
        <f t="shared" si="14"/>
        <v/>
      </c>
      <c r="AK253" s="90"/>
      <c r="AL253" s="89" t="str">
        <f t="shared" si="15"/>
        <v/>
      </c>
      <c r="AM253" s="89"/>
      <c r="AN253" s="93">
        <f t="shared" si="17"/>
        <v>0</v>
      </c>
      <c r="AO253" s="94">
        <f t="shared" si="18"/>
        <v>0</v>
      </c>
      <c r="AP253" s="87"/>
      <c r="AQ253" s="87"/>
      <c r="AR253" s="89" t="str">
        <f t="shared" si="19"/>
        <v/>
      </c>
      <c r="AS253" s="90"/>
      <c r="AT253" s="89" t="str">
        <f t="shared" si="20"/>
        <v/>
      </c>
      <c r="AU253" s="95"/>
      <c r="AV253" s="87"/>
      <c r="AW253" s="87"/>
      <c r="AX253" s="89" t="str">
        <f t="shared" si="21"/>
        <v/>
      </c>
      <c r="AY253" s="90"/>
      <c r="AZ253" s="89" t="str">
        <f t="shared" si="22"/>
        <v/>
      </c>
      <c r="BA253" s="95"/>
      <c r="BB253" s="88" t="str">
        <f t="shared" si="28"/>
        <v/>
      </c>
      <c r="BC253" s="87"/>
      <c r="BD253" s="89" t="str">
        <f t="shared" si="23"/>
        <v/>
      </c>
      <c r="BE253" s="90"/>
      <c r="BF253" s="89" t="str">
        <f t="shared" si="24"/>
        <v/>
      </c>
      <c r="BG253" s="96"/>
    </row>
    <row r="254">
      <c r="A254" s="87"/>
      <c r="B254" s="87"/>
      <c r="C254" s="87"/>
      <c r="D254" s="87"/>
      <c r="E254" s="87"/>
      <c r="F254" s="87"/>
      <c r="G254" s="87"/>
      <c r="H254" s="88" t="str">
        <f t="shared" si="1"/>
        <v/>
      </c>
      <c r="I254" s="87"/>
      <c r="J254" s="89" t="str">
        <f t="shared" si="2"/>
        <v/>
      </c>
      <c r="K254" s="90"/>
      <c r="L254" s="89" t="str">
        <f t="shared" si="3"/>
        <v/>
      </c>
      <c r="M254" s="89"/>
      <c r="N254" s="93">
        <f t="shared" si="5"/>
        <v>0</v>
      </c>
      <c r="O254" s="94">
        <f t="shared" si="6"/>
        <v>0</v>
      </c>
      <c r="P254" s="87"/>
      <c r="Q254" s="87"/>
      <c r="R254" s="89" t="str">
        <f t="shared" si="7"/>
        <v/>
      </c>
      <c r="S254" s="90"/>
      <c r="T254" s="89" t="str">
        <f t="shared" si="8"/>
        <v/>
      </c>
      <c r="U254" s="95"/>
      <c r="V254" s="87"/>
      <c r="W254" s="87"/>
      <c r="X254" s="89" t="str">
        <f t="shared" si="9"/>
        <v/>
      </c>
      <c r="Y254" s="90"/>
      <c r="Z254" s="89" t="str">
        <f t="shared" si="10"/>
        <v/>
      </c>
      <c r="AA254" s="95"/>
      <c r="AB254" s="88" t="str">
        <f t="shared" si="27"/>
        <v/>
      </c>
      <c r="AC254" s="87"/>
      <c r="AD254" s="89" t="str">
        <f t="shared" si="11"/>
        <v/>
      </c>
      <c r="AE254" s="90"/>
      <c r="AF254" s="89" t="str">
        <f t="shared" si="12"/>
        <v/>
      </c>
      <c r="AG254" s="96"/>
      <c r="AH254" s="88" t="str">
        <f t="shared" si="13"/>
        <v/>
      </c>
      <c r="AI254" s="87"/>
      <c r="AJ254" s="89" t="str">
        <f t="shared" si="14"/>
        <v/>
      </c>
      <c r="AK254" s="90"/>
      <c r="AL254" s="89" t="str">
        <f t="shared" si="15"/>
        <v/>
      </c>
      <c r="AM254" s="89"/>
      <c r="AN254" s="93">
        <f t="shared" si="17"/>
        <v>0</v>
      </c>
      <c r="AO254" s="94">
        <f t="shared" si="18"/>
        <v>0</v>
      </c>
      <c r="AP254" s="87"/>
      <c r="AQ254" s="87"/>
      <c r="AR254" s="89" t="str">
        <f t="shared" si="19"/>
        <v/>
      </c>
      <c r="AS254" s="90"/>
      <c r="AT254" s="89" t="str">
        <f t="shared" si="20"/>
        <v/>
      </c>
      <c r="AU254" s="95"/>
      <c r="AV254" s="87"/>
      <c r="AW254" s="87"/>
      <c r="AX254" s="89" t="str">
        <f t="shared" si="21"/>
        <v/>
      </c>
      <c r="AY254" s="90"/>
      <c r="AZ254" s="89" t="str">
        <f t="shared" si="22"/>
        <v/>
      </c>
      <c r="BA254" s="95"/>
      <c r="BB254" s="88" t="str">
        <f t="shared" si="28"/>
        <v/>
      </c>
      <c r="BC254" s="87"/>
      <c r="BD254" s="89" t="str">
        <f t="shared" si="23"/>
        <v/>
      </c>
      <c r="BE254" s="90"/>
      <c r="BF254" s="89" t="str">
        <f t="shared" si="24"/>
        <v/>
      </c>
      <c r="BG254" s="96"/>
    </row>
    <row r="255">
      <c r="A255" s="87"/>
      <c r="B255" s="87"/>
      <c r="C255" s="87"/>
      <c r="D255" s="87"/>
      <c r="E255" s="87"/>
      <c r="F255" s="87"/>
      <c r="G255" s="87"/>
      <c r="H255" s="88" t="str">
        <f t="shared" si="1"/>
        <v/>
      </c>
      <c r="I255" s="87"/>
      <c r="J255" s="89" t="str">
        <f t="shared" si="2"/>
        <v/>
      </c>
      <c r="K255" s="90"/>
      <c r="L255" s="89" t="str">
        <f t="shared" si="3"/>
        <v/>
      </c>
      <c r="M255" s="89"/>
      <c r="N255" s="93">
        <f t="shared" si="5"/>
        <v>0</v>
      </c>
      <c r="O255" s="94">
        <f t="shared" si="6"/>
        <v>0</v>
      </c>
      <c r="P255" s="87"/>
      <c r="Q255" s="87"/>
      <c r="R255" s="89" t="str">
        <f t="shared" si="7"/>
        <v/>
      </c>
      <c r="S255" s="90"/>
      <c r="T255" s="89" t="str">
        <f t="shared" si="8"/>
        <v/>
      </c>
      <c r="U255" s="95"/>
      <c r="V255" s="87"/>
      <c r="W255" s="87"/>
      <c r="X255" s="89" t="str">
        <f t="shared" si="9"/>
        <v/>
      </c>
      <c r="Y255" s="90"/>
      <c r="Z255" s="89" t="str">
        <f t="shared" si="10"/>
        <v/>
      </c>
      <c r="AA255" s="95"/>
      <c r="AB255" s="88" t="str">
        <f t="shared" si="27"/>
        <v/>
      </c>
      <c r="AC255" s="87"/>
      <c r="AD255" s="89" t="str">
        <f t="shared" si="11"/>
        <v/>
      </c>
      <c r="AE255" s="90"/>
      <c r="AF255" s="89" t="str">
        <f t="shared" si="12"/>
        <v/>
      </c>
      <c r="AG255" s="96"/>
      <c r="AH255" s="88" t="str">
        <f t="shared" si="13"/>
        <v/>
      </c>
      <c r="AI255" s="87"/>
      <c r="AJ255" s="89" t="str">
        <f t="shared" si="14"/>
        <v/>
      </c>
      <c r="AK255" s="90"/>
      <c r="AL255" s="89" t="str">
        <f t="shared" si="15"/>
        <v/>
      </c>
      <c r="AM255" s="89"/>
      <c r="AN255" s="93">
        <f t="shared" si="17"/>
        <v>0</v>
      </c>
      <c r="AO255" s="94">
        <f t="shared" si="18"/>
        <v>0</v>
      </c>
      <c r="AP255" s="87"/>
      <c r="AQ255" s="87"/>
      <c r="AR255" s="89" t="str">
        <f t="shared" si="19"/>
        <v/>
      </c>
      <c r="AS255" s="90"/>
      <c r="AT255" s="89" t="str">
        <f t="shared" si="20"/>
        <v/>
      </c>
      <c r="AU255" s="95"/>
      <c r="AV255" s="87"/>
      <c r="AW255" s="87"/>
      <c r="AX255" s="89" t="str">
        <f t="shared" si="21"/>
        <v/>
      </c>
      <c r="AY255" s="90"/>
      <c r="AZ255" s="89" t="str">
        <f t="shared" si="22"/>
        <v/>
      </c>
      <c r="BA255" s="95"/>
      <c r="BB255" s="88" t="str">
        <f t="shared" si="28"/>
        <v/>
      </c>
      <c r="BC255" s="87"/>
      <c r="BD255" s="89" t="str">
        <f t="shared" si="23"/>
        <v/>
      </c>
      <c r="BE255" s="90"/>
      <c r="BF255" s="89" t="str">
        <f t="shared" si="24"/>
        <v/>
      </c>
      <c r="BG255" s="96"/>
    </row>
    <row r="256">
      <c r="A256" s="87"/>
      <c r="B256" s="87"/>
      <c r="C256" s="87"/>
      <c r="D256" s="87"/>
      <c r="E256" s="87"/>
      <c r="F256" s="87"/>
      <c r="G256" s="87"/>
      <c r="H256" s="88" t="str">
        <f t="shared" si="1"/>
        <v/>
      </c>
      <c r="I256" s="87"/>
      <c r="J256" s="89" t="str">
        <f t="shared" si="2"/>
        <v/>
      </c>
      <c r="K256" s="90"/>
      <c r="L256" s="89" t="str">
        <f t="shared" si="3"/>
        <v/>
      </c>
      <c r="M256" s="89"/>
      <c r="N256" s="93">
        <f t="shared" si="5"/>
        <v>0</v>
      </c>
      <c r="O256" s="94">
        <f t="shared" si="6"/>
        <v>0</v>
      </c>
      <c r="P256" s="87"/>
      <c r="Q256" s="87"/>
      <c r="R256" s="89" t="str">
        <f t="shared" si="7"/>
        <v/>
      </c>
      <c r="S256" s="90"/>
      <c r="T256" s="89" t="str">
        <f t="shared" si="8"/>
        <v/>
      </c>
      <c r="U256" s="95"/>
      <c r="V256" s="87"/>
      <c r="W256" s="87"/>
      <c r="X256" s="89" t="str">
        <f t="shared" si="9"/>
        <v/>
      </c>
      <c r="Y256" s="90"/>
      <c r="Z256" s="89" t="str">
        <f t="shared" si="10"/>
        <v/>
      </c>
      <c r="AA256" s="95"/>
      <c r="AB256" s="88" t="str">
        <f t="shared" si="27"/>
        <v/>
      </c>
      <c r="AC256" s="87"/>
      <c r="AD256" s="89" t="str">
        <f t="shared" si="11"/>
        <v/>
      </c>
      <c r="AE256" s="90"/>
      <c r="AF256" s="89" t="str">
        <f t="shared" si="12"/>
        <v/>
      </c>
      <c r="AG256" s="96"/>
      <c r="AH256" s="88" t="str">
        <f t="shared" si="13"/>
        <v/>
      </c>
      <c r="AI256" s="87"/>
      <c r="AJ256" s="89" t="str">
        <f t="shared" si="14"/>
        <v/>
      </c>
      <c r="AK256" s="90"/>
      <c r="AL256" s="89" t="str">
        <f t="shared" si="15"/>
        <v/>
      </c>
      <c r="AM256" s="89"/>
      <c r="AN256" s="93">
        <f t="shared" si="17"/>
        <v>0</v>
      </c>
      <c r="AO256" s="94">
        <f t="shared" si="18"/>
        <v>0</v>
      </c>
      <c r="AP256" s="87"/>
      <c r="AQ256" s="87"/>
      <c r="AR256" s="89" t="str">
        <f t="shared" si="19"/>
        <v/>
      </c>
      <c r="AS256" s="90"/>
      <c r="AT256" s="89" t="str">
        <f t="shared" si="20"/>
        <v/>
      </c>
      <c r="AU256" s="95"/>
      <c r="AV256" s="87"/>
      <c r="AW256" s="87"/>
      <c r="AX256" s="89" t="str">
        <f t="shared" si="21"/>
        <v/>
      </c>
      <c r="AY256" s="90"/>
      <c r="AZ256" s="89" t="str">
        <f t="shared" si="22"/>
        <v/>
      </c>
      <c r="BA256" s="95"/>
      <c r="BB256" s="88" t="str">
        <f t="shared" si="28"/>
        <v/>
      </c>
      <c r="BC256" s="87"/>
      <c r="BD256" s="89" t="str">
        <f t="shared" si="23"/>
        <v/>
      </c>
      <c r="BE256" s="90"/>
      <c r="BF256" s="89" t="str">
        <f t="shared" si="24"/>
        <v/>
      </c>
      <c r="BG256" s="96"/>
    </row>
    <row r="257">
      <c r="A257" s="87"/>
      <c r="B257" s="87"/>
      <c r="C257" s="87"/>
      <c r="D257" s="87"/>
      <c r="E257" s="87"/>
      <c r="F257" s="87"/>
      <c r="G257" s="87"/>
      <c r="H257" s="88" t="str">
        <f t="shared" si="1"/>
        <v/>
      </c>
      <c r="I257" s="87"/>
      <c r="J257" s="89" t="str">
        <f t="shared" si="2"/>
        <v/>
      </c>
      <c r="K257" s="90"/>
      <c r="L257" s="89" t="str">
        <f t="shared" si="3"/>
        <v/>
      </c>
      <c r="M257" s="89"/>
      <c r="N257" s="93">
        <f t="shared" si="5"/>
        <v>0</v>
      </c>
      <c r="O257" s="94">
        <f t="shared" si="6"/>
        <v>0</v>
      </c>
      <c r="P257" s="87"/>
      <c r="Q257" s="87"/>
      <c r="R257" s="89" t="str">
        <f t="shared" si="7"/>
        <v/>
      </c>
      <c r="S257" s="90"/>
      <c r="T257" s="89" t="str">
        <f t="shared" si="8"/>
        <v/>
      </c>
      <c r="U257" s="95"/>
      <c r="V257" s="87"/>
      <c r="W257" s="87"/>
      <c r="X257" s="89" t="str">
        <f t="shared" si="9"/>
        <v/>
      </c>
      <c r="Y257" s="90"/>
      <c r="Z257" s="89" t="str">
        <f t="shared" si="10"/>
        <v/>
      </c>
      <c r="AA257" s="95"/>
      <c r="AB257" s="88" t="str">
        <f t="shared" si="27"/>
        <v/>
      </c>
      <c r="AC257" s="87"/>
      <c r="AD257" s="89" t="str">
        <f t="shared" si="11"/>
        <v/>
      </c>
      <c r="AE257" s="90"/>
      <c r="AF257" s="89" t="str">
        <f t="shared" si="12"/>
        <v/>
      </c>
      <c r="AG257" s="96"/>
      <c r="AH257" s="88" t="str">
        <f t="shared" si="13"/>
        <v/>
      </c>
      <c r="AI257" s="87"/>
      <c r="AJ257" s="89" t="str">
        <f t="shared" si="14"/>
        <v/>
      </c>
      <c r="AK257" s="90"/>
      <c r="AL257" s="89" t="str">
        <f t="shared" si="15"/>
        <v/>
      </c>
      <c r="AM257" s="89"/>
      <c r="AN257" s="93">
        <f t="shared" si="17"/>
        <v>0</v>
      </c>
      <c r="AO257" s="94">
        <f t="shared" si="18"/>
        <v>0</v>
      </c>
      <c r="AP257" s="87"/>
      <c r="AQ257" s="87"/>
      <c r="AR257" s="89" t="str">
        <f t="shared" si="19"/>
        <v/>
      </c>
      <c r="AS257" s="90"/>
      <c r="AT257" s="89" t="str">
        <f t="shared" si="20"/>
        <v/>
      </c>
      <c r="AU257" s="95"/>
      <c r="AV257" s="87"/>
      <c r="AW257" s="87"/>
      <c r="AX257" s="89" t="str">
        <f t="shared" si="21"/>
        <v/>
      </c>
      <c r="AY257" s="90"/>
      <c r="AZ257" s="89" t="str">
        <f t="shared" si="22"/>
        <v/>
      </c>
      <c r="BA257" s="95"/>
      <c r="BB257" s="88" t="str">
        <f t="shared" si="28"/>
        <v/>
      </c>
      <c r="BC257" s="87"/>
      <c r="BD257" s="89" t="str">
        <f t="shared" si="23"/>
        <v/>
      </c>
      <c r="BE257" s="90"/>
      <c r="BF257" s="89" t="str">
        <f t="shared" si="24"/>
        <v/>
      </c>
      <c r="BG257" s="96"/>
    </row>
    <row r="258">
      <c r="A258" s="87"/>
      <c r="B258" s="87"/>
      <c r="C258" s="87"/>
      <c r="D258" s="87"/>
      <c r="E258" s="87"/>
      <c r="F258" s="87"/>
      <c r="G258" s="87"/>
      <c r="H258" s="88" t="str">
        <f t="shared" si="1"/>
        <v/>
      </c>
      <c r="I258" s="87"/>
      <c r="J258" s="89" t="str">
        <f t="shared" si="2"/>
        <v/>
      </c>
      <c r="K258" s="90"/>
      <c r="L258" s="89" t="str">
        <f t="shared" si="3"/>
        <v/>
      </c>
      <c r="M258" s="89"/>
      <c r="N258" s="93">
        <f t="shared" si="5"/>
        <v>0</v>
      </c>
      <c r="O258" s="94">
        <f t="shared" si="6"/>
        <v>0</v>
      </c>
      <c r="P258" s="87"/>
      <c r="Q258" s="87"/>
      <c r="R258" s="89" t="str">
        <f t="shared" si="7"/>
        <v/>
      </c>
      <c r="S258" s="90"/>
      <c r="T258" s="89" t="str">
        <f t="shared" si="8"/>
        <v/>
      </c>
      <c r="U258" s="95"/>
      <c r="V258" s="87"/>
      <c r="W258" s="87"/>
      <c r="X258" s="89" t="str">
        <f t="shared" si="9"/>
        <v/>
      </c>
      <c r="Y258" s="90"/>
      <c r="Z258" s="89" t="str">
        <f t="shared" si="10"/>
        <v/>
      </c>
      <c r="AA258" s="95"/>
      <c r="AB258" s="88" t="str">
        <f t="shared" si="27"/>
        <v/>
      </c>
      <c r="AC258" s="87"/>
      <c r="AD258" s="89" t="str">
        <f t="shared" si="11"/>
        <v/>
      </c>
      <c r="AE258" s="90"/>
      <c r="AF258" s="89" t="str">
        <f t="shared" si="12"/>
        <v/>
      </c>
      <c r="AG258" s="96"/>
      <c r="AH258" s="88" t="str">
        <f t="shared" si="13"/>
        <v/>
      </c>
      <c r="AI258" s="87"/>
      <c r="AJ258" s="89" t="str">
        <f t="shared" si="14"/>
        <v/>
      </c>
      <c r="AK258" s="90"/>
      <c r="AL258" s="89" t="str">
        <f t="shared" si="15"/>
        <v/>
      </c>
      <c r="AM258" s="89"/>
      <c r="AN258" s="93">
        <f t="shared" si="17"/>
        <v>0</v>
      </c>
      <c r="AO258" s="94">
        <f t="shared" si="18"/>
        <v>0</v>
      </c>
      <c r="AP258" s="87"/>
      <c r="AQ258" s="87"/>
      <c r="AR258" s="89" t="str">
        <f t="shared" si="19"/>
        <v/>
      </c>
      <c r="AS258" s="90"/>
      <c r="AT258" s="89" t="str">
        <f t="shared" si="20"/>
        <v/>
      </c>
      <c r="AU258" s="95"/>
      <c r="AV258" s="87"/>
      <c r="AW258" s="87"/>
      <c r="AX258" s="89" t="str">
        <f t="shared" si="21"/>
        <v/>
      </c>
      <c r="AY258" s="90"/>
      <c r="AZ258" s="89" t="str">
        <f t="shared" si="22"/>
        <v/>
      </c>
      <c r="BA258" s="95"/>
      <c r="BB258" s="88" t="str">
        <f t="shared" si="28"/>
        <v/>
      </c>
      <c r="BC258" s="87"/>
      <c r="BD258" s="89" t="str">
        <f t="shared" si="23"/>
        <v/>
      </c>
      <c r="BE258" s="90"/>
      <c r="BF258" s="89" t="str">
        <f t="shared" si="24"/>
        <v/>
      </c>
      <c r="BG258" s="96"/>
    </row>
    <row r="259">
      <c r="A259" s="87"/>
      <c r="B259" s="87"/>
      <c r="C259" s="87"/>
      <c r="D259" s="87"/>
      <c r="E259" s="87"/>
      <c r="F259" s="87"/>
      <c r="G259" s="87"/>
      <c r="H259" s="88" t="str">
        <f t="shared" si="1"/>
        <v/>
      </c>
      <c r="I259" s="87"/>
      <c r="J259" s="89" t="str">
        <f t="shared" si="2"/>
        <v/>
      </c>
      <c r="K259" s="90"/>
      <c r="L259" s="89" t="str">
        <f t="shared" si="3"/>
        <v/>
      </c>
      <c r="M259" s="89"/>
      <c r="N259" s="93">
        <f t="shared" si="5"/>
        <v>0</v>
      </c>
      <c r="O259" s="94">
        <f t="shared" si="6"/>
        <v>0</v>
      </c>
      <c r="P259" s="87"/>
      <c r="Q259" s="87"/>
      <c r="R259" s="89" t="str">
        <f t="shared" si="7"/>
        <v/>
      </c>
      <c r="S259" s="90"/>
      <c r="T259" s="89" t="str">
        <f t="shared" si="8"/>
        <v/>
      </c>
      <c r="U259" s="95"/>
      <c r="V259" s="87"/>
      <c r="W259" s="87"/>
      <c r="X259" s="89" t="str">
        <f t="shared" si="9"/>
        <v/>
      </c>
      <c r="Y259" s="90"/>
      <c r="Z259" s="89" t="str">
        <f t="shared" si="10"/>
        <v/>
      </c>
      <c r="AA259" s="95"/>
      <c r="AB259" s="88" t="str">
        <f t="shared" si="27"/>
        <v/>
      </c>
      <c r="AC259" s="87"/>
      <c r="AD259" s="89" t="str">
        <f t="shared" si="11"/>
        <v/>
      </c>
      <c r="AE259" s="90"/>
      <c r="AF259" s="89" t="str">
        <f t="shared" si="12"/>
        <v/>
      </c>
      <c r="AG259" s="96"/>
      <c r="AH259" s="88" t="str">
        <f t="shared" si="13"/>
        <v/>
      </c>
      <c r="AI259" s="87"/>
      <c r="AJ259" s="89" t="str">
        <f t="shared" si="14"/>
        <v/>
      </c>
      <c r="AK259" s="90"/>
      <c r="AL259" s="89" t="str">
        <f t="shared" si="15"/>
        <v/>
      </c>
      <c r="AM259" s="89"/>
      <c r="AN259" s="93">
        <f t="shared" si="17"/>
        <v>0</v>
      </c>
      <c r="AO259" s="94">
        <f t="shared" si="18"/>
        <v>0</v>
      </c>
      <c r="AP259" s="87"/>
      <c r="AQ259" s="87"/>
      <c r="AR259" s="89" t="str">
        <f t="shared" si="19"/>
        <v/>
      </c>
      <c r="AS259" s="90"/>
      <c r="AT259" s="89" t="str">
        <f t="shared" si="20"/>
        <v/>
      </c>
      <c r="AU259" s="95"/>
      <c r="AV259" s="87"/>
      <c r="AW259" s="87"/>
      <c r="AX259" s="89" t="str">
        <f t="shared" si="21"/>
        <v/>
      </c>
      <c r="AY259" s="90"/>
      <c r="AZ259" s="89" t="str">
        <f t="shared" si="22"/>
        <v/>
      </c>
      <c r="BA259" s="95"/>
      <c r="BB259" s="88" t="str">
        <f t="shared" si="28"/>
        <v/>
      </c>
      <c r="BC259" s="87"/>
      <c r="BD259" s="89" t="str">
        <f t="shared" si="23"/>
        <v/>
      </c>
      <c r="BE259" s="90"/>
      <c r="BF259" s="89" t="str">
        <f t="shared" si="24"/>
        <v/>
      </c>
      <c r="BG259" s="96"/>
    </row>
    <row r="260">
      <c r="A260" s="87"/>
      <c r="B260" s="87"/>
      <c r="C260" s="87"/>
      <c r="D260" s="87"/>
      <c r="E260" s="87"/>
      <c r="F260" s="87"/>
      <c r="G260" s="87"/>
      <c r="H260" s="88" t="str">
        <f t="shared" si="1"/>
        <v/>
      </c>
      <c r="I260" s="87"/>
      <c r="J260" s="89" t="str">
        <f t="shared" si="2"/>
        <v/>
      </c>
      <c r="K260" s="90"/>
      <c r="L260" s="89" t="str">
        <f t="shared" si="3"/>
        <v/>
      </c>
      <c r="M260" s="89"/>
      <c r="N260" s="93">
        <f t="shared" si="5"/>
        <v>0</v>
      </c>
      <c r="O260" s="94">
        <f t="shared" si="6"/>
        <v>0</v>
      </c>
      <c r="P260" s="87"/>
      <c r="Q260" s="87"/>
      <c r="R260" s="89" t="str">
        <f t="shared" si="7"/>
        <v/>
      </c>
      <c r="S260" s="90"/>
      <c r="T260" s="89" t="str">
        <f t="shared" si="8"/>
        <v/>
      </c>
      <c r="U260" s="95"/>
      <c r="V260" s="87"/>
      <c r="W260" s="87"/>
      <c r="X260" s="89" t="str">
        <f t="shared" si="9"/>
        <v/>
      </c>
      <c r="Y260" s="90"/>
      <c r="Z260" s="89" t="str">
        <f t="shared" si="10"/>
        <v/>
      </c>
      <c r="AA260" s="95"/>
      <c r="AB260" s="88" t="str">
        <f t="shared" si="27"/>
        <v/>
      </c>
      <c r="AC260" s="87"/>
      <c r="AD260" s="89" t="str">
        <f t="shared" si="11"/>
        <v/>
      </c>
      <c r="AE260" s="90"/>
      <c r="AF260" s="89" t="str">
        <f t="shared" si="12"/>
        <v/>
      </c>
      <c r="AG260" s="96"/>
      <c r="AH260" s="88" t="str">
        <f t="shared" si="13"/>
        <v/>
      </c>
      <c r="AI260" s="87"/>
      <c r="AJ260" s="89" t="str">
        <f t="shared" si="14"/>
        <v/>
      </c>
      <c r="AK260" s="90"/>
      <c r="AL260" s="89" t="str">
        <f t="shared" si="15"/>
        <v/>
      </c>
      <c r="AM260" s="89"/>
      <c r="AN260" s="93">
        <f t="shared" si="17"/>
        <v>0</v>
      </c>
      <c r="AO260" s="94">
        <f t="shared" si="18"/>
        <v>0</v>
      </c>
      <c r="AP260" s="87"/>
      <c r="AQ260" s="87"/>
      <c r="AR260" s="89" t="str">
        <f t="shared" si="19"/>
        <v/>
      </c>
      <c r="AS260" s="90"/>
      <c r="AT260" s="89" t="str">
        <f t="shared" si="20"/>
        <v/>
      </c>
      <c r="AU260" s="95"/>
      <c r="AV260" s="87"/>
      <c r="AW260" s="87"/>
      <c r="AX260" s="89" t="str">
        <f t="shared" si="21"/>
        <v/>
      </c>
      <c r="AY260" s="90"/>
      <c r="AZ260" s="89" t="str">
        <f t="shared" si="22"/>
        <v/>
      </c>
      <c r="BA260" s="95"/>
      <c r="BB260" s="88" t="str">
        <f t="shared" si="28"/>
        <v/>
      </c>
      <c r="BC260" s="87"/>
      <c r="BD260" s="89" t="str">
        <f t="shared" si="23"/>
        <v/>
      </c>
      <c r="BE260" s="90"/>
      <c r="BF260" s="89" t="str">
        <f t="shared" si="24"/>
        <v/>
      </c>
      <c r="BG260" s="96"/>
    </row>
    <row r="261">
      <c r="A261" s="87"/>
      <c r="B261" s="87"/>
      <c r="C261" s="87"/>
      <c r="D261" s="87"/>
      <c r="E261" s="87"/>
      <c r="F261" s="87"/>
      <c r="G261" s="87"/>
      <c r="H261" s="88" t="str">
        <f t="shared" si="1"/>
        <v/>
      </c>
      <c r="I261" s="87"/>
      <c r="J261" s="89" t="str">
        <f t="shared" si="2"/>
        <v/>
      </c>
      <c r="K261" s="90"/>
      <c r="L261" s="89" t="str">
        <f t="shared" si="3"/>
        <v/>
      </c>
      <c r="M261" s="89"/>
      <c r="N261" s="93">
        <f t="shared" si="5"/>
        <v>0</v>
      </c>
      <c r="O261" s="94">
        <f t="shared" si="6"/>
        <v>0</v>
      </c>
      <c r="P261" s="87"/>
      <c r="Q261" s="87"/>
      <c r="R261" s="89" t="str">
        <f t="shared" si="7"/>
        <v/>
      </c>
      <c r="S261" s="90"/>
      <c r="T261" s="89" t="str">
        <f t="shared" si="8"/>
        <v/>
      </c>
      <c r="U261" s="95"/>
      <c r="V261" s="87"/>
      <c r="W261" s="87"/>
      <c r="X261" s="89" t="str">
        <f t="shared" si="9"/>
        <v/>
      </c>
      <c r="Y261" s="90"/>
      <c r="Z261" s="89" t="str">
        <f t="shared" si="10"/>
        <v/>
      </c>
      <c r="AA261" s="95"/>
      <c r="AB261" s="88" t="str">
        <f t="shared" si="27"/>
        <v/>
      </c>
      <c r="AC261" s="87"/>
      <c r="AD261" s="89" t="str">
        <f t="shared" si="11"/>
        <v/>
      </c>
      <c r="AE261" s="90"/>
      <c r="AF261" s="89" t="str">
        <f t="shared" si="12"/>
        <v/>
      </c>
      <c r="AG261" s="96"/>
      <c r="AH261" s="88" t="str">
        <f t="shared" si="13"/>
        <v/>
      </c>
      <c r="AI261" s="87"/>
      <c r="AJ261" s="89" t="str">
        <f t="shared" si="14"/>
        <v/>
      </c>
      <c r="AK261" s="90"/>
      <c r="AL261" s="89" t="str">
        <f t="shared" si="15"/>
        <v/>
      </c>
      <c r="AM261" s="89"/>
      <c r="AN261" s="93">
        <f t="shared" si="17"/>
        <v>0</v>
      </c>
      <c r="AO261" s="94">
        <f t="shared" si="18"/>
        <v>0</v>
      </c>
      <c r="AP261" s="87"/>
      <c r="AQ261" s="87"/>
      <c r="AR261" s="89" t="str">
        <f t="shared" si="19"/>
        <v/>
      </c>
      <c r="AS261" s="90"/>
      <c r="AT261" s="89" t="str">
        <f t="shared" si="20"/>
        <v/>
      </c>
      <c r="AU261" s="95"/>
      <c r="AV261" s="87"/>
      <c r="AW261" s="87"/>
      <c r="AX261" s="89" t="str">
        <f t="shared" si="21"/>
        <v/>
      </c>
      <c r="AY261" s="90"/>
      <c r="AZ261" s="89" t="str">
        <f t="shared" si="22"/>
        <v/>
      </c>
      <c r="BA261" s="95"/>
      <c r="BB261" s="88" t="str">
        <f t="shared" si="28"/>
        <v/>
      </c>
      <c r="BC261" s="87"/>
      <c r="BD261" s="89" t="str">
        <f t="shared" si="23"/>
        <v/>
      </c>
      <c r="BE261" s="90"/>
      <c r="BF261" s="89" t="str">
        <f t="shared" si="24"/>
        <v/>
      </c>
      <c r="BG261" s="96"/>
    </row>
    <row r="262">
      <c r="A262" s="87"/>
      <c r="B262" s="87"/>
      <c r="C262" s="87"/>
      <c r="D262" s="87"/>
      <c r="E262" s="87"/>
      <c r="F262" s="87"/>
      <c r="G262" s="87"/>
      <c r="H262" s="88" t="str">
        <f t="shared" si="1"/>
        <v/>
      </c>
      <c r="I262" s="87"/>
      <c r="J262" s="89" t="str">
        <f t="shared" si="2"/>
        <v/>
      </c>
      <c r="K262" s="90"/>
      <c r="L262" s="89" t="str">
        <f t="shared" si="3"/>
        <v/>
      </c>
      <c r="M262" s="89"/>
      <c r="N262" s="93">
        <f t="shared" si="5"/>
        <v>0</v>
      </c>
      <c r="O262" s="94">
        <f t="shared" si="6"/>
        <v>0</v>
      </c>
      <c r="P262" s="87"/>
      <c r="Q262" s="87"/>
      <c r="R262" s="89" t="str">
        <f t="shared" si="7"/>
        <v/>
      </c>
      <c r="S262" s="90"/>
      <c r="T262" s="89" t="str">
        <f t="shared" si="8"/>
        <v/>
      </c>
      <c r="U262" s="95"/>
      <c r="V262" s="87"/>
      <c r="W262" s="87"/>
      <c r="X262" s="89" t="str">
        <f t="shared" si="9"/>
        <v/>
      </c>
      <c r="Y262" s="90"/>
      <c r="Z262" s="89" t="str">
        <f t="shared" si="10"/>
        <v/>
      </c>
      <c r="AA262" s="95"/>
      <c r="AB262" s="88" t="str">
        <f t="shared" si="27"/>
        <v/>
      </c>
      <c r="AC262" s="87"/>
      <c r="AD262" s="89" t="str">
        <f t="shared" si="11"/>
        <v/>
      </c>
      <c r="AE262" s="90"/>
      <c r="AF262" s="89" t="str">
        <f t="shared" si="12"/>
        <v/>
      </c>
      <c r="AG262" s="96"/>
      <c r="AH262" s="88" t="str">
        <f t="shared" si="13"/>
        <v/>
      </c>
      <c r="AI262" s="87"/>
      <c r="AJ262" s="89" t="str">
        <f t="shared" si="14"/>
        <v/>
      </c>
      <c r="AK262" s="90"/>
      <c r="AL262" s="89" t="str">
        <f t="shared" si="15"/>
        <v/>
      </c>
      <c r="AM262" s="89"/>
      <c r="AN262" s="93">
        <f t="shared" si="17"/>
        <v>0</v>
      </c>
      <c r="AO262" s="94">
        <f t="shared" si="18"/>
        <v>0</v>
      </c>
      <c r="AP262" s="87"/>
      <c r="AQ262" s="87"/>
      <c r="AR262" s="89" t="str">
        <f t="shared" si="19"/>
        <v/>
      </c>
      <c r="AS262" s="90"/>
      <c r="AT262" s="89" t="str">
        <f t="shared" si="20"/>
        <v/>
      </c>
      <c r="AU262" s="95"/>
      <c r="AV262" s="87"/>
      <c r="AW262" s="87"/>
      <c r="AX262" s="89" t="str">
        <f t="shared" si="21"/>
        <v/>
      </c>
      <c r="AY262" s="90"/>
      <c r="AZ262" s="89" t="str">
        <f t="shared" si="22"/>
        <v/>
      </c>
      <c r="BA262" s="95"/>
      <c r="BB262" s="88" t="str">
        <f t="shared" si="28"/>
        <v/>
      </c>
      <c r="BC262" s="87"/>
      <c r="BD262" s="89" t="str">
        <f t="shared" si="23"/>
        <v/>
      </c>
      <c r="BE262" s="90"/>
      <c r="BF262" s="89" t="str">
        <f t="shared" si="24"/>
        <v/>
      </c>
      <c r="BG262" s="96"/>
    </row>
    <row r="263">
      <c r="A263" s="87"/>
      <c r="B263" s="87"/>
      <c r="C263" s="87"/>
      <c r="D263" s="87"/>
      <c r="E263" s="87"/>
      <c r="F263" s="87"/>
      <c r="G263" s="87"/>
      <c r="H263" s="88" t="str">
        <f t="shared" si="1"/>
        <v/>
      </c>
      <c r="I263" s="87"/>
      <c r="J263" s="89" t="str">
        <f t="shared" si="2"/>
        <v/>
      </c>
      <c r="K263" s="90"/>
      <c r="L263" s="89" t="str">
        <f t="shared" si="3"/>
        <v/>
      </c>
      <c r="M263" s="89"/>
      <c r="N263" s="93">
        <f t="shared" si="5"/>
        <v>0</v>
      </c>
      <c r="O263" s="94">
        <f t="shared" si="6"/>
        <v>0</v>
      </c>
      <c r="P263" s="87"/>
      <c r="Q263" s="87"/>
      <c r="R263" s="89" t="str">
        <f t="shared" si="7"/>
        <v/>
      </c>
      <c r="S263" s="90"/>
      <c r="T263" s="89" t="str">
        <f t="shared" si="8"/>
        <v/>
      </c>
      <c r="U263" s="95"/>
      <c r="V263" s="87"/>
      <c r="W263" s="87"/>
      <c r="X263" s="89" t="str">
        <f t="shared" si="9"/>
        <v/>
      </c>
      <c r="Y263" s="90"/>
      <c r="Z263" s="89" t="str">
        <f t="shared" si="10"/>
        <v/>
      </c>
      <c r="AA263" s="95"/>
      <c r="AB263" s="88" t="str">
        <f t="shared" si="27"/>
        <v/>
      </c>
      <c r="AC263" s="87"/>
      <c r="AD263" s="89" t="str">
        <f t="shared" si="11"/>
        <v/>
      </c>
      <c r="AE263" s="90"/>
      <c r="AF263" s="89" t="str">
        <f t="shared" si="12"/>
        <v/>
      </c>
      <c r="AG263" s="96"/>
      <c r="AH263" s="88" t="str">
        <f t="shared" si="13"/>
        <v/>
      </c>
      <c r="AI263" s="87"/>
      <c r="AJ263" s="89" t="str">
        <f t="shared" si="14"/>
        <v/>
      </c>
      <c r="AK263" s="90"/>
      <c r="AL263" s="89" t="str">
        <f t="shared" si="15"/>
        <v/>
      </c>
      <c r="AM263" s="89"/>
      <c r="AN263" s="93">
        <f t="shared" si="17"/>
        <v>0</v>
      </c>
      <c r="AO263" s="94">
        <f t="shared" si="18"/>
        <v>0</v>
      </c>
      <c r="AP263" s="87"/>
      <c r="AQ263" s="87"/>
      <c r="AR263" s="89" t="str">
        <f t="shared" si="19"/>
        <v/>
      </c>
      <c r="AS263" s="90"/>
      <c r="AT263" s="89" t="str">
        <f t="shared" si="20"/>
        <v/>
      </c>
      <c r="AU263" s="95"/>
      <c r="AV263" s="87"/>
      <c r="AW263" s="87"/>
      <c r="AX263" s="89" t="str">
        <f t="shared" si="21"/>
        <v/>
      </c>
      <c r="AY263" s="90"/>
      <c r="AZ263" s="89" t="str">
        <f t="shared" si="22"/>
        <v/>
      </c>
      <c r="BA263" s="95"/>
      <c r="BB263" s="88" t="str">
        <f t="shared" si="28"/>
        <v/>
      </c>
      <c r="BC263" s="87"/>
      <c r="BD263" s="89" t="str">
        <f t="shared" si="23"/>
        <v/>
      </c>
      <c r="BE263" s="90"/>
      <c r="BF263" s="89" t="str">
        <f t="shared" si="24"/>
        <v/>
      </c>
      <c r="BG263" s="96"/>
    </row>
    <row r="264">
      <c r="A264" s="87"/>
      <c r="B264" s="87"/>
      <c r="C264" s="87"/>
      <c r="D264" s="87"/>
      <c r="E264" s="87"/>
      <c r="F264" s="87"/>
      <c r="G264" s="87"/>
      <c r="H264" s="88" t="str">
        <f t="shared" si="1"/>
        <v/>
      </c>
      <c r="I264" s="87"/>
      <c r="J264" s="89" t="str">
        <f t="shared" si="2"/>
        <v/>
      </c>
      <c r="K264" s="90"/>
      <c r="L264" s="89" t="str">
        <f t="shared" si="3"/>
        <v/>
      </c>
      <c r="M264" s="89"/>
      <c r="N264" s="93">
        <f t="shared" si="5"/>
        <v>0</v>
      </c>
      <c r="O264" s="94">
        <f t="shared" si="6"/>
        <v>0</v>
      </c>
      <c r="P264" s="87"/>
      <c r="Q264" s="87"/>
      <c r="R264" s="89" t="str">
        <f t="shared" si="7"/>
        <v/>
      </c>
      <c r="S264" s="90"/>
      <c r="T264" s="89" t="str">
        <f t="shared" si="8"/>
        <v/>
      </c>
      <c r="U264" s="95"/>
      <c r="V264" s="87"/>
      <c r="W264" s="87"/>
      <c r="X264" s="89" t="str">
        <f t="shared" si="9"/>
        <v/>
      </c>
      <c r="Y264" s="90"/>
      <c r="Z264" s="89" t="str">
        <f t="shared" si="10"/>
        <v/>
      </c>
      <c r="AA264" s="95"/>
      <c r="AB264" s="88" t="str">
        <f t="shared" si="27"/>
        <v/>
      </c>
      <c r="AC264" s="87"/>
      <c r="AD264" s="89" t="str">
        <f t="shared" si="11"/>
        <v/>
      </c>
      <c r="AE264" s="90"/>
      <c r="AF264" s="89" t="str">
        <f t="shared" si="12"/>
        <v/>
      </c>
      <c r="AG264" s="96"/>
      <c r="AH264" s="88" t="str">
        <f t="shared" si="13"/>
        <v/>
      </c>
      <c r="AI264" s="87"/>
      <c r="AJ264" s="89" t="str">
        <f t="shared" si="14"/>
        <v/>
      </c>
      <c r="AK264" s="90"/>
      <c r="AL264" s="89" t="str">
        <f t="shared" si="15"/>
        <v/>
      </c>
      <c r="AM264" s="89"/>
      <c r="AN264" s="93">
        <f t="shared" si="17"/>
        <v>0</v>
      </c>
      <c r="AO264" s="94">
        <f t="shared" si="18"/>
        <v>0</v>
      </c>
      <c r="AP264" s="87"/>
      <c r="AQ264" s="87"/>
      <c r="AR264" s="89" t="str">
        <f t="shared" si="19"/>
        <v/>
      </c>
      <c r="AS264" s="90"/>
      <c r="AT264" s="89" t="str">
        <f t="shared" si="20"/>
        <v/>
      </c>
      <c r="AU264" s="95"/>
      <c r="AV264" s="87"/>
      <c r="AW264" s="87"/>
      <c r="AX264" s="89" t="str">
        <f t="shared" si="21"/>
        <v/>
      </c>
      <c r="AY264" s="90"/>
      <c r="AZ264" s="89" t="str">
        <f t="shared" si="22"/>
        <v/>
      </c>
      <c r="BA264" s="95"/>
      <c r="BB264" s="88" t="str">
        <f t="shared" si="28"/>
        <v/>
      </c>
      <c r="BC264" s="87"/>
      <c r="BD264" s="89" t="str">
        <f t="shared" si="23"/>
        <v/>
      </c>
      <c r="BE264" s="90"/>
      <c r="BF264" s="89" t="str">
        <f t="shared" si="24"/>
        <v/>
      </c>
      <c r="BG264" s="96"/>
    </row>
    <row r="265">
      <c r="A265" s="87"/>
      <c r="B265" s="87"/>
      <c r="C265" s="87"/>
      <c r="D265" s="87"/>
      <c r="E265" s="87"/>
      <c r="F265" s="87"/>
      <c r="G265" s="87"/>
      <c r="H265" s="88" t="str">
        <f t="shared" si="1"/>
        <v/>
      </c>
      <c r="I265" s="87"/>
      <c r="J265" s="89" t="str">
        <f t="shared" si="2"/>
        <v/>
      </c>
      <c r="K265" s="90"/>
      <c r="L265" s="89" t="str">
        <f t="shared" si="3"/>
        <v/>
      </c>
      <c r="M265" s="89"/>
      <c r="N265" s="93">
        <f t="shared" si="5"/>
        <v>0</v>
      </c>
      <c r="O265" s="94">
        <f t="shared" si="6"/>
        <v>0</v>
      </c>
      <c r="P265" s="87"/>
      <c r="Q265" s="87"/>
      <c r="R265" s="89" t="str">
        <f t="shared" si="7"/>
        <v/>
      </c>
      <c r="S265" s="90"/>
      <c r="T265" s="89" t="str">
        <f t="shared" si="8"/>
        <v/>
      </c>
      <c r="U265" s="95"/>
      <c r="V265" s="87"/>
      <c r="W265" s="87"/>
      <c r="X265" s="89" t="str">
        <f t="shared" si="9"/>
        <v/>
      </c>
      <c r="Y265" s="90"/>
      <c r="Z265" s="89" t="str">
        <f t="shared" si="10"/>
        <v/>
      </c>
      <c r="AA265" s="95"/>
      <c r="AB265" s="88" t="str">
        <f t="shared" si="27"/>
        <v/>
      </c>
      <c r="AC265" s="87"/>
      <c r="AD265" s="89" t="str">
        <f t="shared" si="11"/>
        <v/>
      </c>
      <c r="AE265" s="90"/>
      <c r="AF265" s="89" t="str">
        <f t="shared" si="12"/>
        <v/>
      </c>
      <c r="AG265" s="96"/>
      <c r="AH265" s="88" t="str">
        <f t="shared" si="13"/>
        <v/>
      </c>
      <c r="AI265" s="87"/>
      <c r="AJ265" s="89" t="str">
        <f t="shared" si="14"/>
        <v/>
      </c>
      <c r="AK265" s="90"/>
      <c r="AL265" s="89" t="str">
        <f t="shared" si="15"/>
        <v/>
      </c>
      <c r="AM265" s="89"/>
      <c r="AN265" s="93">
        <f t="shared" si="17"/>
        <v>0</v>
      </c>
      <c r="AO265" s="94">
        <f t="shared" si="18"/>
        <v>0</v>
      </c>
      <c r="AP265" s="87"/>
      <c r="AQ265" s="87"/>
      <c r="AR265" s="89" t="str">
        <f t="shared" si="19"/>
        <v/>
      </c>
      <c r="AS265" s="90"/>
      <c r="AT265" s="89" t="str">
        <f t="shared" si="20"/>
        <v/>
      </c>
      <c r="AU265" s="95"/>
      <c r="AV265" s="87"/>
      <c r="AW265" s="87"/>
      <c r="AX265" s="89" t="str">
        <f t="shared" si="21"/>
        <v/>
      </c>
      <c r="AY265" s="90"/>
      <c r="AZ265" s="89" t="str">
        <f t="shared" si="22"/>
        <v/>
      </c>
      <c r="BA265" s="95"/>
      <c r="BB265" s="88" t="str">
        <f t="shared" si="28"/>
        <v/>
      </c>
      <c r="BC265" s="87"/>
      <c r="BD265" s="89" t="str">
        <f t="shared" si="23"/>
        <v/>
      </c>
      <c r="BE265" s="90"/>
      <c r="BF265" s="89" t="str">
        <f t="shared" si="24"/>
        <v/>
      </c>
      <c r="BG265" s="96"/>
    </row>
    <row r="266">
      <c r="A266" s="87"/>
      <c r="B266" s="87"/>
      <c r="C266" s="87"/>
      <c r="D266" s="87"/>
      <c r="E266" s="87"/>
      <c r="F266" s="87"/>
      <c r="G266" s="87"/>
      <c r="H266" s="88" t="str">
        <f t="shared" si="1"/>
        <v/>
      </c>
      <c r="I266" s="87"/>
      <c r="J266" s="89" t="str">
        <f t="shared" si="2"/>
        <v/>
      </c>
      <c r="K266" s="90"/>
      <c r="L266" s="89" t="str">
        <f t="shared" si="3"/>
        <v/>
      </c>
      <c r="M266" s="89"/>
      <c r="N266" s="93">
        <f t="shared" si="5"/>
        <v>0</v>
      </c>
      <c r="O266" s="94">
        <f t="shared" si="6"/>
        <v>0</v>
      </c>
      <c r="P266" s="87"/>
      <c r="Q266" s="87"/>
      <c r="R266" s="89" t="str">
        <f t="shared" si="7"/>
        <v/>
      </c>
      <c r="S266" s="90"/>
      <c r="T266" s="89" t="str">
        <f t="shared" si="8"/>
        <v/>
      </c>
      <c r="U266" s="95"/>
      <c r="V266" s="87"/>
      <c r="W266" s="87"/>
      <c r="X266" s="89" t="str">
        <f t="shared" si="9"/>
        <v/>
      </c>
      <c r="Y266" s="90"/>
      <c r="Z266" s="89" t="str">
        <f t="shared" si="10"/>
        <v/>
      </c>
      <c r="AA266" s="95"/>
      <c r="AB266" s="88" t="str">
        <f t="shared" si="27"/>
        <v/>
      </c>
      <c r="AC266" s="87"/>
      <c r="AD266" s="89" t="str">
        <f t="shared" si="11"/>
        <v/>
      </c>
      <c r="AE266" s="90"/>
      <c r="AF266" s="89" t="str">
        <f t="shared" si="12"/>
        <v/>
      </c>
      <c r="AG266" s="96"/>
      <c r="AH266" s="88" t="str">
        <f t="shared" si="13"/>
        <v/>
      </c>
      <c r="AI266" s="87"/>
      <c r="AJ266" s="89" t="str">
        <f t="shared" si="14"/>
        <v/>
      </c>
      <c r="AK266" s="90"/>
      <c r="AL266" s="89" t="str">
        <f t="shared" si="15"/>
        <v/>
      </c>
      <c r="AM266" s="89"/>
      <c r="AN266" s="93">
        <f t="shared" si="17"/>
        <v>0</v>
      </c>
      <c r="AO266" s="94">
        <f t="shared" si="18"/>
        <v>0</v>
      </c>
      <c r="AP266" s="87"/>
      <c r="AQ266" s="87"/>
      <c r="AR266" s="89" t="str">
        <f t="shared" si="19"/>
        <v/>
      </c>
      <c r="AS266" s="90"/>
      <c r="AT266" s="89" t="str">
        <f t="shared" si="20"/>
        <v/>
      </c>
      <c r="AU266" s="95"/>
      <c r="AV266" s="87"/>
      <c r="AW266" s="87"/>
      <c r="AX266" s="89" t="str">
        <f t="shared" si="21"/>
        <v/>
      </c>
      <c r="AY266" s="90"/>
      <c r="AZ266" s="89" t="str">
        <f t="shared" si="22"/>
        <v/>
      </c>
      <c r="BA266" s="95"/>
      <c r="BB266" s="88" t="str">
        <f t="shared" si="28"/>
        <v/>
      </c>
      <c r="BC266" s="87"/>
      <c r="BD266" s="89" t="str">
        <f t="shared" si="23"/>
        <v/>
      </c>
      <c r="BE266" s="90"/>
      <c r="BF266" s="89" t="str">
        <f t="shared" si="24"/>
        <v/>
      </c>
      <c r="BG266" s="96"/>
    </row>
    <row r="267">
      <c r="A267" s="87"/>
      <c r="B267" s="87"/>
      <c r="C267" s="87"/>
      <c r="D267" s="87"/>
      <c r="E267" s="87"/>
      <c r="F267" s="87"/>
      <c r="G267" s="87"/>
      <c r="H267" s="88" t="str">
        <f t="shared" si="1"/>
        <v/>
      </c>
      <c r="I267" s="87"/>
      <c r="J267" s="89" t="str">
        <f t="shared" si="2"/>
        <v/>
      </c>
      <c r="K267" s="90"/>
      <c r="L267" s="89" t="str">
        <f t="shared" si="3"/>
        <v/>
      </c>
      <c r="M267" s="89"/>
      <c r="N267" s="93">
        <f t="shared" si="5"/>
        <v>0</v>
      </c>
      <c r="O267" s="94">
        <f t="shared" si="6"/>
        <v>0</v>
      </c>
      <c r="P267" s="87"/>
      <c r="Q267" s="87"/>
      <c r="R267" s="89" t="str">
        <f t="shared" si="7"/>
        <v/>
      </c>
      <c r="S267" s="90"/>
      <c r="T267" s="89" t="str">
        <f t="shared" si="8"/>
        <v/>
      </c>
      <c r="U267" s="95"/>
      <c r="V267" s="87"/>
      <c r="W267" s="87"/>
      <c r="X267" s="89" t="str">
        <f t="shared" si="9"/>
        <v/>
      </c>
      <c r="Y267" s="90"/>
      <c r="Z267" s="89" t="str">
        <f t="shared" si="10"/>
        <v/>
      </c>
      <c r="AA267" s="95"/>
      <c r="AB267" s="88" t="str">
        <f t="shared" si="27"/>
        <v/>
      </c>
      <c r="AC267" s="87"/>
      <c r="AD267" s="89" t="str">
        <f t="shared" si="11"/>
        <v/>
      </c>
      <c r="AE267" s="90"/>
      <c r="AF267" s="89" t="str">
        <f t="shared" si="12"/>
        <v/>
      </c>
      <c r="AG267" s="96"/>
      <c r="AH267" s="88" t="str">
        <f t="shared" si="13"/>
        <v/>
      </c>
      <c r="AI267" s="87"/>
      <c r="AJ267" s="89" t="str">
        <f t="shared" si="14"/>
        <v/>
      </c>
      <c r="AK267" s="90"/>
      <c r="AL267" s="89" t="str">
        <f t="shared" si="15"/>
        <v/>
      </c>
      <c r="AM267" s="89"/>
      <c r="AN267" s="93">
        <f t="shared" si="17"/>
        <v>0</v>
      </c>
      <c r="AO267" s="94">
        <f t="shared" si="18"/>
        <v>0</v>
      </c>
      <c r="AP267" s="87"/>
      <c r="AQ267" s="87"/>
      <c r="AR267" s="89" t="str">
        <f t="shared" si="19"/>
        <v/>
      </c>
      <c r="AS267" s="90"/>
      <c r="AT267" s="89" t="str">
        <f t="shared" si="20"/>
        <v/>
      </c>
      <c r="AU267" s="95"/>
      <c r="AV267" s="87"/>
      <c r="AW267" s="87"/>
      <c r="AX267" s="89" t="str">
        <f t="shared" si="21"/>
        <v/>
      </c>
      <c r="AY267" s="90"/>
      <c r="AZ267" s="89" t="str">
        <f t="shared" si="22"/>
        <v/>
      </c>
      <c r="BA267" s="95"/>
      <c r="BB267" s="88" t="str">
        <f t="shared" si="28"/>
        <v/>
      </c>
      <c r="BC267" s="87"/>
      <c r="BD267" s="89" t="str">
        <f t="shared" si="23"/>
        <v/>
      </c>
      <c r="BE267" s="90"/>
      <c r="BF267" s="89" t="str">
        <f t="shared" si="24"/>
        <v/>
      </c>
      <c r="BG267" s="96"/>
    </row>
    <row r="268">
      <c r="A268" s="87"/>
      <c r="B268" s="87"/>
      <c r="C268" s="87"/>
      <c r="D268" s="87"/>
      <c r="E268" s="87"/>
      <c r="F268" s="87"/>
      <c r="G268" s="87"/>
      <c r="H268" s="88" t="str">
        <f t="shared" si="1"/>
        <v/>
      </c>
      <c r="I268" s="87"/>
      <c r="J268" s="89" t="str">
        <f t="shared" si="2"/>
        <v/>
      </c>
      <c r="K268" s="90"/>
      <c r="L268" s="89" t="str">
        <f t="shared" si="3"/>
        <v/>
      </c>
      <c r="M268" s="89"/>
      <c r="N268" s="93">
        <f t="shared" si="5"/>
        <v>0</v>
      </c>
      <c r="O268" s="94">
        <f t="shared" si="6"/>
        <v>0</v>
      </c>
      <c r="P268" s="87"/>
      <c r="Q268" s="87"/>
      <c r="R268" s="89" t="str">
        <f t="shared" si="7"/>
        <v/>
      </c>
      <c r="S268" s="90"/>
      <c r="T268" s="89" t="str">
        <f t="shared" si="8"/>
        <v/>
      </c>
      <c r="U268" s="95"/>
      <c r="V268" s="87"/>
      <c r="W268" s="87"/>
      <c r="X268" s="89" t="str">
        <f t="shared" si="9"/>
        <v/>
      </c>
      <c r="Y268" s="90"/>
      <c r="Z268" s="89" t="str">
        <f t="shared" si="10"/>
        <v/>
      </c>
      <c r="AA268" s="95"/>
      <c r="AB268" s="88" t="str">
        <f t="shared" si="27"/>
        <v/>
      </c>
      <c r="AC268" s="87"/>
      <c r="AD268" s="89" t="str">
        <f t="shared" si="11"/>
        <v/>
      </c>
      <c r="AE268" s="90"/>
      <c r="AF268" s="89" t="str">
        <f t="shared" si="12"/>
        <v/>
      </c>
      <c r="AG268" s="96"/>
      <c r="AH268" s="88" t="str">
        <f t="shared" si="13"/>
        <v/>
      </c>
      <c r="AI268" s="87"/>
      <c r="AJ268" s="89" t="str">
        <f t="shared" si="14"/>
        <v/>
      </c>
      <c r="AK268" s="90"/>
      <c r="AL268" s="89" t="str">
        <f t="shared" si="15"/>
        <v/>
      </c>
      <c r="AM268" s="89"/>
      <c r="AN268" s="93">
        <f t="shared" si="17"/>
        <v>0</v>
      </c>
      <c r="AO268" s="94">
        <f t="shared" si="18"/>
        <v>0</v>
      </c>
      <c r="AP268" s="87"/>
      <c r="AQ268" s="87"/>
      <c r="AR268" s="89" t="str">
        <f t="shared" si="19"/>
        <v/>
      </c>
      <c r="AS268" s="90"/>
      <c r="AT268" s="89" t="str">
        <f t="shared" si="20"/>
        <v/>
      </c>
      <c r="AU268" s="95"/>
      <c r="AV268" s="87"/>
      <c r="AW268" s="87"/>
      <c r="AX268" s="89" t="str">
        <f t="shared" si="21"/>
        <v/>
      </c>
      <c r="AY268" s="90"/>
      <c r="AZ268" s="89" t="str">
        <f t="shared" si="22"/>
        <v/>
      </c>
      <c r="BA268" s="95"/>
      <c r="BB268" s="88" t="str">
        <f t="shared" si="28"/>
        <v/>
      </c>
      <c r="BC268" s="87"/>
      <c r="BD268" s="89" t="str">
        <f t="shared" si="23"/>
        <v/>
      </c>
      <c r="BE268" s="90"/>
      <c r="BF268" s="89" t="str">
        <f t="shared" si="24"/>
        <v/>
      </c>
      <c r="BG268" s="96"/>
    </row>
    <row r="269">
      <c r="A269" s="87"/>
      <c r="B269" s="87"/>
      <c r="C269" s="87"/>
      <c r="D269" s="87"/>
      <c r="E269" s="87"/>
      <c r="F269" s="87"/>
      <c r="G269" s="87"/>
      <c r="H269" s="88" t="str">
        <f t="shared" si="1"/>
        <v/>
      </c>
      <c r="I269" s="87"/>
      <c r="J269" s="89" t="str">
        <f t="shared" si="2"/>
        <v/>
      </c>
      <c r="K269" s="90"/>
      <c r="L269" s="89" t="str">
        <f t="shared" si="3"/>
        <v/>
      </c>
      <c r="M269" s="89"/>
      <c r="N269" s="93">
        <f t="shared" si="5"/>
        <v>0</v>
      </c>
      <c r="O269" s="94">
        <f t="shared" si="6"/>
        <v>0</v>
      </c>
      <c r="P269" s="87"/>
      <c r="Q269" s="87"/>
      <c r="R269" s="89" t="str">
        <f t="shared" si="7"/>
        <v/>
      </c>
      <c r="S269" s="90"/>
      <c r="T269" s="89" t="str">
        <f t="shared" si="8"/>
        <v/>
      </c>
      <c r="U269" s="95"/>
      <c r="V269" s="87"/>
      <c r="W269" s="87"/>
      <c r="X269" s="89" t="str">
        <f t="shared" si="9"/>
        <v/>
      </c>
      <c r="Y269" s="90"/>
      <c r="Z269" s="89" t="str">
        <f t="shared" si="10"/>
        <v/>
      </c>
      <c r="AA269" s="95"/>
      <c r="AB269" s="88" t="str">
        <f t="shared" si="27"/>
        <v/>
      </c>
      <c r="AC269" s="87"/>
      <c r="AD269" s="89" t="str">
        <f t="shared" si="11"/>
        <v/>
      </c>
      <c r="AE269" s="90"/>
      <c r="AF269" s="89" t="str">
        <f t="shared" si="12"/>
        <v/>
      </c>
      <c r="AG269" s="96"/>
      <c r="AH269" s="88" t="str">
        <f t="shared" si="13"/>
        <v/>
      </c>
      <c r="AI269" s="87"/>
      <c r="AJ269" s="89" t="str">
        <f t="shared" si="14"/>
        <v/>
      </c>
      <c r="AK269" s="90"/>
      <c r="AL269" s="89" t="str">
        <f t="shared" si="15"/>
        <v/>
      </c>
      <c r="AM269" s="89"/>
      <c r="AN269" s="93">
        <f t="shared" si="17"/>
        <v>0</v>
      </c>
      <c r="AO269" s="94">
        <f t="shared" si="18"/>
        <v>0</v>
      </c>
      <c r="AP269" s="87"/>
      <c r="AQ269" s="87"/>
      <c r="AR269" s="89" t="str">
        <f t="shared" si="19"/>
        <v/>
      </c>
      <c r="AS269" s="90"/>
      <c r="AT269" s="89" t="str">
        <f t="shared" si="20"/>
        <v/>
      </c>
      <c r="AU269" s="95"/>
      <c r="AV269" s="87"/>
      <c r="AW269" s="87"/>
      <c r="AX269" s="89" t="str">
        <f t="shared" si="21"/>
        <v/>
      </c>
      <c r="AY269" s="90"/>
      <c r="AZ269" s="89" t="str">
        <f t="shared" si="22"/>
        <v/>
      </c>
      <c r="BA269" s="95"/>
      <c r="BB269" s="88" t="str">
        <f t="shared" si="28"/>
        <v/>
      </c>
      <c r="BC269" s="87"/>
      <c r="BD269" s="89" t="str">
        <f t="shared" si="23"/>
        <v/>
      </c>
      <c r="BE269" s="90"/>
      <c r="BF269" s="89" t="str">
        <f t="shared" si="24"/>
        <v/>
      </c>
      <c r="BG269" s="96"/>
    </row>
    <row r="270">
      <c r="A270" s="87"/>
      <c r="B270" s="87"/>
      <c r="C270" s="87"/>
      <c r="D270" s="87"/>
      <c r="E270" s="87"/>
      <c r="F270" s="87"/>
      <c r="G270" s="87"/>
      <c r="H270" s="88" t="str">
        <f t="shared" si="1"/>
        <v/>
      </c>
      <c r="I270" s="87"/>
      <c r="J270" s="89" t="str">
        <f t="shared" si="2"/>
        <v/>
      </c>
      <c r="K270" s="90"/>
      <c r="L270" s="89" t="str">
        <f t="shared" si="3"/>
        <v/>
      </c>
      <c r="M270" s="89"/>
      <c r="N270" s="93">
        <f t="shared" si="5"/>
        <v>0</v>
      </c>
      <c r="O270" s="94">
        <f t="shared" si="6"/>
        <v>0</v>
      </c>
      <c r="P270" s="87"/>
      <c r="Q270" s="87"/>
      <c r="R270" s="89" t="str">
        <f t="shared" si="7"/>
        <v/>
      </c>
      <c r="S270" s="90"/>
      <c r="T270" s="89" t="str">
        <f t="shared" si="8"/>
        <v/>
      </c>
      <c r="U270" s="95"/>
      <c r="V270" s="87"/>
      <c r="W270" s="87"/>
      <c r="X270" s="89" t="str">
        <f t="shared" si="9"/>
        <v/>
      </c>
      <c r="Y270" s="90"/>
      <c r="Z270" s="89" t="str">
        <f t="shared" si="10"/>
        <v/>
      </c>
      <c r="AA270" s="95"/>
      <c r="AB270" s="88" t="str">
        <f t="shared" si="27"/>
        <v/>
      </c>
      <c r="AC270" s="87"/>
      <c r="AD270" s="89" t="str">
        <f t="shared" si="11"/>
        <v/>
      </c>
      <c r="AE270" s="90"/>
      <c r="AF270" s="89" t="str">
        <f t="shared" si="12"/>
        <v/>
      </c>
      <c r="AG270" s="96"/>
      <c r="AH270" s="88" t="str">
        <f t="shared" si="13"/>
        <v/>
      </c>
      <c r="AI270" s="87"/>
      <c r="AJ270" s="89" t="str">
        <f t="shared" si="14"/>
        <v/>
      </c>
      <c r="AK270" s="90"/>
      <c r="AL270" s="89" t="str">
        <f t="shared" si="15"/>
        <v/>
      </c>
      <c r="AM270" s="89"/>
      <c r="AN270" s="93">
        <f t="shared" si="17"/>
        <v>0</v>
      </c>
      <c r="AO270" s="94">
        <f t="shared" si="18"/>
        <v>0</v>
      </c>
      <c r="AP270" s="87"/>
      <c r="AQ270" s="87"/>
      <c r="AR270" s="89" t="str">
        <f t="shared" si="19"/>
        <v/>
      </c>
      <c r="AS270" s="90"/>
      <c r="AT270" s="89" t="str">
        <f t="shared" si="20"/>
        <v/>
      </c>
      <c r="AU270" s="95"/>
      <c r="AV270" s="87"/>
      <c r="AW270" s="87"/>
      <c r="AX270" s="89" t="str">
        <f t="shared" si="21"/>
        <v/>
      </c>
      <c r="AY270" s="90"/>
      <c r="AZ270" s="89" t="str">
        <f t="shared" si="22"/>
        <v/>
      </c>
      <c r="BA270" s="95"/>
      <c r="BB270" s="88" t="str">
        <f t="shared" si="28"/>
        <v/>
      </c>
      <c r="BC270" s="87"/>
      <c r="BD270" s="89" t="str">
        <f t="shared" si="23"/>
        <v/>
      </c>
      <c r="BE270" s="90"/>
      <c r="BF270" s="89" t="str">
        <f t="shared" si="24"/>
        <v/>
      </c>
      <c r="BG270" s="96"/>
    </row>
    <row r="271">
      <c r="A271" s="87"/>
      <c r="B271" s="87"/>
      <c r="C271" s="87"/>
      <c r="D271" s="87"/>
      <c r="E271" s="87"/>
      <c r="F271" s="87"/>
      <c r="G271" s="87"/>
      <c r="H271" s="88" t="str">
        <f t="shared" si="1"/>
        <v/>
      </c>
      <c r="I271" s="87"/>
      <c r="J271" s="89" t="str">
        <f t="shared" si="2"/>
        <v/>
      </c>
      <c r="K271" s="90"/>
      <c r="L271" s="89" t="str">
        <f t="shared" si="3"/>
        <v/>
      </c>
      <c r="M271" s="89"/>
      <c r="N271" s="93">
        <f t="shared" si="5"/>
        <v>0</v>
      </c>
      <c r="O271" s="94">
        <f t="shared" si="6"/>
        <v>0</v>
      </c>
      <c r="P271" s="87"/>
      <c r="Q271" s="87"/>
      <c r="R271" s="89" t="str">
        <f t="shared" si="7"/>
        <v/>
      </c>
      <c r="S271" s="90"/>
      <c r="T271" s="89" t="str">
        <f t="shared" si="8"/>
        <v/>
      </c>
      <c r="U271" s="95"/>
      <c r="V271" s="87"/>
      <c r="W271" s="87"/>
      <c r="X271" s="89" t="str">
        <f t="shared" si="9"/>
        <v/>
      </c>
      <c r="Y271" s="90"/>
      <c r="Z271" s="89" t="str">
        <f t="shared" si="10"/>
        <v/>
      </c>
      <c r="AA271" s="95"/>
      <c r="AB271" s="88" t="str">
        <f t="shared" si="27"/>
        <v/>
      </c>
      <c r="AC271" s="87"/>
      <c r="AD271" s="89" t="str">
        <f t="shared" si="11"/>
        <v/>
      </c>
      <c r="AE271" s="90"/>
      <c r="AF271" s="89" t="str">
        <f t="shared" si="12"/>
        <v/>
      </c>
      <c r="AG271" s="96"/>
      <c r="AH271" s="88" t="str">
        <f t="shared" si="13"/>
        <v/>
      </c>
      <c r="AI271" s="87"/>
      <c r="AJ271" s="89" t="str">
        <f t="shared" si="14"/>
        <v/>
      </c>
      <c r="AK271" s="90"/>
      <c r="AL271" s="89" t="str">
        <f t="shared" si="15"/>
        <v/>
      </c>
      <c r="AM271" s="89"/>
      <c r="AN271" s="93">
        <f t="shared" si="17"/>
        <v>0</v>
      </c>
      <c r="AO271" s="94">
        <f t="shared" si="18"/>
        <v>0</v>
      </c>
      <c r="AP271" s="87"/>
      <c r="AQ271" s="87"/>
      <c r="AR271" s="89" t="str">
        <f t="shared" si="19"/>
        <v/>
      </c>
      <c r="AS271" s="90"/>
      <c r="AT271" s="89" t="str">
        <f t="shared" si="20"/>
        <v/>
      </c>
      <c r="AU271" s="95"/>
      <c r="AV271" s="87"/>
      <c r="AW271" s="87"/>
      <c r="AX271" s="89" t="str">
        <f t="shared" si="21"/>
        <v/>
      </c>
      <c r="AY271" s="90"/>
      <c r="AZ271" s="89" t="str">
        <f t="shared" si="22"/>
        <v/>
      </c>
      <c r="BA271" s="95"/>
      <c r="BB271" s="88" t="str">
        <f t="shared" si="28"/>
        <v/>
      </c>
      <c r="BC271" s="87"/>
      <c r="BD271" s="89" t="str">
        <f t="shared" si="23"/>
        <v/>
      </c>
      <c r="BE271" s="90"/>
      <c r="BF271" s="89" t="str">
        <f t="shared" si="24"/>
        <v/>
      </c>
      <c r="BG271" s="96"/>
    </row>
    <row r="272">
      <c r="A272" s="87"/>
      <c r="B272" s="87"/>
      <c r="C272" s="87"/>
      <c r="D272" s="87"/>
      <c r="E272" s="87"/>
      <c r="F272" s="87"/>
      <c r="G272" s="87"/>
      <c r="H272" s="88" t="str">
        <f t="shared" si="1"/>
        <v/>
      </c>
      <c r="I272" s="87"/>
      <c r="J272" s="89" t="str">
        <f t="shared" si="2"/>
        <v/>
      </c>
      <c r="K272" s="90"/>
      <c r="L272" s="89" t="str">
        <f t="shared" si="3"/>
        <v/>
      </c>
      <c r="M272" s="89"/>
      <c r="N272" s="93">
        <f t="shared" si="5"/>
        <v>0</v>
      </c>
      <c r="O272" s="94">
        <f t="shared" si="6"/>
        <v>0</v>
      </c>
      <c r="P272" s="87"/>
      <c r="Q272" s="87"/>
      <c r="R272" s="89" t="str">
        <f t="shared" si="7"/>
        <v/>
      </c>
      <c r="S272" s="90"/>
      <c r="T272" s="89" t="str">
        <f t="shared" si="8"/>
        <v/>
      </c>
      <c r="U272" s="95"/>
      <c r="V272" s="87"/>
      <c r="W272" s="87"/>
      <c r="X272" s="89" t="str">
        <f t="shared" si="9"/>
        <v/>
      </c>
      <c r="Y272" s="90"/>
      <c r="Z272" s="89" t="str">
        <f t="shared" si="10"/>
        <v/>
      </c>
      <c r="AA272" s="95"/>
      <c r="AB272" s="88" t="str">
        <f t="shared" si="27"/>
        <v/>
      </c>
      <c r="AC272" s="87"/>
      <c r="AD272" s="89" t="str">
        <f t="shared" si="11"/>
        <v/>
      </c>
      <c r="AE272" s="90"/>
      <c r="AF272" s="89" t="str">
        <f t="shared" si="12"/>
        <v/>
      </c>
      <c r="AG272" s="96"/>
      <c r="AH272" s="88" t="str">
        <f t="shared" si="13"/>
        <v/>
      </c>
      <c r="AI272" s="87"/>
      <c r="AJ272" s="89" t="str">
        <f t="shared" si="14"/>
        <v/>
      </c>
      <c r="AK272" s="90"/>
      <c r="AL272" s="89" t="str">
        <f t="shared" si="15"/>
        <v/>
      </c>
      <c r="AM272" s="89"/>
      <c r="AN272" s="93">
        <f t="shared" si="17"/>
        <v>0</v>
      </c>
      <c r="AO272" s="94">
        <f t="shared" si="18"/>
        <v>0</v>
      </c>
      <c r="AP272" s="87"/>
      <c r="AQ272" s="87"/>
      <c r="AR272" s="89" t="str">
        <f t="shared" si="19"/>
        <v/>
      </c>
      <c r="AS272" s="90"/>
      <c r="AT272" s="89" t="str">
        <f t="shared" si="20"/>
        <v/>
      </c>
      <c r="AU272" s="95"/>
      <c r="AV272" s="87"/>
      <c r="AW272" s="87"/>
      <c r="AX272" s="89" t="str">
        <f t="shared" si="21"/>
        <v/>
      </c>
      <c r="AY272" s="90"/>
      <c r="AZ272" s="89" t="str">
        <f t="shared" si="22"/>
        <v/>
      </c>
      <c r="BA272" s="95"/>
      <c r="BB272" s="88" t="str">
        <f t="shared" si="28"/>
        <v/>
      </c>
      <c r="BC272" s="87"/>
      <c r="BD272" s="89" t="str">
        <f t="shared" si="23"/>
        <v/>
      </c>
      <c r="BE272" s="90"/>
      <c r="BF272" s="89" t="str">
        <f t="shared" si="24"/>
        <v/>
      </c>
      <c r="BG272" s="96"/>
    </row>
    <row r="273">
      <c r="A273" s="87"/>
      <c r="B273" s="87"/>
      <c r="C273" s="87"/>
      <c r="D273" s="87"/>
      <c r="E273" s="87"/>
      <c r="F273" s="87"/>
      <c r="G273" s="87"/>
      <c r="H273" s="88" t="str">
        <f t="shared" si="1"/>
        <v/>
      </c>
      <c r="I273" s="87"/>
      <c r="J273" s="89" t="str">
        <f t="shared" si="2"/>
        <v/>
      </c>
      <c r="K273" s="90"/>
      <c r="L273" s="89" t="str">
        <f t="shared" si="3"/>
        <v/>
      </c>
      <c r="M273" s="89"/>
      <c r="N273" s="93">
        <f t="shared" si="5"/>
        <v>0</v>
      </c>
      <c r="O273" s="94">
        <f t="shared" si="6"/>
        <v>0</v>
      </c>
      <c r="P273" s="87"/>
      <c r="Q273" s="87"/>
      <c r="R273" s="89" t="str">
        <f t="shared" si="7"/>
        <v/>
      </c>
      <c r="S273" s="90"/>
      <c r="T273" s="89" t="str">
        <f t="shared" si="8"/>
        <v/>
      </c>
      <c r="U273" s="95"/>
      <c r="V273" s="87"/>
      <c r="W273" s="87"/>
      <c r="X273" s="89" t="str">
        <f t="shared" si="9"/>
        <v/>
      </c>
      <c r="Y273" s="90"/>
      <c r="Z273" s="89" t="str">
        <f t="shared" si="10"/>
        <v/>
      </c>
      <c r="AA273" s="95"/>
      <c r="AB273" s="88" t="str">
        <f t="shared" si="27"/>
        <v/>
      </c>
      <c r="AC273" s="87"/>
      <c r="AD273" s="89" t="str">
        <f t="shared" si="11"/>
        <v/>
      </c>
      <c r="AE273" s="90"/>
      <c r="AF273" s="89" t="str">
        <f t="shared" si="12"/>
        <v/>
      </c>
      <c r="AG273" s="96"/>
      <c r="AH273" s="88" t="str">
        <f t="shared" si="13"/>
        <v/>
      </c>
      <c r="AI273" s="87"/>
      <c r="AJ273" s="89" t="str">
        <f t="shared" si="14"/>
        <v/>
      </c>
      <c r="AK273" s="90"/>
      <c r="AL273" s="89" t="str">
        <f t="shared" si="15"/>
        <v/>
      </c>
      <c r="AM273" s="89"/>
      <c r="AN273" s="93">
        <f t="shared" si="17"/>
        <v>0</v>
      </c>
      <c r="AO273" s="94">
        <f t="shared" si="18"/>
        <v>0</v>
      </c>
      <c r="AP273" s="87"/>
      <c r="AQ273" s="87"/>
      <c r="AR273" s="89" t="str">
        <f t="shared" si="19"/>
        <v/>
      </c>
      <c r="AS273" s="90"/>
      <c r="AT273" s="89" t="str">
        <f t="shared" si="20"/>
        <v/>
      </c>
      <c r="AU273" s="95"/>
      <c r="AV273" s="87"/>
      <c r="AW273" s="87"/>
      <c r="AX273" s="89" t="str">
        <f t="shared" si="21"/>
        <v/>
      </c>
      <c r="AY273" s="90"/>
      <c r="AZ273" s="89" t="str">
        <f t="shared" si="22"/>
        <v/>
      </c>
      <c r="BA273" s="95"/>
      <c r="BB273" s="88" t="str">
        <f t="shared" si="28"/>
        <v/>
      </c>
      <c r="BC273" s="87"/>
      <c r="BD273" s="89" t="str">
        <f t="shared" si="23"/>
        <v/>
      </c>
      <c r="BE273" s="90"/>
      <c r="BF273" s="89" t="str">
        <f t="shared" si="24"/>
        <v/>
      </c>
      <c r="BG273" s="96"/>
    </row>
    <row r="274">
      <c r="A274" s="87"/>
      <c r="B274" s="87"/>
      <c r="C274" s="87"/>
      <c r="D274" s="87"/>
      <c r="E274" s="87"/>
      <c r="F274" s="87"/>
      <c r="G274" s="87"/>
      <c r="H274" s="88" t="str">
        <f t="shared" si="1"/>
        <v/>
      </c>
      <c r="I274" s="87"/>
      <c r="J274" s="89" t="str">
        <f t="shared" si="2"/>
        <v/>
      </c>
      <c r="K274" s="90"/>
      <c r="L274" s="89" t="str">
        <f t="shared" si="3"/>
        <v/>
      </c>
      <c r="M274" s="89"/>
      <c r="N274" s="93">
        <f t="shared" si="5"/>
        <v>0</v>
      </c>
      <c r="O274" s="94">
        <f t="shared" si="6"/>
        <v>0</v>
      </c>
      <c r="P274" s="87"/>
      <c r="Q274" s="87"/>
      <c r="R274" s="89" t="str">
        <f t="shared" si="7"/>
        <v/>
      </c>
      <c r="S274" s="90"/>
      <c r="T274" s="89" t="str">
        <f t="shared" si="8"/>
        <v/>
      </c>
      <c r="U274" s="95"/>
      <c r="V274" s="87"/>
      <c r="W274" s="87"/>
      <c r="X274" s="89" t="str">
        <f t="shared" si="9"/>
        <v/>
      </c>
      <c r="Y274" s="90"/>
      <c r="Z274" s="89" t="str">
        <f t="shared" si="10"/>
        <v/>
      </c>
      <c r="AA274" s="95"/>
      <c r="AB274" s="88" t="str">
        <f t="shared" si="27"/>
        <v/>
      </c>
      <c r="AC274" s="87"/>
      <c r="AD274" s="89" t="str">
        <f t="shared" si="11"/>
        <v/>
      </c>
      <c r="AE274" s="90"/>
      <c r="AF274" s="89" t="str">
        <f t="shared" si="12"/>
        <v/>
      </c>
      <c r="AG274" s="96"/>
      <c r="AH274" s="88" t="str">
        <f t="shared" si="13"/>
        <v/>
      </c>
      <c r="AI274" s="87"/>
      <c r="AJ274" s="89" t="str">
        <f t="shared" si="14"/>
        <v/>
      </c>
      <c r="AK274" s="90"/>
      <c r="AL274" s="89" t="str">
        <f t="shared" si="15"/>
        <v/>
      </c>
      <c r="AM274" s="89"/>
      <c r="AN274" s="93">
        <f t="shared" si="17"/>
        <v>0</v>
      </c>
      <c r="AO274" s="94">
        <f t="shared" si="18"/>
        <v>0</v>
      </c>
      <c r="AP274" s="87"/>
      <c r="AQ274" s="87"/>
      <c r="AR274" s="89" t="str">
        <f t="shared" si="19"/>
        <v/>
      </c>
      <c r="AS274" s="90"/>
      <c r="AT274" s="89" t="str">
        <f t="shared" si="20"/>
        <v/>
      </c>
      <c r="AU274" s="95"/>
      <c r="AV274" s="87"/>
      <c r="AW274" s="87"/>
      <c r="AX274" s="89" t="str">
        <f t="shared" si="21"/>
        <v/>
      </c>
      <c r="AY274" s="90"/>
      <c r="AZ274" s="89" t="str">
        <f t="shared" si="22"/>
        <v/>
      </c>
      <c r="BA274" s="95"/>
      <c r="BB274" s="88" t="str">
        <f t="shared" si="28"/>
        <v/>
      </c>
      <c r="BC274" s="87"/>
      <c r="BD274" s="89" t="str">
        <f t="shared" si="23"/>
        <v/>
      </c>
      <c r="BE274" s="90"/>
      <c r="BF274" s="89" t="str">
        <f t="shared" si="24"/>
        <v/>
      </c>
      <c r="BG274" s="96"/>
    </row>
    <row r="275">
      <c r="A275" s="87"/>
      <c r="B275" s="87"/>
      <c r="C275" s="87"/>
      <c r="D275" s="87"/>
      <c r="E275" s="87"/>
      <c r="F275" s="87"/>
      <c r="G275" s="87"/>
      <c r="H275" s="88" t="str">
        <f t="shared" si="1"/>
        <v/>
      </c>
      <c r="I275" s="87"/>
      <c r="J275" s="89" t="str">
        <f t="shared" si="2"/>
        <v/>
      </c>
      <c r="K275" s="90"/>
      <c r="L275" s="89" t="str">
        <f t="shared" si="3"/>
        <v/>
      </c>
      <c r="M275" s="89"/>
      <c r="N275" s="93">
        <f t="shared" si="5"/>
        <v>0</v>
      </c>
      <c r="O275" s="94">
        <f t="shared" si="6"/>
        <v>0</v>
      </c>
      <c r="P275" s="87"/>
      <c r="Q275" s="87"/>
      <c r="R275" s="89" t="str">
        <f t="shared" si="7"/>
        <v/>
      </c>
      <c r="S275" s="90"/>
      <c r="T275" s="89" t="str">
        <f t="shared" si="8"/>
        <v/>
      </c>
      <c r="U275" s="95"/>
      <c r="V275" s="87"/>
      <c r="W275" s="87"/>
      <c r="X275" s="89" t="str">
        <f t="shared" si="9"/>
        <v/>
      </c>
      <c r="Y275" s="90"/>
      <c r="Z275" s="89" t="str">
        <f t="shared" si="10"/>
        <v/>
      </c>
      <c r="AA275" s="95"/>
      <c r="AB275" s="88" t="str">
        <f t="shared" si="27"/>
        <v/>
      </c>
      <c r="AC275" s="87"/>
      <c r="AD275" s="89" t="str">
        <f t="shared" si="11"/>
        <v/>
      </c>
      <c r="AE275" s="90"/>
      <c r="AF275" s="89" t="str">
        <f t="shared" si="12"/>
        <v/>
      </c>
      <c r="AG275" s="96"/>
      <c r="AH275" s="88" t="str">
        <f t="shared" si="13"/>
        <v/>
      </c>
      <c r="AI275" s="87"/>
      <c r="AJ275" s="89" t="str">
        <f t="shared" si="14"/>
        <v/>
      </c>
      <c r="AK275" s="90"/>
      <c r="AL275" s="89" t="str">
        <f t="shared" si="15"/>
        <v/>
      </c>
      <c r="AM275" s="89"/>
      <c r="AN275" s="93">
        <f t="shared" si="17"/>
        <v>0</v>
      </c>
      <c r="AO275" s="94">
        <f t="shared" si="18"/>
        <v>0</v>
      </c>
      <c r="AP275" s="87"/>
      <c r="AQ275" s="87"/>
      <c r="AR275" s="89" t="str">
        <f t="shared" si="19"/>
        <v/>
      </c>
      <c r="AS275" s="90"/>
      <c r="AT275" s="89" t="str">
        <f t="shared" si="20"/>
        <v/>
      </c>
      <c r="AU275" s="95"/>
      <c r="AV275" s="87"/>
      <c r="AW275" s="87"/>
      <c r="AX275" s="89" t="str">
        <f t="shared" si="21"/>
        <v/>
      </c>
      <c r="AY275" s="90"/>
      <c r="AZ275" s="89" t="str">
        <f t="shared" si="22"/>
        <v/>
      </c>
      <c r="BA275" s="95"/>
      <c r="BB275" s="88" t="str">
        <f t="shared" si="28"/>
        <v/>
      </c>
      <c r="BC275" s="87"/>
      <c r="BD275" s="89" t="str">
        <f t="shared" si="23"/>
        <v/>
      </c>
      <c r="BE275" s="90"/>
      <c r="BF275" s="89" t="str">
        <f t="shared" si="24"/>
        <v/>
      </c>
      <c r="BG275" s="96"/>
    </row>
    <row r="276">
      <c r="A276" s="87"/>
      <c r="B276" s="87"/>
      <c r="C276" s="87"/>
      <c r="D276" s="87"/>
      <c r="E276" s="87"/>
      <c r="F276" s="87"/>
      <c r="G276" s="87"/>
      <c r="H276" s="88" t="str">
        <f t="shared" si="1"/>
        <v/>
      </c>
      <c r="I276" s="87"/>
      <c r="J276" s="89" t="str">
        <f t="shared" si="2"/>
        <v/>
      </c>
      <c r="K276" s="90"/>
      <c r="L276" s="89" t="str">
        <f t="shared" si="3"/>
        <v/>
      </c>
      <c r="M276" s="89"/>
      <c r="N276" s="93">
        <f t="shared" si="5"/>
        <v>0</v>
      </c>
      <c r="O276" s="94">
        <f t="shared" si="6"/>
        <v>0</v>
      </c>
      <c r="P276" s="87"/>
      <c r="Q276" s="87"/>
      <c r="R276" s="89" t="str">
        <f t="shared" si="7"/>
        <v/>
      </c>
      <c r="S276" s="90"/>
      <c r="T276" s="89" t="str">
        <f t="shared" si="8"/>
        <v/>
      </c>
      <c r="U276" s="95"/>
      <c r="V276" s="87"/>
      <c r="W276" s="87"/>
      <c r="X276" s="89" t="str">
        <f t="shared" si="9"/>
        <v/>
      </c>
      <c r="Y276" s="90"/>
      <c r="Z276" s="89" t="str">
        <f t="shared" si="10"/>
        <v/>
      </c>
      <c r="AA276" s="95"/>
      <c r="AB276" s="88" t="str">
        <f t="shared" si="27"/>
        <v/>
      </c>
      <c r="AC276" s="87"/>
      <c r="AD276" s="89" t="str">
        <f t="shared" si="11"/>
        <v/>
      </c>
      <c r="AE276" s="90"/>
      <c r="AF276" s="89" t="str">
        <f t="shared" si="12"/>
        <v/>
      </c>
      <c r="AG276" s="96"/>
      <c r="AH276" s="88" t="str">
        <f t="shared" si="13"/>
        <v/>
      </c>
      <c r="AI276" s="87"/>
      <c r="AJ276" s="89" t="str">
        <f t="shared" si="14"/>
        <v/>
      </c>
      <c r="AK276" s="90"/>
      <c r="AL276" s="89" t="str">
        <f t="shared" si="15"/>
        <v/>
      </c>
      <c r="AM276" s="89"/>
      <c r="AN276" s="93">
        <f t="shared" si="17"/>
        <v>0</v>
      </c>
      <c r="AO276" s="94">
        <f t="shared" si="18"/>
        <v>0</v>
      </c>
      <c r="AP276" s="87"/>
      <c r="AQ276" s="87"/>
      <c r="AR276" s="89" t="str">
        <f t="shared" si="19"/>
        <v/>
      </c>
      <c r="AS276" s="90"/>
      <c r="AT276" s="89" t="str">
        <f t="shared" si="20"/>
        <v/>
      </c>
      <c r="AU276" s="95"/>
      <c r="AV276" s="87"/>
      <c r="AW276" s="87"/>
      <c r="AX276" s="89" t="str">
        <f t="shared" si="21"/>
        <v/>
      </c>
      <c r="AY276" s="90"/>
      <c r="AZ276" s="89" t="str">
        <f t="shared" si="22"/>
        <v/>
      </c>
      <c r="BA276" s="95"/>
      <c r="BB276" s="88" t="str">
        <f t="shared" si="28"/>
        <v/>
      </c>
      <c r="BC276" s="87"/>
      <c r="BD276" s="89" t="str">
        <f t="shared" si="23"/>
        <v/>
      </c>
      <c r="BE276" s="90"/>
      <c r="BF276" s="89" t="str">
        <f t="shared" si="24"/>
        <v/>
      </c>
      <c r="BG276" s="96"/>
    </row>
    <row r="277">
      <c r="A277" s="87"/>
      <c r="B277" s="87"/>
      <c r="C277" s="87"/>
      <c r="D277" s="87"/>
      <c r="E277" s="87"/>
      <c r="F277" s="87"/>
      <c r="G277" s="87"/>
      <c r="H277" s="88" t="str">
        <f t="shared" si="1"/>
        <v/>
      </c>
      <c r="I277" s="87"/>
      <c r="J277" s="89" t="str">
        <f t="shared" si="2"/>
        <v/>
      </c>
      <c r="K277" s="90"/>
      <c r="L277" s="89" t="str">
        <f t="shared" si="3"/>
        <v/>
      </c>
      <c r="M277" s="89"/>
      <c r="N277" s="93">
        <f t="shared" si="5"/>
        <v>0</v>
      </c>
      <c r="O277" s="94">
        <f t="shared" si="6"/>
        <v>0</v>
      </c>
      <c r="P277" s="87"/>
      <c r="Q277" s="87"/>
      <c r="R277" s="89" t="str">
        <f t="shared" si="7"/>
        <v/>
      </c>
      <c r="S277" s="90"/>
      <c r="T277" s="89" t="str">
        <f t="shared" si="8"/>
        <v/>
      </c>
      <c r="U277" s="95"/>
      <c r="V277" s="87"/>
      <c r="W277" s="87"/>
      <c r="X277" s="89" t="str">
        <f t="shared" si="9"/>
        <v/>
      </c>
      <c r="Y277" s="90"/>
      <c r="Z277" s="89" t="str">
        <f t="shared" si="10"/>
        <v/>
      </c>
      <c r="AA277" s="95"/>
      <c r="AB277" s="88" t="str">
        <f t="shared" si="27"/>
        <v/>
      </c>
      <c r="AC277" s="87"/>
      <c r="AD277" s="89" t="str">
        <f t="shared" si="11"/>
        <v/>
      </c>
      <c r="AE277" s="90"/>
      <c r="AF277" s="89" t="str">
        <f t="shared" si="12"/>
        <v/>
      </c>
      <c r="AG277" s="96"/>
      <c r="AH277" s="88" t="str">
        <f t="shared" si="13"/>
        <v/>
      </c>
      <c r="AI277" s="87"/>
      <c r="AJ277" s="89" t="str">
        <f t="shared" si="14"/>
        <v/>
      </c>
      <c r="AK277" s="90"/>
      <c r="AL277" s="89" t="str">
        <f t="shared" si="15"/>
        <v/>
      </c>
      <c r="AM277" s="89"/>
      <c r="AN277" s="93">
        <f t="shared" si="17"/>
        <v>0</v>
      </c>
      <c r="AO277" s="94">
        <f t="shared" si="18"/>
        <v>0</v>
      </c>
      <c r="AP277" s="87"/>
      <c r="AQ277" s="87"/>
      <c r="AR277" s="89" t="str">
        <f t="shared" si="19"/>
        <v/>
      </c>
      <c r="AS277" s="90"/>
      <c r="AT277" s="89" t="str">
        <f t="shared" si="20"/>
        <v/>
      </c>
      <c r="AU277" s="95"/>
      <c r="AV277" s="87"/>
      <c r="AW277" s="87"/>
      <c r="AX277" s="89" t="str">
        <f t="shared" si="21"/>
        <v/>
      </c>
      <c r="AY277" s="90"/>
      <c r="AZ277" s="89" t="str">
        <f t="shared" si="22"/>
        <v/>
      </c>
      <c r="BA277" s="95"/>
      <c r="BB277" s="88" t="str">
        <f t="shared" si="28"/>
        <v/>
      </c>
      <c r="BC277" s="87"/>
      <c r="BD277" s="89" t="str">
        <f t="shared" si="23"/>
        <v/>
      </c>
      <c r="BE277" s="90"/>
      <c r="BF277" s="89" t="str">
        <f t="shared" si="24"/>
        <v/>
      </c>
      <c r="BG277" s="96"/>
    </row>
    <row r="278">
      <c r="A278" s="87"/>
      <c r="B278" s="87"/>
      <c r="C278" s="87"/>
      <c r="D278" s="87"/>
      <c r="E278" s="87"/>
      <c r="F278" s="87"/>
      <c r="G278" s="87"/>
      <c r="H278" s="88" t="str">
        <f t="shared" si="1"/>
        <v/>
      </c>
      <c r="I278" s="87"/>
      <c r="J278" s="89" t="str">
        <f t="shared" si="2"/>
        <v/>
      </c>
      <c r="K278" s="90"/>
      <c r="L278" s="89" t="str">
        <f t="shared" si="3"/>
        <v/>
      </c>
      <c r="M278" s="89"/>
      <c r="N278" s="93">
        <f t="shared" si="5"/>
        <v>0</v>
      </c>
      <c r="O278" s="94">
        <f t="shared" si="6"/>
        <v>0</v>
      </c>
      <c r="P278" s="87"/>
      <c r="Q278" s="87"/>
      <c r="R278" s="89" t="str">
        <f t="shared" si="7"/>
        <v/>
      </c>
      <c r="S278" s="90"/>
      <c r="T278" s="89" t="str">
        <f t="shared" si="8"/>
        <v/>
      </c>
      <c r="U278" s="95"/>
      <c r="V278" s="87"/>
      <c r="W278" s="87"/>
      <c r="X278" s="89" t="str">
        <f t="shared" si="9"/>
        <v/>
      </c>
      <c r="Y278" s="90"/>
      <c r="Z278" s="89" t="str">
        <f t="shared" si="10"/>
        <v/>
      </c>
      <c r="AA278" s="95"/>
      <c r="AB278" s="88" t="str">
        <f t="shared" si="27"/>
        <v/>
      </c>
      <c r="AC278" s="87"/>
      <c r="AD278" s="89" t="str">
        <f t="shared" si="11"/>
        <v/>
      </c>
      <c r="AE278" s="90"/>
      <c r="AF278" s="89" t="str">
        <f t="shared" si="12"/>
        <v/>
      </c>
      <c r="AG278" s="96"/>
      <c r="AH278" s="88" t="str">
        <f t="shared" si="13"/>
        <v/>
      </c>
      <c r="AI278" s="87"/>
      <c r="AJ278" s="89" t="str">
        <f t="shared" si="14"/>
        <v/>
      </c>
      <c r="AK278" s="90"/>
      <c r="AL278" s="89" t="str">
        <f t="shared" si="15"/>
        <v/>
      </c>
      <c r="AM278" s="89"/>
      <c r="AN278" s="93">
        <f t="shared" si="17"/>
        <v>0</v>
      </c>
      <c r="AO278" s="94">
        <f t="shared" si="18"/>
        <v>0</v>
      </c>
      <c r="AP278" s="87"/>
      <c r="AQ278" s="87"/>
      <c r="AR278" s="89" t="str">
        <f t="shared" si="19"/>
        <v/>
      </c>
      <c r="AS278" s="90"/>
      <c r="AT278" s="89" t="str">
        <f t="shared" si="20"/>
        <v/>
      </c>
      <c r="AU278" s="95"/>
      <c r="AV278" s="87"/>
      <c r="AW278" s="87"/>
      <c r="AX278" s="89" t="str">
        <f t="shared" si="21"/>
        <v/>
      </c>
      <c r="AY278" s="90"/>
      <c r="AZ278" s="89" t="str">
        <f t="shared" si="22"/>
        <v/>
      </c>
      <c r="BA278" s="95"/>
      <c r="BB278" s="88" t="str">
        <f t="shared" si="28"/>
        <v/>
      </c>
      <c r="BC278" s="87"/>
      <c r="BD278" s="89" t="str">
        <f t="shared" si="23"/>
        <v/>
      </c>
      <c r="BE278" s="90"/>
      <c r="BF278" s="89" t="str">
        <f t="shared" si="24"/>
        <v/>
      </c>
      <c r="BG278" s="96"/>
    </row>
    <row r="279">
      <c r="A279" s="87"/>
      <c r="B279" s="87"/>
      <c r="C279" s="87"/>
      <c r="D279" s="87"/>
      <c r="E279" s="87"/>
      <c r="F279" s="87"/>
      <c r="G279" s="87"/>
      <c r="H279" s="88" t="str">
        <f t="shared" si="1"/>
        <v/>
      </c>
      <c r="I279" s="87"/>
      <c r="J279" s="89" t="str">
        <f t="shared" si="2"/>
        <v/>
      </c>
      <c r="K279" s="90"/>
      <c r="L279" s="89" t="str">
        <f t="shared" si="3"/>
        <v/>
      </c>
      <c r="M279" s="89"/>
      <c r="N279" s="93">
        <f t="shared" si="5"/>
        <v>0</v>
      </c>
      <c r="O279" s="94">
        <f t="shared" si="6"/>
        <v>0</v>
      </c>
      <c r="P279" s="87"/>
      <c r="Q279" s="87"/>
      <c r="R279" s="89" t="str">
        <f t="shared" si="7"/>
        <v/>
      </c>
      <c r="S279" s="90"/>
      <c r="T279" s="89" t="str">
        <f t="shared" si="8"/>
        <v/>
      </c>
      <c r="U279" s="95"/>
      <c r="V279" s="87"/>
      <c r="W279" s="87"/>
      <c r="X279" s="89" t="str">
        <f t="shared" si="9"/>
        <v/>
      </c>
      <c r="Y279" s="90"/>
      <c r="Z279" s="89" t="str">
        <f t="shared" si="10"/>
        <v/>
      </c>
      <c r="AA279" s="95"/>
      <c r="AB279" s="88" t="str">
        <f t="shared" si="27"/>
        <v/>
      </c>
      <c r="AC279" s="87"/>
      <c r="AD279" s="89" t="str">
        <f t="shared" si="11"/>
        <v/>
      </c>
      <c r="AE279" s="90"/>
      <c r="AF279" s="89" t="str">
        <f t="shared" si="12"/>
        <v/>
      </c>
      <c r="AG279" s="96"/>
      <c r="AH279" s="88" t="str">
        <f t="shared" si="13"/>
        <v/>
      </c>
      <c r="AI279" s="87"/>
      <c r="AJ279" s="89" t="str">
        <f t="shared" si="14"/>
        <v/>
      </c>
      <c r="AK279" s="90"/>
      <c r="AL279" s="89" t="str">
        <f t="shared" si="15"/>
        <v/>
      </c>
      <c r="AM279" s="89"/>
      <c r="AN279" s="93">
        <f t="shared" si="17"/>
        <v>0</v>
      </c>
      <c r="AO279" s="94">
        <f t="shared" si="18"/>
        <v>0</v>
      </c>
      <c r="AP279" s="87"/>
      <c r="AQ279" s="87"/>
      <c r="AR279" s="89" t="str">
        <f t="shared" si="19"/>
        <v/>
      </c>
      <c r="AS279" s="90"/>
      <c r="AT279" s="89" t="str">
        <f t="shared" si="20"/>
        <v/>
      </c>
      <c r="AU279" s="95"/>
      <c r="AV279" s="87"/>
      <c r="AW279" s="87"/>
      <c r="AX279" s="89" t="str">
        <f t="shared" si="21"/>
        <v/>
      </c>
      <c r="AY279" s="90"/>
      <c r="AZ279" s="89" t="str">
        <f t="shared" si="22"/>
        <v/>
      </c>
      <c r="BA279" s="95"/>
      <c r="BB279" s="88" t="str">
        <f t="shared" si="28"/>
        <v/>
      </c>
      <c r="BC279" s="87"/>
      <c r="BD279" s="89" t="str">
        <f t="shared" si="23"/>
        <v/>
      </c>
      <c r="BE279" s="90"/>
      <c r="BF279" s="89" t="str">
        <f t="shared" si="24"/>
        <v/>
      </c>
      <c r="BG279" s="96"/>
    </row>
    <row r="280">
      <c r="A280" s="87"/>
      <c r="B280" s="87"/>
      <c r="C280" s="87"/>
      <c r="D280" s="87"/>
      <c r="E280" s="87"/>
      <c r="F280" s="87"/>
      <c r="G280" s="87"/>
      <c r="H280" s="88" t="str">
        <f t="shared" si="1"/>
        <v/>
      </c>
      <c r="I280" s="87"/>
      <c r="J280" s="89" t="str">
        <f t="shared" si="2"/>
        <v/>
      </c>
      <c r="K280" s="90"/>
      <c r="L280" s="89" t="str">
        <f t="shared" si="3"/>
        <v/>
      </c>
      <c r="M280" s="89"/>
      <c r="N280" s="93">
        <f t="shared" si="5"/>
        <v>0</v>
      </c>
      <c r="O280" s="94">
        <f t="shared" si="6"/>
        <v>0</v>
      </c>
      <c r="P280" s="87"/>
      <c r="Q280" s="87"/>
      <c r="R280" s="89" t="str">
        <f t="shared" si="7"/>
        <v/>
      </c>
      <c r="S280" s="90"/>
      <c r="T280" s="89" t="str">
        <f t="shared" si="8"/>
        <v/>
      </c>
      <c r="U280" s="95"/>
      <c r="V280" s="87"/>
      <c r="W280" s="87"/>
      <c r="X280" s="89" t="str">
        <f t="shared" si="9"/>
        <v/>
      </c>
      <c r="Y280" s="90"/>
      <c r="Z280" s="89" t="str">
        <f t="shared" si="10"/>
        <v/>
      </c>
      <c r="AA280" s="95"/>
      <c r="AB280" s="88" t="str">
        <f t="shared" si="27"/>
        <v/>
      </c>
      <c r="AC280" s="87"/>
      <c r="AD280" s="89" t="str">
        <f t="shared" si="11"/>
        <v/>
      </c>
      <c r="AE280" s="90"/>
      <c r="AF280" s="89" t="str">
        <f t="shared" si="12"/>
        <v/>
      </c>
      <c r="AG280" s="96"/>
      <c r="AH280" s="88" t="str">
        <f t="shared" si="13"/>
        <v/>
      </c>
      <c r="AI280" s="87"/>
      <c r="AJ280" s="89" t="str">
        <f t="shared" si="14"/>
        <v/>
      </c>
      <c r="AK280" s="90"/>
      <c r="AL280" s="89" t="str">
        <f t="shared" si="15"/>
        <v/>
      </c>
      <c r="AM280" s="89"/>
      <c r="AN280" s="93">
        <f t="shared" si="17"/>
        <v>0</v>
      </c>
      <c r="AO280" s="94">
        <f t="shared" si="18"/>
        <v>0</v>
      </c>
      <c r="AP280" s="87"/>
      <c r="AQ280" s="87"/>
      <c r="AR280" s="89" t="str">
        <f t="shared" si="19"/>
        <v/>
      </c>
      <c r="AS280" s="90"/>
      <c r="AT280" s="89" t="str">
        <f t="shared" si="20"/>
        <v/>
      </c>
      <c r="AU280" s="95"/>
      <c r="AV280" s="87"/>
      <c r="AW280" s="87"/>
      <c r="AX280" s="89" t="str">
        <f t="shared" si="21"/>
        <v/>
      </c>
      <c r="AY280" s="90"/>
      <c r="AZ280" s="89" t="str">
        <f t="shared" si="22"/>
        <v/>
      </c>
      <c r="BA280" s="95"/>
      <c r="BB280" s="88" t="str">
        <f t="shared" si="28"/>
        <v/>
      </c>
      <c r="BC280" s="87"/>
      <c r="BD280" s="89" t="str">
        <f t="shared" si="23"/>
        <v/>
      </c>
      <c r="BE280" s="90"/>
      <c r="BF280" s="89" t="str">
        <f t="shared" si="24"/>
        <v/>
      </c>
      <c r="BG280" s="96"/>
    </row>
    <row r="281">
      <c r="A281" s="87"/>
      <c r="B281" s="87"/>
      <c r="C281" s="87"/>
      <c r="D281" s="87"/>
      <c r="E281" s="87"/>
      <c r="F281" s="87"/>
      <c r="G281" s="87"/>
      <c r="H281" s="88" t="str">
        <f t="shared" si="1"/>
        <v/>
      </c>
      <c r="I281" s="87"/>
      <c r="J281" s="89" t="str">
        <f t="shared" si="2"/>
        <v/>
      </c>
      <c r="K281" s="90"/>
      <c r="L281" s="89" t="str">
        <f t="shared" si="3"/>
        <v/>
      </c>
      <c r="M281" s="89"/>
      <c r="N281" s="93">
        <f t="shared" si="5"/>
        <v>0</v>
      </c>
      <c r="O281" s="94">
        <f t="shared" si="6"/>
        <v>0</v>
      </c>
      <c r="P281" s="87"/>
      <c r="Q281" s="87"/>
      <c r="R281" s="89" t="str">
        <f t="shared" si="7"/>
        <v/>
      </c>
      <c r="S281" s="90"/>
      <c r="T281" s="89" t="str">
        <f t="shared" si="8"/>
        <v/>
      </c>
      <c r="U281" s="95"/>
      <c r="V281" s="87"/>
      <c r="W281" s="87"/>
      <c r="X281" s="89" t="str">
        <f t="shared" si="9"/>
        <v/>
      </c>
      <c r="Y281" s="90"/>
      <c r="Z281" s="89" t="str">
        <f t="shared" si="10"/>
        <v/>
      </c>
      <c r="AA281" s="95"/>
      <c r="AB281" s="88" t="str">
        <f t="shared" si="27"/>
        <v/>
      </c>
      <c r="AC281" s="87"/>
      <c r="AD281" s="89" t="str">
        <f t="shared" si="11"/>
        <v/>
      </c>
      <c r="AE281" s="90"/>
      <c r="AF281" s="89" t="str">
        <f t="shared" si="12"/>
        <v/>
      </c>
      <c r="AG281" s="96"/>
      <c r="AH281" s="88" t="str">
        <f t="shared" si="13"/>
        <v/>
      </c>
      <c r="AI281" s="87"/>
      <c r="AJ281" s="89" t="str">
        <f t="shared" si="14"/>
        <v/>
      </c>
      <c r="AK281" s="90"/>
      <c r="AL281" s="89" t="str">
        <f t="shared" si="15"/>
        <v/>
      </c>
      <c r="AM281" s="89"/>
      <c r="AN281" s="93">
        <f t="shared" si="17"/>
        <v>0</v>
      </c>
      <c r="AO281" s="94">
        <f t="shared" si="18"/>
        <v>0</v>
      </c>
      <c r="AP281" s="87"/>
      <c r="AQ281" s="87"/>
      <c r="AR281" s="89" t="str">
        <f t="shared" si="19"/>
        <v/>
      </c>
      <c r="AS281" s="90"/>
      <c r="AT281" s="89" t="str">
        <f t="shared" si="20"/>
        <v/>
      </c>
      <c r="AU281" s="95"/>
      <c r="AV281" s="87"/>
      <c r="AW281" s="87"/>
      <c r="AX281" s="89" t="str">
        <f t="shared" si="21"/>
        <v/>
      </c>
      <c r="AY281" s="90"/>
      <c r="AZ281" s="89" t="str">
        <f t="shared" si="22"/>
        <v/>
      </c>
      <c r="BA281" s="95"/>
      <c r="BB281" s="88" t="str">
        <f t="shared" si="28"/>
        <v/>
      </c>
      <c r="BC281" s="87"/>
      <c r="BD281" s="89" t="str">
        <f t="shared" si="23"/>
        <v/>
      </c>
      <c r="BE281" s="90"/>
      <c r="BF281" s="89" t="str">
        <f t="shared" si="24"/>
        <v/>
      </c>
      <c r="BG281" s="96"/>
    </row>
    <row r="282">
      <c r="A282" s="87"/>
      <c r="B282" s="87"/>
      <c r="C282" s="87"/>
      <c r="D282" s="87"/>
      <c r="E282" s="87"/>
      <c r="F282" s="87"/>
      <c r="G282" s="87"/>
      <c r="H282" s="88" t="str">
        <f t="shared" si="1"/>
        <v/>
      </c>
      <c r="I282" s="87"/>
      <c r="J282" s="89" t="str">
        <f t="shared" si="2"/>
        <v/>
      </c>
      <c r="K282" s="90"/>
      <c r="L282" s="89" t="str">
        <f t="shared" si="3"/>
        <v/>
      </c>
      <c r="M282" s="89"/>
      <c r="N282" s="93">
        <f t="shared" si="5"/>
        <v>0</v>
      </c>
      <c r="O282" s="94">
        <f t="shared" si="6"/>
        <v>0</v>
      </c>
      <c r="P282" s="87"/>
      <c r="Q282" s="87"/>
      <c r="R282" s="89" t="str">
        <f t="shared" si="7"/>
        <v/>
      </c>
      <c r="S282" s="90"/>
      <c r="T282" s="89" t="str">
        <f t="shared" si="8"/>
        <v/>
      </c>
      <c r="U282" s="95"/>
      <c r="V282" s="87"/>
      <c r="W282" s="87"/>
      <c r="X282" s="89" t="str">
        <f t="shared" si="9"/>
        <v/>
      </c>
      <c r="Y282" s="90"/>
      <c r="Z282" s="89" t="str">
        <f t="shared" si="10"/>
        <v/>
      </c>
      <c r="AA282" s="95"/>
      <c r="AB282" s="88" t="str">
        <f t="shared" si="27"/>
        <v/>
      </c>
      <c r="AC282" s="87"/>
      <c r="AD282" s="89" t="str">
        <f t="shared" si="11"/>
        <v/>
      </c>
      <c r="AE282" s="90"/>
      <c r="AF282" s="89" t="str">
        <f t="shared" si="12"/>
        <v/>
      </c>
      <c r="AG282" s="96"/>
      <c r="AH282" s="88" t="str">
        <f t="shared" si="13"/>
        <v/>
      </c>
      <c r="AI282" s="87"/>
      <c r="AJ282" s="89" t="str">
        <f t="shared" si="14"/>
        <v/>
      </c>
      <c r="AK282" s="90"/>
      <c r="AL282" s="89" t="str">
        <f t="shared" si="15"/>
        <v/>
      </c>
      <c r="AM282" s="89"/>
      <c r="AN282" s="93">
        <f t="shared" si="17"/>
        <v>0</v>
      </c>
      <c r="AO282" s="94">
        <f t="shared" si="18"/>
        <v>0</v>
      </c>
      <c r="AP282" s="87"/>
      <c r="AQ282" s="87"/>
      <c r="AR282" s="89" t="str">
        <f t="shared" si="19"/>
        <v/>
      </c>
      <c r="AS282" s="90"/>
      <c r="AT282" s="89" t="str">
        <f t="shared" si="20"/>
        <v/>
      </c>
      <c r="AU282" s="95"/>
      <c r="AV282" s="87"/>
      <c r="AW282" s="87"/>
      <c r="AX282" s="89" t="str">
        <f t="shared" si="21"/>
        <v/>
      </c>
      <c r="AY282" s="90"/>
      <c r="AZ282" s="89" t="str">
        <f t="shared" si="22"/>
        <v/>
      </c>
      <c r="BA282" s="95"/>
      <c r="BB282" s="88" t="str">
        <f t="shared" si="28"/>
        <v/>
      </c>
      <c r="BC282" s="87"/>
      <c r="BD282" s="89" t="str">
        <f t="shared" si="23"/>
        <v/>
      </c>
      <c r="BE282" s="90"/>
      <c r="BF282" s="89" t="str">
        <f t="shared" si="24"/>
        <v/>
      </c>
      <c r="BG282" s="96"/>
    </row>
    <row r="283">
      <c r="A283" s="87"/>
      <c r="B283" s="87"/>
      <c r="C283" s="87"/>
      <c r="D283" s="87"/>
      <c r="E283" s="87"/>
      <c r="F283" s="87"/>
      <c r="G283" s="87"/>
      <c r="H283" s="88" t="str">
        <f t="shared" si="1"/>
        <v/>
      </c>
      <c r="I283" s="87"/>
      <c r="J283" s="89" t="str">
        <f t="shared" si="2"/>
        <v/>
      </c>
      <c r="K283" s="90"/>
      <c r="L283" s="89" t="str">
        <f t="shared" si="3"/>
        <v/>
      </c>
      <c r="M283" s="89"/>
      <c r="N283" s="93">
        <f t="shared" si="5"/>
        <v>0</v>
      </c>
      <c r="O283" s="94">
        <f t="shared" si="6"/>
        <v>0</v>
      </c>
      <c r="P283" s="87"/>
      <c r="Q283" s="87"/>
      <c r="R283" s="89" t="str">
        <f t="shared" si="7"/>
        <v/>
      </c>
      <c r="S283" s="90"/>
      <c r="T283" s="89" t="str">
        <f t="shared" si="8"/>
        <v/>
      </c>
      <c r="U283" s="95"/>
      <c r="V283" s="87"/>
      <c r="W283" s="87"/>
      <c r="X283" s="89" t="str">
        <f t="shared" si="9"/>
        <v/>
      </c>
      <c r="Y283" s="90"/>
      <c r="Z283" s="89" t="str">
        <f t="shared" si="10"/>
        <v/>
      </c>
      <c r="AA283" s="95"/>
      <c r="AB283" s="88" t="str">
        <f t="shared" si="27"/>
        <v/>
      </c>
      <c r="AC283" s="87"/>
      <c r="AD283" s="89" t="str">
        <f t="shared" si="11"/>
        <v/>
      </c>
      <c r="AE283" s="90"/>
      <c r="AF283" s="89" t="str">
        <f t="shared" si="12"/>
        <v/>
      </c>
      <c r="AG283" s="96"/>
      <c r="AH283" s="88" t="str">
        <f t="shared" si="13"/>
        <v/>
      </c>
      <c r="AI283" s="87"/>
      <c r="AJ283" s="89" t="str">
        <f t="shared" si="14"/>
        <v/>
      </c>
      <c r="AK283" s="90"/>
      <c r="AL283" s="89" t="str">
        <f t="shared" si="15"/>
        <v/>
      </c>
      <c r="AM283" s="89"/>
      <c r="AN283" s="93">
        <f t="shared" si="17"/>
        <v>0</v>
      </c>
      <c r="AO283" s="94">
        <f t="shared" si="18"/>
        <v>0</v>
      </c>
      <c r="AP283" s="87"/>
      <c r="AQ283" s="87"/>
      <c r="AR283" s="89" t="str">
        <f t="shared" si="19"/>
        <v/>
      </c>
      <c r="AS283" s="90"/>
      <c r="AT283" s="89" t="str">
        <f t="shared" si="20"/>
        <v/>
      </c>
      <c r="AU283" s="95"/>
      <c r="AV283" s="87"/>
      <c r="AW283" s="87"/>
      <c r="AX283" s="89" t="str">
        <f t="shared" si="21"/>
        <v/>
      </c>
      <c r="AY283" s="90"/>
      <c r="AZ283" s="89" t="str">
        <f t="shared" si="22"/>
        <v/>
      </c>
      <c r="BA283" s="95"/>
      <c r="BB283" s="88" t="str">
        <f t="shared" si="28"/>
        <v/>
      </c>
      <c r="BC283" s="87"/>
      <c r="BD283" s="89" t="str">
        <f t="shared" si="23"/>
        <v/>
      </c>
      <c r="BE283" s="90"/>
      <c r="BF283" s="89" t="str">
        <f t="shared" si="24"/>
        <v/>
      </c>
      <c r="BG283" s="96"/>
    </row>
    <row r="284">
      <c r="A284" s="87"/>
      <c r="B284" s="87"/>
      <c r="C284" s="87"/>
      <c r="D284" s="87"/>
      <c r="E284" s="87"/>
      <c r="F284" s="87"/>
      <c r="G284" s="87"/>
      <c r="H284" s="88" t="str">
        <f t="shared" si="1"/>
        <v/>
      </c>
      <c r="I284" s="87"/>
      <c r="J284" s="89" t="str">
        <f t="shared" si="2"/>
        <v/>
      </c>
      <c r="K284" s="90"/>
      <c r="L284" s="89" t="str">
        <f t="shared" si="3"/>
        <v/>
      </c>
      <c r="M284" s="89"/>
      <c r="N284" s="93">
        <f t="shared" si="5"/>
        <v>0</v>
      </c>
      <c r="O284" s="94">
        <f t="shared" si="6"/>
        <v>0</v>
      </c>
      <c r="P284" s="87"/>
      <c r="Q284" s="87"/>
      <c r="R284" s="89" t="str">
        <f t="shared" si="7"/>
        <v/>
      </c>
      <c r="S284" s="90"/>
      <c r="T284" s="89" t="str">
        <f t="shared" si="8"/>
        <v/>
      </c>
      <c r="U284" s="95"/>
      <c r="V284" s="87"/>
      <c r="W284" s="87"/>
      <c r="X284" s="89" t="str">
        <f t="shared" si="9"/>
        <v/>
      </c>
      <c r="Y284" s="90"/>
      <c r="Z284" s="89" t="str">
        <f t="shared" si="10"/>
        <v/>
      </c>
      <c r="AA284" s="95"/>
      <c r="AB284" s="88" t="str">
        <f t="shared" si="27"/>
        <v/>
      </c>
      <c r="AC284" s="87"/>
      <c r="AD284" s="89" t="str">
        <f t="shared" si="11"/>
        <v/>
      </c>
      <c r="AE284" s="90"/>
      <c r="AF284" s="89" t="str">
        <f t="shared" si="12"/>
        <v/>
      </c>
      <c r="AG284" s="96"/>
      <c r="AH284" s="88" t="str">
        <f t="shared" si="13"/>
        <v/>
      </c>
      <c r="AI284" s="87"/>
      <c r="AJ284" s="89" t="str">
        <f t="shared" si="14"/>
        <v/>
      </c>
      <c r="AK284" s="90"/>
      <c r="AL284" s="89" t="str">
        <f t="shared" si="15"/>
        <v/>
      </c>
      <c r="AM284" s="89"/>
      <c r="AN284" s="93">
        <f t="shared" si="17"/>
        <v>0</v>
      </c>
      <c r="AO284" s="94">
        <f t="shared" si="18"/>
        <v>0</v>
      </c>
      <c r="AP284" s="87"/>
      <c r="AQ284" s="87"/>
      <c r="AR284" s="89" t="str">
        <f t="shared" si="19"/>
        <v/>
      </c>
      <c r="AS284" s="90"/>
      <c r="AT284" s="89" t="str">
        <f t="shared" si="20"/>
        <v/>
      </c>
      <c r="AU284" s="95"/>
      <c r="AV284" s="87"/>
      <c r="AW284" s="87"/>
      <c r="AX284" s="89" t="str">
        <f t="shared" si="21"/>
        <v/>
      </c>
      <c r="AY284" s="90"/>
      <c r="AZ284" s="89" t="str">
        <f t="shared" si="22"/>
        <v/>
      </c>
      <c r="BA284" s="95"/>
      <c r="BB284" s="88" t="str">
        <f t="shared" si="28"/>
        <v/>
      </c>
      <c r="BC284" s="87"/>
      <c r="BD284" s="89" t="str">
        <f t="shared" si="23"/>
        <v/>
      </c>
      <c r="BE284" s="90"/>
      <c r="BF284" s="89" t="str">
        <f t="shared" si="24"/>
        <v/>
      </c>
      <c r="BG284" s="96"/>
    </row>
    <row r="285">
      <c r="A285" s="87"/>
      <c r="B285" s="87"/>
      <c r="C285" s="87"/>
      <c r="D285" s="87"/>
      <c r="E285" s="87"/>
      <c r="F285" s="87"/>
      <c r="G285" s="87"/>
      <c r="H285" s="88" t="str">
        <f t="shared" si="1"/>
        <v/>
      </c>
      <c r="I285" s="87"/>
      <c r="J285" s="89" t="str">
        <f t="shared" si="2"/>
        <v/>
      </c>
      <c r="K285" s="90"/>
      <c r="L285" s="89" t="str">
        <f t="shared" si="3"/>
        <v/>
      </c>
      <c r="M285" s="89"/>
      <c r="N285" s="93">
        <f t="shared" si="5"/>
        <v>0</v>
      </c>
      <c r="O285" s="94">
        <f t="shared" si="6"/>
        <v>0</v>
      </c>
      <c r="P285" s="87"/>
      <c r="Q285" s="87"/>
      <c r="R285" s="89" t="str">
        <f t="shared" si="7"/>
        <v/>
      </c>
      <c r="S285" s="90"/>
      <c r="T285" s="89" t="str">
        <f t="shared" si="8"/>
        <v/>
      </c>
      <c r="U285" s="95"/>
      <c r="V285" s="87"/>
      <c r="W285" s="87"/>
      <c r="X285" s="89" t="str">
        <f t="shared" si="9"/>
        <v/>
      </c>
      <c r="Y285" s="90"/>
      <c r="Z285" s="89" t="str">
        <f t="shared" si="10"/>
        <v/>
      </c>
      <c r="AA285" s="95"/>
      <c r="AB285" s="88" t="str">
        <f t="shared" si="27"/>
        <v/>
      </c>
      <c r="AC285" s="87"/>
      <c r="AD285" s="89" t="str">
        <f t="shared" si="11"/>
        <v/>
      </c>
      <c r="AE285" s="90"/>
      <c r="AF285" s="89" t="str">
        <f t="shared" si="12"/>
        <v/>
      </c>
      <c r="AG285" s="96"/>
      <c r="AH285" s="88" t="str">
        <f t="shared" si="13"/>
        <v/>
      </c>
      <c r="AI285" s="87"/>
      <c r="AJ285" s="89" t="str">
        <f t="shared" si="14"/>
        <v/>
      </c>
      <c r="AK285" s="90"/>
      <c r="AL285" s="89" t="str">
        <f t="shared" si="15"/>
        <v/>
      </c>
      <c r="AM285" s="89"/>
      <c r="AN285" s="93">
        <f t="shared" si="17"/>
        <v>0</v>
      </c>
      <c r="AO285" s="94">
        <f t="shared" si="18"/>
        <v>0</v>
      </c>
      <c r="AP285" s="87"/>
      <c r="AQ285" s="87"/>
      <c r="AR285" s="89" t="str">
        <f t="shared" si="19"/>
        <v/>
      </c>
      <c r="AS285" s="90"/>
      <c r="AT285" s="89" t="str">
        <f t="shared" si="20"/>
        <v/>
      </c>
      <c r="AU285" s="95"/>
      <c r="AV285" s="87"/>
      <c r="AW285" s="87"/>
      <c r="AX285" s="89" t="str">
        <f t="shared" si="21"/>
        <v/>
      </c>
      <c r="AY285" s="90"/>
      <c r="AZ285" s="89" t="str">
        <f t="shared" si="22"/>
        <v/>
      </c>
      <c r="BA285" s="95"/>
      <c r="BB285" s="88" t="str">
        <f t="shared" si="28"/>
        <v/>
      </c>
      <c r="BC285" s="87"/>
      <c r="BD285" s="89" t="str">
        <f t="shared" si="23"/>
        <v/>
      </c>
      <c r="BE285" s="90"/>
      <c r="BF285" s="89" t="str">
        <f t="shared" si="24"/>
        <v/>
      </c>
      <c r="BG285" s="96"/>
    </row>
    <row r="286">
      <c r="A286" s="87"/>
      <c r="B286" s="87"/>
      <c r="C286" s="87"/>
      <c r="D286" s="87"/>
      <c r="E286" s="87"/>
      <c r="F286" s="87"/>
      <c r="G286" s="87"/>
      <c r="H286" s="88" t="str">
        <f t="shared" si="1"/>
        <v/>
      </c>
      <c r="I286" s="87"/>
      <c r="J286" s="89" t="str">
        <f t="shared" si="2"/>
        <v/>
      </c>
      <c r="K286" s="90"/>
      <c r="L286" s="89" t="str">
        <f t="shared" si="3"/>
        <v/>
      </c>
      <c r="M286" s="89"/>
      <c r="N286" s="93">
        <f t="shared" si="5"/>
        <v>0</v>
      </c>
      <c r="O286" s="94">
        <f t="shared" si="6"/>
        <v>0</v>
      </c>
      <c r="P286" s="87"/>
      <c r="Q286" s="87"/>
      <c r="R286" s="89" t="str">
        <f t="shared" si="7"/>
        <v/>
      </c>
      <c r="S286" s="90"/>
      <c r="T286" s="89" t="str">
        <f t="shared" si="8"/>
        <v/>
      </c>
      <c r="U286" s="95"/>
      <c r="V286" s="87"/>
      <c r="W286" s="87"/>
      <c r="X286" s="89" t="str">
        <f t="shared" si="9"/>
        <v/>
      </c>
      <c r="Y286" s="90"/>
      <c r="Z286" s="89" t="str">
        <f t="shared" si="10"/>
        <v/>
      </c>
      <c r="AA286" s="95"/>
      <c r="AB286" s="88" t="str">
        <f t="shared" si="27"/>
        <v/>
      </c>
      <c r="AC286" s="87"/>
      <c r="AD286" s="89" t="str">
        <f t="shared" si="11"/>
        <v/>
      </c>
      <c r="AE286" s="90"/>
      <c r="AF286" s="89" t="str">
        <f t="shared" si="12"/>
        <v/>
      </c>
      <c r="AG286" s="96"/>
      <c r="AH286" s="88" t="str">
        <f t="shared" si="13"/>
        <v/>
      </c>
      <c r="AI286" s="87"/>
      <c r="AJ286" s="89" t="str">
        <f t="shared" si="14"/>
        <v/>
      </c>
      <c r="AK286" s="90"/>
      <c r="AL286" s="89" t="str">
        <f t="shared" si="15"/>
        <v/>
      </c>
      <c r="AM286" s="89"/>
      <c r="AN286" s="93">
        <f t="shared" si="17"/>
        <v>0</v>
      </c>
      <c r="AO286" s="94">
        <f t="shared" si="18"/>
        <v>0</v>
      </c>
      <c r="AP286" s="87"/>
      <c r="AQ286" s="87"/>
      <c r="AR286" s="89" t="str">
        <f t="shared" si="19"/>
        <v/>
      </c>
      <c r="AS286" s="90"/>
      <c r="AT286" s="89" t="str">
        <f t="shared" si="20"/>
        <v/>
      </c>
      <c r="AU286" s="95"/>
      <c r="AV286" s="87"/>
      <c r="AW286" s="87"/>
      <c r="AX286" s="89" t="str">
        <f t="shared" si="21"/>
        <v/>
      </c>
      <c r="AY286" s="90"/>
      <c r="AZ286" s="89" t="str">
        <f t="shared" si="22"/>
        <v/>
      </c>
      <c r="BA286" s="95"/>
      <c r="BB286" s="88" t="str">
        <f t="shared" si="28"/>
        <v/>
      </c>
      <c r="BC286" s="87"/>
      <c r="BD286" s="89" t="str">
        <f t="shared" si="23"/>
        <v/>
      </c>
      <c r="BE286" s="90"/>
      <c r="BF286" s="89" t="str">
        <f t="shared" si="24"/>
        <v/>
      </c>
      <c r="BG286" s="96"/>
    </row>
    <row r="287">
      <c r="A287" s="87"/>
      <c r="B287" s="87"/>
      <c r="C287" s="87"/>
      <c r="D287" s="87"/>
      <c r="E287" s="87"/>
      <c r="F287" s="87"/>
      <c r="G287" s="87"/>
      <c r="H287" s="88" t="str">
        <f t="shared" si="1"/>
        <v/>
      </c>
      <c r="I287" s="87"/>
      <c r="J287" s="89" t="str">
        <f t="shared" si="2"/>
        <v/>
      </c>
      <c r="K287" s="90"/>
      <c r="L287" s="89" t="str">
        <f t="shared" si="3"/>
        <v/>
      </c>
      <c r="M287" s="89"/>
      <c r="N287" s="93">
        <f t="shared" si="5"/>
        <v>0</v>
      </c>
      <c r="O287" s="94">
        <f t="shared" si="6"/>
        <v>0</v>
      </c>
      <c r="P287" s="87"/>
      <c r="Q287" s="87"/>
      <c r="R287" s="89" t="str">
        <f t="shared" si="7"/>
        <v/>
      </c>
      <c r="S287" s="90"/>
      <c r="T287" s="89" t="str">
        <f t="shared" si="8"/>
        <v/>
      </c>
      <c r="U287" s="95"/>
      <c r="V287" s="87"/>
      <c r="W287" s="87"/>
      <c r="X287" s="89" t="str">
        <f t="shared" si="9"/>
        <v/>
      </c>
      <c r="Y287" s="90"/>
      <c r="Z287" s="89" t="str">
        <f t="shared" si="10"/>
        <v/>
      </c>
      <c r="AA287" s="95"/>
      <c r="AB287" s="88" t="str">
        <f t="shared" si="27"/>
        <v/>
      </c>
      <c r="AC287" s="87"/>
      <c r="AD287" s="89" t="str">
        <f t="shared" si="11"/>
        <v/>
      </c>
      <c r="AE287" s="90"/>
      <c r="AF287" s="89" t="str">
        <f t="shared" si="12"/>
        <v/>
      </c>
      <c r="AG287" s="96"/>
      <c r="AH287" s="88" t="str">
        <f t="shared" si="13"/>
        <v/>
      </c>
      <c r="AI287" s="87"/>
      <c r="AJ287" s="89" t="str">
        <f t="shared" si="14"/>
        <v/>
      </c>
      <c r="AK287" s="90"/>
      <c r="AL287" s="89" t="str">
        <f t="shared" si="15"/>
        <v/>
      </c>
      <c r="AM287" s="89"/>
      <c r="AN287" s="93">
        <f t="shared" si="17"/>
        <v>0</v>
      </c>
      <c r="AO287" s="94">
        <f t="shared" si="18"/>
        <v>0</v>
      </c>
      <c r="AP287" s="87"/>
      <c r="AQ287" s="87"/>
      <c r="AR287" s="89" t="str">
        <f t="shared" si="19"/>
        <v/>
      </c>
      <c r="AS287" s="90"/>
      <c r="AT287" s="89" t="str">
        <f t="shared" si="20"/>
        <v/>
      </c>
      <c r="AU287" s="95"/>
      <c r="AV287" s="87"/>
      <c r="AW287" s="87"/>
      <c r="AX287" s="89" t="str">
        <f t="shared" si="21"/>
        <v/>
      </c>
      <c r="AY287" s="90"/>
      <c r="AZ287" s="89" t="str">
        <f t="shared" si="22"/>
        <v/>
      </c>
      <c r="BA287" s="95"/>
      <c r="BB287" s="88" t="str">
        <f t="shared" si="28"/>
        <v/>
      </c>
      <c r="BC287" s="87"/>
      <c r="BD287" s="89" t="str">
        <f t="shared" si="23"/>
        <v/>
      </c>
      <c r="BE287" s="90"/>
      <c r="BF287" s="89" t="str">
        <f t="shared" si="24"/>
        <v/>
      </c>
      <c r="BG287" s="96"/>
    </row>
    <row r="288">
      <c r="A288" s="87"/>
      <c r="B288" s="87"/>
      <c r="C288" s="87"/>
      <c r="D288" s="87"/>
      <c r="E288" s="87"/>
      <c r="F288" s="87"/>
      <c r="G288" s="87"/>
      <c r="H288" s="88" t="str">
        <f t="shared" si="1"/>
        <v/>
      </c>
      <c r="I288" s="87"/>
      <c r="J288" s="89" t="str">
        <f t="shared" si="2"/>
        <v/>
      </c>
      <c r="K288" s="90"/>
      <c r="L288" s="89" t="str">
        <f t="shared" si="3"/>
        <v/>
      </c>
      <c r="M288" s="89"/>
      <c r="N288" s="93">
        <f t="shared" si="5"/>
        <v>0</v>
      </c>
      <c r="O288" s="94">
        <f t="shared" si="6"/>
        <v>0</v>
      </c>
      <c r="P288" s="87"/>
      <c r="Q288" s="87"/>
      <c r="R288" s="89" t="str">
        <f t="shared" si="7"/>
        <v/>
      </c>
      <c r="S288" s="90"/>
      <c r="T288" s="89" t="str">
        <f t="shared" si="8"/>
        <v/>
      </c>
      <c r="U288" s="95"/>
      <c r="V288" s="87"/>
      <c r="W288" s="87"/>
      <c r="X288" s="89" t="str">
        <f t="shared" si="9"/>
        <v/>
      </c>
      <c r="Y288" s="90"/>
      <c r="Z288" s="89" t="str">
        <f t="shared" si="10"/>
        <v/>
      </c>
      <c r="AA288" s="95"/>
      <c r="AB288" s="88" t="str">
        <f t="shared" si="27"/>
        <v/>
      </c>
      <c r="AC288" s="87"/>
      <c r="AD288" s="89" t="str">
        <f t="shared" si="11"/>
        <v/>
      </c>
      <c r="AE288" s="90"/>
      <c r="AF288" s="89" t="str">
        <f t="shared" si="12"/>
        <v/>
      </c>
      <c r="AG288" s="96"/>
      <c r="AH288" s="88" t="str">
        <f t="shared" si="13"/>
        <v/>
      </c>
      <c r="AI288" s="87"/>
      <c r="AJ288" s="89" t="str">
        <f t="shared" si="14"/>
        <v/>
      </c>
      <c r="AK288" s="90"/>
      <c r="AL288" s="89" t="str">
        <f t="shared" si="15"/>
        <v/>
      </c>
      <c r="AM288" s="89"/>
      <c r="AN288" s="93">
        <f t="shared" si="17"/>
        <v>0</v>
      </c>
      <c r="AO288" s="94">
        <f t="shared" si="18"/>
        <v>0</v>
      </c>
      <c r="AP288" s="87"/>
      <c r="AQ288" s="87"/>
      <c r="AR288" s="89" t="str">
        <f t="shared" si="19"/>
        <v/>
      </c>
      <c r="AS288" s="90"/>
      <c r="AT288" s="89" t="str">
        <f t="shared" si="20"/>
        <v/>
      </c>
      <c r="AU288" s="95"/>
      <c r="AV288" s="87"/>
      <c r="AW288" s="87"/>
      <c r="AX288" s="89" t="str">
        <f t="shared" si="21"/>
        <v/>
      </c>
      <c r="AY288" s="90"/>
      <c r="AZ288" s="89" t="str">
        <f t="shared" si="22"/>
        <v/>
      </c>
      <c r="BA288" s="95"/>
      <c r="BB288" s="88" t="str">
        <f t="shared" si="28"/>
        <v/>
      </c>
      <c r="BC288" s="87"/>
      <c r="BD288" s="89" t="str">
        <f t="shared" si="23"/>
        <v/>
      </c>
      <c r="BE288" s="90"/>
      <c r="BF288" s="89" t="str">
        <f t="shared" si="24"/>
        <v/>
      </c>
      <c r="BG288" s="96"/>
    </row>
    <row r="289">
      <c r="A289" s="87"/>
      <c r="B289" s="87"/>
      <c r="C289" s="87"/>
      <c r="D289" s="87"/>
      <c r="E289" s="87"/>
      <c r="F289" s="87"/>
      <c r="G289" s="87"/>
      <c r="H289" s="88" t="str">
        <f t="shared" si="1"/>
        <v/>
      </c>
      <c r="I289" s="87"/>
      <c r="J289" s="89" t="str">
        <f t="shared" si="2"/>
        <v/>
      </c>
      <c r="K289" s="90"/>
      <c r="L289" s="89" t="str">
        <f t="shared" si="3"/>
        <v/>
      </c>
      <c r="M289" s="89"/>
      <c r="N289" s="93">
        <f t="shared" si="5"/>
        <v>0</v>
      </c>
      <c r="O289" s="94">
        <f t="shared" si="6"/>
        <v>0</v>
      </c>
      <c r="P289" s="87"/>
      <c r="Q289" s="87"/>
      <c r="R289" s="89" t="str">
        <f t="shared" si="7"/>
        <v/>
      </c>
      <c r="S289" s="90"/>
      <c r="T289" s="89" t="str">
        <f t="shared" si="8"/>
        <v/>
      </c>
      <c r="U289" s="95"/>
      <c r="V289" s="87"/>
      <c r="W289" s="87"/>
      <c r="X289" s="89" t="str">
        <f t="shared" si="9"/>
        <v/>
      </c>
      <c r="Y289" s="90"/>
      <c r="Z289" s="89" t="str">
        <f t="shared" si="10"/>
        <v/>
      </c>
      <c r="AA289" s="95"/>
      <c r="AB289" s="88" t="str">
        <f t="shared" si="27"/>
        <v/>
      </c>
      <c r="AC289" s="87"/>
      <c r="AD289" s="89" t="str">
        <f t="shared" si="11"/>
        <v/>
      </c>
      <c r="AE289" s="90"/>
      <c r="AF289" s="89" t="str">
        <f t="shared" si="12"/>
        <v/>
      </c>
      <c r="AG289" s="96"/>
      <c r="AH289" s="88" t="str">
        <f t="shared" si="13"/>
        <v/>
      </c>
      <c r="AI289" s="87"/>
      <c r="AJ289" s="89" t="str">
        <f t="shared" si="14"/>
        <v/>
      </c>
      <c r="AK289" s="90"/>
      <c r="AL289" s="89" t="str">
        <f t="shared" si="15"/>
        <v/>
      </c>
      <c r="AM289" s="89"/>
      <c r="AN289" s="93">
        <f t="shared" si="17"/>
        <v>0</v>
      </c>
      <c r="AO289" s="94">
        <f t="shared" si="18"/>
        <v>0</v>
      </c>
      <c r="AP289" s="87"/>
      <c r="AQ289" s="87"/>
      <c r="AR289" s="89" t="str">
        <f t="shared" si="19"/>
        <v/>
      </c>
      <c r="AS289" s="90"/>
      <c r="AT289" s="89" t="str">
        <f t="shared" si="20"/>
        <v/>
      </c>
      <c r="AU289" s="95"/>
      <c r="AV289" s="87"/>
      <c r="AW289" s="87"/>
      <c r="AX289" s="89" t="str">
        <f t="shared" si="21"/>
        <v/>
      </c>
      <c r="AY289" s="90"/>
      <c r="AZ289" s="89" t="str">
        <f t="shared" si="22"/>
        <v/>
      </c>
      <c r="BA289" s="95"/>
      <c r="BB289" s="88" t="str">
        <f t="shared" si="28"/>
        <v/>
      </c>
      <c r="BC289" s="87"/>
      <c r="BD289" s="89" t="str">
        <f t="shared" si="23"/>
        <v/>
      </c>
      <c r="BE289" s="90"/>
      <c r="BF289" s="89" t="str">
        <f t="shared" si="24"/>
        <v/>
      </c>
      <c r="BG289" s="96"/>
    </row>
    <row r="290">
      <c r="A290" s="87"/>
      <c r="B290" s="87"/>
      <c r="C290" s="87"/>
      <c r="D290" s="87"/>
      <c r="E290" s="87"/>
      <c r="F290" s="87"/>
      <c r="G290" s="87"/>
      <c r="H290" s="88" t="str">
        <f t="shared" si="1"/>
        <v/>
      </c>
      <c r="I290" s="87"/>
      <c r="J290" s="89" t="str">
        <f t="shared" si="2"/>
        <v/>
      </c>
      <c r="K290" s="90"/>
      <c r="L290" s="89" t="str">
        <f t="shared" si="3"/>
        <v/>
      </c>
      <c r="M290" s="89"/>
      <c r="N290" s="93">
        <f t="shared" si="5"/>
        <v>0</v>
      </c>
      <c r="O290" s="94">
        <f t="shared" si="6"/>
        <v>0</v>
      </c>
      <c r="P290" s="87"/>
      <c r="Q290" s="87"/>
      <c r="R290" s="89" t="str">
        <f t="shared" si="7"/>
        <v/>
      </c>
      <c r="S290" s="90"/>
      <c r="T290" s="89" t="str">
        <f t="shared" si="8"/>
        <v/>
      </c>
      <c r="U290" s="95"/>
      <c r="V290" s="87"/>
      <c r="W290" s="87"/>
      <c r="X290" s="89" t="str">
        <f t="shared" si="9"/>
        <v/>
      </c>
      <c r="Y290" s="90"/>
      <c r="Z290" s="89" t="str">
        <f t="shared" si="10"/>
        <v/>
      </c>
      <c r="AA290" s="95"/>
      <c r="AB290" s="88" t="str">
        <f t="shared" si="27"/>
        <v/>
      </c>
      <c r="AC290" s="87"/>
      <c r="AD290" s="89" t="str">
        <f t="shared" si="11"/>
        <v/>
      </c>
      <c r="AE290" s="90"/>
      <c r="AF290" s="89" t="str">
        <f t="shared" si="12"/>
        <v/>
      </c>
      <c r="AG290" s="96"/>
      <c r="AH290" s="88" t="str">
        <f t="shared" si="13"/>
        <v/>
      </c>
      <c r="AI290" s="87"/>
      <c r="AJ290" s="89" t="str">
        <f t="shared" si="14"/>
        <v/>
      </c>
      <c r="AK290" s="90"/>
      <c r="AL290" s="89" t="str">
        <f t="shared" si="15"/>
        <v/>
      </c>
      <c r="AM290" s="89"/>
      <c r="AN290" s="93">
        <f t="shared" si="17"/>
        <v>0</v>
      </c>
      <c r="AO290" s="94">
        <f t="shared" si="18"/>
        <v>0</v>
      </c>
      <c r="AP290" s="87"/>
      <c r="AQ290" s="87"/>
      <c r="AR290" s="89" t="str">
        <f t="shared" si="19"/>
        <v/>
      </c>
      <c r="AS290" s="90"/>
      <c r="AT290" s="89" t="str">
        <f t="shared" si="20"/>
        <v/>
      </c>
      <c r="AU290" s="95"/>
      <c r="AV290" s="87"/>
      <c r="AW290" s="87"/>
      <c r="AX290" s="89" t="str">
        <f t="shared" si="21"/>
        <v/>
      </c>
      <c r="AY290" s="90"/>
      <c r="AZ290" s="89" t="str">
        <f t="shared" si="22"/>
        <v/>
      </c>
      <c r="BA290" s="95"/>
      <c r="BB290" s="88" t="str">
        <f t="shared" si="28"/>
        <v/>
      </c>
      <c r="BC290" s="87"/>
      <c r="BD290" s="89" t="str">
        <f t="shared" si="23"/>
        <v/>
      </c>
      <c r="BE290" s="90"/>
      <c r="BF290" s="89" t="str">
        <f t="shared" si="24"/>
        <v/>
      </c>
      <c r="BG290" s="96"/>
    </row>
    <row r="291">
      <c r="A291" s="87"/>
      <c r="B291" s="87"/>
      <c r="C291" s="87"/>
      <c r="D291" s="87"/>
      <c r="E291" s="87"/>
      <c r="F291" s="87"/>
      <c r="G291" s="87"/>
      <c r="H291" s="88" t="str">
        <f t="shared" si="1"/>
        <v/>
      </c>
      <c r="I291" s="87"/>
      <c r="J291" s="89" t="str">
        <f t="shared" si="2"/>
        <v/>
      </c>
      <c r="K291" s="90"/>
      <c r="L291" s="89" t="str">
        <f t="shared" si="3"/>
        <v/>
      </c>
      <c r="M291" s="89"/>
      <c r="N291" s="93">
        <f t="shared" si="5"/>
        <v>0</v>
      </c>
      <c r="O291" s="94">
        <f t="shared" si="6"/>
        <v>0</v>
      </c>
      <c r="P291" s="87"/>
      <c r="Q291" s="87"/>
      <c r="R291" s="89" t="str">
        <f t="shared" si="7"/>
        <v/>
      </c>
      <c r="S291" s="90"/>
      <c r="T291" s="89" t="str">
        <f t="shared" si="8"/>
        <v/>
      </c>
      <c r="U291" s="95"/>
      <c r="V291" s="87"/>
      <c r="W291" s="87"/>
      <c r="X291" s="89" t="str">
        <f t="shared" si="9"/>
        <v/>
      </c>
      <c r="Y291" s="90"/>
      <c r="Z291" s="89" t="str">
        <f t="shared" si="10"/>
        <v/>
      </c>
      <c r="AA291" s="95"/>
      <c r="AB291" s="88" t="str">
        <f t="shared" si="27"/>
        <v/>
      </c>
      <c r="AC291" s="87"/>
      <c r="AD291" s="89" t="str">
        <f t="shared" si="11"/>
        <v/>
      </c>
      <c r="AE291" s="90"/>
      <c r="AF291" s="89" t="str">
        <f t="shared" si="12"/>
        <v/>
      </c>
      <c r="AG291" s="96"/>
      <c r="AH291" s="88" t="str">
        <f t="shared" si="13"/>
        <v/>
      </c>
      <c r="AI291" s="87"/>
      <c r="AJ291" s="89" t="str">
        <f t="shared" si="14"/>
        <v/>
      </c>
      <c r="AK291" s="90"/>
      <c r="AL291" s="89" t="str">
        <f t="shared" si="15"/>
        <v/>
      </c>
      <c r="AM291" s="89"/>
      <c r="AN291" s="93">
        <f t="shared" si="17"/>
        <v>0</v>
      </c>
      <c r="AO291" s="94">
        <f t="shared" si="18"/>
        <v>0</v>
      </c>
      <c r="AP291" s="87"/>
      <c r="AQ291" s="87"/>
      <c r="AR291" s="89" t="str">
        <f t="shared" si="19"/>
        <v/>
      </c>
      <c r="AS291" s="90"/>
      <c r="AT291" s="89" t="str">
        <f t="shared" si="20"/>
        <v/>
      </c>
      <c r="AU291" s="95"/>
      <c r="AV291" s="87"/>
      <c r="AW291" s="87"/>
      <c r="AX291" s="89" t="str">
        <f t="shared" si="21"/>
        <v/>
      </c>
      <c r="AY291" s="90"/>
      <c r="AZ291" s="89" t="str">
        <f t="shared" si="22"/>
        <v/>
      </c>
      <c r="BA291" s="95"/>
      <c r="BB291" s="88" t="str">
        <f t="shared" si="28"/>
        <v/>
      </c>
      <c r="BC291" s="87"/>
      <c r="BD291" s="89" t="str">
        <f t="shared" si="23"/>
        <v/>
      </c>
      <c r="BE291" s="90"/>
      <c r="BF291" s="89" t="str">
        <f t="shared" si="24"/>
        <v/>
      </c>
      <c r="BG291" s="96"/>
    </row>
    <row r="292">
      <c r="A292" s="87"/>
      <c r="B292" s="87"/>
      <c r="C292" s="87"/>
      <c r="D292" s="87"/>
      <c r="E292" s="87"/>
      <c r="F292" s="87"/>
      <c r="G292" s="87"/>
      <c r="H292" s="88" t="str">
        <f t="shared" si="1"/>
        <v/>
      </c>
      <c r="I292" s="87"/>
      <c r="J292" s="89" t="str">
        <f t="shared" si="2"/>
        <v/>
      </c>
      <c r="K292" s="90"/>
      <c r="L292" s="89" t="str">
        <f t="shared" si="3"/>
        <v/>
      </c>
      <c r="M292" s="89"/>
      <c r="N292" s="93">
        <f t="shared" si="5"/>
        <v>0</v>
      </c>
      <c r="O292" s="94">
        <f t="shared" si="6"/>
        <v>0</v>
      </c>
      <c r="P292" s="87"/>
      <c r="Q292" s="87"/>
      <c r="R292" s="89" t="str">
        <f t="shared" si="7"/>
        <v/>
      </c>
      <c r="S292" s="90"/>
      <c r="T292" s="89" t="str">
        <f t="shared" si="8"/>
        <v/>
      </c>
      <c r="U292" s="95"/>
      <c r="V292" s="87"/>
      <c r="W292" s="87"/>
      <c r="X292" s="89" t="str">
        <f t="shared" si="9"/>
        <v/>
      </c>
      <c r="Y292" s="90"/>
      <c r="Z292" s="89" t="str">
        <f t="shared" si="10"/>
        <v/>
      </c>
      <c r="AA292" s="95"/>
      <c r="AB292" s="88" t="str">
        <f t="shared" si="27"/>
        <v/>
      </c>
      <c r="AC292" s="87"/>
      <c r="AD292" s="89" t="str">
        <f t="shared" si="11"/>
        <v/>
      </c>
      <c r="AE292" s="90"/>
      <c r="AF292" s="89" t="str">
        <f t="shared" si="12"/>
        <v/>
      </c>
      <c r="AG292" s="96"/>
      <c r="AH292" s="88" t="str">
        <f t="shared" si="13"/>
        <v/>
      </c>
      <c r="AI292" s="87"/>
      <c r="AJ292" s="89" t="str">
        <f t="shared" si="14"/>
        <v/>
      </c>
      <c r="AK292" s="90"/>
      <c r="AL292" s="89" t="str">
        <f t="shared" si="15"/>
        <v/>
      </c>
      <c r="AM292" s="89"/>
      <c r="AN292" s="93">
        <f t="shared" si="17"/>
        <v>0</v>
      </c>
      <c r="AO292" s="94">
        <f t="shared" si="18"/>
        <v>0</v>
      </c>
      <c r="AP292" s="87"/>
      <c r="AQ292" s="87"/>
      <c r="AR292" s="89" t="str">
        <f t="shared" si="19"/>
        <v/>
      </c>
      <c r="AS292" s="90"/>
      <c r="AT292" s="89" t="str">
        <f t="shared" si="20"/>
        <v/>
      </c>
      <c r="AU292" s="95"/>
      <c r="AV292" s="87"/>
      <c r="AW292" s="87"/>
      <c r="AX292" s="89" t="str">
        <f t="shared" si="21"/>
        <v/>
      </c>
      <c r="AY292" s="90"/>
      <c r="AZ292" s="89" t="str">
        <f t="shared" si="22"/>
        <v/>
      </c>
      <c r="BA292" s="95"/>
      <c r="BB292" s="88" t="str">
        <f t="shared" si="28"/>
        <v/>
      </c>
      <c r="BC292" s="87"/>
      <c r="BD292" s="89" t="str">
        <f t="shared" si="23"/>
        <v/>
      </c>
      <c r="BE292" s="90"/>
      <c r="BF292" s="89" t="str">
        <f t="shared" si="24"/>
        <v/>
      </c>
      <c r="BG292" s="96"/>
    </row>
    <row r="293">
      <c r="A293" s="87"/>
      <c r="B293" s="87"/>
      <c r="C293" s="87"/>
      <c r="D293" s="87"/>
      <c r="E293" s="87"/>
      <c r="F293" s="87"/>
      <c r="G293" s="87"/>
      <c r="H293" s="88" t="str">
        <f t="shared" si="1"/>
        <v/>
      </c>
      <c r="I293" s="87"/>
      <c r="J293" s="89" t="str">
        <f t="shared" si="2"/>
        <v/>
      </c>
      <c r="K293" s="90"/>
      <c r="L293" s="89" t="str">
        <f t="shared" si="3"/>
        <v/>
      </c>
      <c r="M293" s="89"/>
      <c r="N293" s="93">
        <f t="shared" si="5"/>
        <v>0</v>
      </c>
      <c r="O293" s="94">
        <f t="shared" si="6"/>
        <v>0</v>
      </c>
      <c r="P293" s="87"/>
      <c r="Q293" s="87"/>
      <c r="R293" s="89" t="str">
        <f t="shared" si="7"/>
        <v/>
      </c>
      <c r="S293" s="90"/>
      <c r="T293" s="89" t="str">
        <f t="shared" si="8"/>
        <v/>
      </c>
      <c r="U293" s="95"/>
      <c r="V293" s="87"/>
      <c r="W293" s="87"/>
      <c r="X293" s="89" t="str">
        <f t="shared" si="9"/>
        <v/>
      </c>
      <c r="Y293" s="90"/>
      <c r="Z293" s="89" t="str">
        <f t="shared" si="10"/>
        <v/>
      </c>
      <c r="AA293" s="95"/>
      <c r="AB293" s="88" t="str">
        <f t="shared" si="27"/>
        <v/>
      </c>
      <c r="AC293" s="87"/>
      <c r="AD293" s="89" t="str">
        <f t="shared" si="11"/>
        <v/>
      </c>
      <c r="AE293" s="90"/>
      <c r="AF293" s="89" t="str">
        <f t="shared" si="12"/>
        <v/>
      </c>
      <c r="AG293" s="96"/>
      <c r="AH293" s="88" t="str">
        <f t="shared" si="13"/>
        <v/>
      </c>
      <c r="AI293" s="87"/>
      <c r="AJ293" s="89" t="str">
        <f t="shared" si="14"/>
        <v/>
      </c>
      <c r="AK293" s="90"/>
      <c r="AL293" s="89" t="str">
        <f t="shared" si="15"/>
        <v/>
      </c>
      <c r="AM293" s="89"/>
      <c r="AN293" s="93">
        <f t="shared" si="17"/>
        <v>0</v>
      </c>
      <c r="AO293" s="94">
        <f t="shared" si="18"/>
        <v>0</v>
      </c>
      <c r="AP293" s="87"/>
      <c r="AQ293" s="87"/>
      <c r="AR293" s="89" t="str">
        <f t="shared" si="19"/>
        <v/>
      </c>
      <c r="AS293" s="90"/>
      <c r="AT293" s="89" t="str">
        <f t="shared" si="20"/>
        <v/>
      </c>
      <c r="AU293" s="95"/>
      <c r="AV293" s="87"/>
      <c r="AW293" s="87"/>
      <c r="AX293" s="89" t="str">
        <f t="shared" si="21"/>
        <v/>
      </c>
      <c r="AY293" s="90"/>
      <c r="AZ293" s="89" t="str">
        <f t="shared" si="22"/>
        <v/>
      </c>
      <c r="BA293" s="95"/>
      <c r="BB293" s="88" t="str">
        <f t="shared" si="28"/>
        <v/>
      </c>
      <c r="BC293" s="87"/>
      <c r="BD293" s="89" t="str">
        <f t="shared" si="23"/>
        <v/>
      </c>
      <c r="BE293" s="90"/>
      <c r="BF293" s="89" t="str">
        <f t="shared" si="24"/>
        <v/>
      </c>
      <c r="BG293" s="96"/>
    </row>
    <row r="294">
      <c r="A294" s="87"/>
      <c r="B294" s="87"/>
      <c r="C294" s="87"/>
      <c r="D294" s="87"/>
      <c r="E294" s="87"/>
      <c r="F294" s="87"/>
      <c r="G294" s="87"/>
      <c r="H294" s="88" t="str">
        <f t="shared" si="1"/>
        <v/>
      </c>
      <c r="I294" s="87"/>
      <c r="J294" s="89" t="str">
        <f t="shared" si="2"/>
        <v/>
      </c>
      <c r="K294" s="90"/>
      <c r="L294" s="89" t="str">
        <f t="shared" si="3"/>
        <v/>
      </c>
      <c r="M294" s="89"/>
      <c r="N294" s="93">
        <f t="shared" si="5"/>
        <v>0</v>
      </c>
      <c r="O294" s="94">
        <f t="shared" si="6"/>
        <v>0</v>
      </c>
      <c r="P294" s="87"/>
      <c r="Q294" s="87"/>
      <c r="R294" s="89" t="str">
        <f t="shared" si="7"/>
        <v/>
      </c>
      <c r="S294" s="90"/>
      <c r="T294" s="89" t="str">
        <f t="shared" si="8"/>
        <v/>
      </c>
      <c r="U294" s="95"/>
      <c r="V294" s="87"/>
      <c r="W294" s="87"/>
      <c r="X294" s="89" t="str">
        <f t="shared" si="9"/>
        <v/>
      </c>
      <c r="Y294" s="90"/>
      <c r="Z294" s="89" t="str">
        <f t="shared" si="10"/>
        <v/>
      </c>
      <c r="AA294" s="95"/>
      <c r="AB294" s="88" t="str">
        <f t="shared" si="27"/>
        <v/>
      </c>
      <c r="AC294" s="87"/>
      <c r="AD294" s="89" t="str">
        <f t="shared" si="11"/>
        <v/>
      </c>
      <c r="AE294" s="90"/>
      <c r="AF294" s="89" t="str">
        <f t="shared" si="12"/>
        <v/>
      </c>
      <c r="AG294" s="96"/>
      <c r="AH294" s="88" t="str">
        <f t="shared" si="13"/>
        <v/>
      </c>
      <c r="AI294" s="87"/>
      <c r="AJ294" s="89" t="str">
        <f t="shared" si="14"/>
        <v/>
      </c>
      <c r="AK294" s="90"/>
      <c r="AL294" s="89" t="str">
        <f t="shared" si="15"/>
        <v/>
      </c>
      <c r="AM294" s="89"/>
      <c r="AN294" s="93">
        <f t="shared" si="17"/>
        <v>0</v>
      </c>
      <c r="AO294" s="94">
        <f t="shared" si="18"/>
        <v>0</v>
      </c>
      <c r="AP294" s="87"/>
      <c r="AQ294" s="87"/>
      <c r="AR294" s="89" t="str">
        <f t="shared" si="19"/>
        <v/>
      </c>
      <c r="AS294" s="90"/>
      <c r="AT294" s="89" t="str">
        <f t="shared" si="20"/>
        <v/>
      </c>
      <c r="AU294" s="95"/>
      <c r="AV294" s="87"/>
      <c r="AW294" s="87"/>
      <c r="AX294" s="89" t="str">
        <f t="shared" si="21"/>
        <v/>
      </c>
      <c r="AY294" s="90"/>
      <c r="AZ294" s="89" t="str">
        <f t="shared" si="22"/>
        <v/>
      </c>
      <c r="BA294" s="95"/>
      <c r="BB294" s="88" t="str">
        <f t="shared" si="28"/>
        <v/>
      </c>
      <c r="BC294" s="87"/>
      <c r="BD294" s="89" t="str">
        <f t="shared" si="23"/>
        <v/>
      </c>
      <c r="BE294" s="90"/>
      <c r="BF294" s="89" t="str">
        <f t="shared" si="24"/>
        <v/>
      </c>
      <c r="BG294" s="96"/>
    </row>
    <row r="295">
      <c r="A295" s="87"/>
      <c r="B295" s="87"/>
      <c r="C295" s="87"/>
      <c r="D295" s="87"/>
      <c r="E295" s="87"/>
      <c r="F295" s="87"/>
      <c r="G295" s="87"/>
      <c r="H295" s="88" t="str">
        <f t="shared" si="1"/>
        <v/>
      </c>
      <c r="I295" s="87"/>
      <c r="J295" s="89" t="str">
        <f t="shared" si="2"/>
        <v/>
      </c>
      <c r="K295" s="90"/>
      <c r="L295" s="89" t="str">
        <f t="shared" si="3"/>
        <v/>
      </c>
      <c r="M295" s="89"/>
      <c r="N295" s="93">
        <f t="shared" si="5"/>
        <v>0</v>
      </c>
      <c r="O295" s="94">
        <f t="shared" si="6"/>
        <v>0</v>
      </c>
      <c r="P295" s="87"/>
      <c r="Q295" s="87"/>
      <c r="R295" s="89" t="str">
        <f t="shared" si="7"/>
        <v/>
      </c>
      <c r="S295" s="90"/>
      <c r="T295" s="89" t="str">
        <f t="shared" si="8"/>
        <v/>
      </c>
      <c r="U295" s="95"/>
      <c r="V295" s="87"/>
      <c r="W295" s="87"/>
      <c r="X295" s="89" t="str">
        <f t="shared" si="9"/>
        <v/>
      </c>
      <c r="Y295" s="90"/>
      <c r="Z295" s="89" t="str">
        <f t="shared" si="10"/>
        <v/>
      </c>
      <c r="AA295" s="95"/>
      <c r="AB295" s="88" t="str">
        <f t="shared" si="27"/>
        <v/>
      </c>
      <c r="AC295" s="87"/>
      <c r="AD295" s="89" t="str">
        <f t="shared" si="11"/>
        <v/>
      </c>
      <c r="AE295" s="90"/>
      <c r="AF295" s="89" t="str">
        <f t="shared" si="12"/>
        <v/>
      </c>
      <c r="AG295" s="96"/>
      <c r="AH295" s="88" t="str">
        <f t="shared" si="13"/>
        <v/>
      </c>
      <c r="AI295" s="87"/>
      <c r="AJ295" s="89" t="str">
        <f t="shared" si="14"/>
        <v/>
      </c>
      <c r="AK295" s="90"/>
      <c r="AL295" s="89" t="str">
        <f t="shared" si="15"/>
        <v/>
      </c>
      <c r="AM295" s="89"/>
      <c r="AN295" s="93">
        <f t="shared" si="17"/>
        <v>0</v>
      </c>
      <c r="AO295" s="94">
        <f t="shared" si="18"/>
        <v>0</v>
      </c>
      <c r="AP295" s="87"/>
      <c r="AQ295" s="87"/>
      <c r="AR295" s="89" t="str">
        <f t="shared" si="19"/>
        <v/>
      </c>
      <c r="AS295" s="90"/>
      <c r="AT295" s="89" t="str">
        <f t="shared" si="20"/>
        <v/>
      </c>
      <c r="AU295" s="95"/>
      <c r="AV295" s="87"/>
      <c r="AW295" s="87"/>
      <c r="AX295" s="89" t="str">
        <f t="shared" si="21"/>
        <v/>
      </c>
      <c r="AY295" s="90"/>
      <c r="AZ295" s="89" t="str">
        <f t="shared" si="22"/>
        <v/>
      </c>
      <c r="BA295" s="95"/>
      <c r="BB295" s="88" t="str">
        <f t="shared" si="28"/>
        <v/>
      </c>
      <c r="BC295" s="87"/>
      <c r="BD295" s="89" t="str">
        <f t="shared" si="23"/>
        <v/>
      </c>
      <c r="BE295" s="90"/>
      <c r="BF295" s="89" t="str">
        <f t="shared" si="24"/>
        <v/>
      </c>
      <c r="BG295" s="96"/>
    </row>
    <row r="296">
      <c r="A296" s="87"/>
      <c r="B296" s="87"/>
      <c r="C296" s="87"/>
      <c r="D296" s="87"/>
      <c r="E296" s="87"/>
      <c r="F296" s="87"/>
      <c r="G296" s="87"/>
      <c r="H296" s="88" t="str">
        <f t="shared" si="1"/>
        <v/>
      </c>
      <c r="I296" s="87"/>
      <c r="J296" s="89" t="str">
        <f t="shared" si="2"/>
        <v/>
      </c>
      <c r="K296" s="90"/>
      <c r="L296" s="89" t="str">
        <f t="shared" si="3"/>
        <v/>
      </c>
      <c r="M296" s="89"/>
      <c r="N296" s="93">
        <f t="shared" si="5"/>
        <v>0</v>
      </c>
      <c r="O296" s="94">
        <f t="shared" si="6"/>
        <v>0</v>
      </c>
      <c r="P296" s="87"/>
      <c r="Q296" s="87"/>
      <c r="R296" s="89" t="str">
        <f t="shared" si="7"/>
        <v/>
      </c>
      <c r="S296" s="90"/>
      <c r="T296" s="89" t="str">
        <f t="shared" si="8"/>
        <v/>
      </c>
      <c r="U296" s="95"/>
      <c r="V296" s="87"/>
      <c r="W296" s="87"/>
      <c r="X296" s="89" t="str">
        <f t="shared" si="9"/>
        <v/>
      </c>
      <c r="Y296" s="90"/>
      <c r="Z296" s="89" t="str">
        <f t="shared" si="10"/>
        <v/>
      </c>
      <c r="AA296" s="95"/>
      <c r="AB296" s="88" t="str">
        <f t="shared" si="27"/>
        <v/>
      </c>
      <c r="AC296" s="87"/>
      <c r="AD296" s="89" t="str">
        <f t="shared" si="11"/>
        <v/>
      </c>
      <c r="AE296" s="90"/>
      <c r="AF296" s="89" t="str">
        <f t="shared" si="12"/>
        <v/>
      </c>
      <c r="AG296" s="96"/>
      <c r="AH296" s="88" t="str">
        <f t="shared" si="13"/>
        <v/>
      </c>
      <c r="AI296" s="87"/>
      <c r="AJ296" s="89" t="str">
        <f t="shared" si="14"/>
        <v/>
      </c>
      <c r="AK296" s="90"/>
      <c r="AL296" s="89" t="str">
        <f t="shared" si="15"/>
        <v/>
      </c>
      <c r="AM296" s="89"/>
      <c r="AN296" s="93">
        <f t="shared" si="17"/>
        <v>0</v>
      </c>
      <c r="AO296" s="94">
        <f t="shared" si="18"/>
        <v>0</v>
      </c>
      <c r="AP296" s="87"/>
      <c r="AQ296" s="87"/>
      <c r="AR296" s="89" t="str">
        <f t="shared" si="19"/>
        <v/>
      </c>
      <c r="AS296" s="90"/>
      <c r="AT296" s="89" t="str">
        <f t="shared" si="20"/>
        <v/>
      </c>
      <c r="AU296" s="95"/>
      <c r="AV296" s="87"/>
      <c r="AW296" s="87"/>
      <c r="AX296" s="89" t="str">
        <f t="shared" si="21"/>
        <v/>
      </c>
      <c r="AY296" s="90"/>
      <c r="AZ296" s="89" t="str">
        <f t="shared" si="22"/>
        <v/>
      </c>
      <c r="BA296" s="95"/>
      <c r="BB296" s="88" t="str">
        <f t="shared" si="28"/>
        <v/>
      </c>
      <c r="BC296" s="87"/>
      <c r="BD296" s="89" t="str">
        <f t="shared" si="23"/>
        <v/>
      </c>
      <c r="BE296" s="90"/>
      <c r="BF296" s="89" t="str">
        <f t="shared" si="24"/>
        <v/>
      </c>
      <c r="BG296" s="96"/>
    </row>
    <row r="297">
      <c r="A297" s="87"/>
      <c r="B297" s="87"/>
      <c r="C297" s="87"/>
      <c r="D297" s="87"/>
      <c r="E297" s="87"/>
      <c r="F297" s="87"/>
      <c r="G297" s="87"/>
      <c r="H297" s="88" t="str">
        <f t="shared" si="1"/>
        <v/>
      </c>
      <c r="I297" s="87"/>
      <c r="J297" s="89" t="str">
        <f t="shared" si="2"/>
        <v/>
      </c>
      <c r="K297" s="90"/>
      <c r="L297" s="89" t="str">
        <f t="shared" si="3"/>
        <v/>
      </c>
      <c r="M297" s="89"/>
      <c r="N297" s="93">
        <f t="shared" si="5"/>
        <v>0</v>
      </c>
      <c r="O297" s="94">
        <f t="shared" si="6"/>
        <v>0</v>
      </c>
      <c r="P297" s="87"/>
      <c r="Q297" s="87"/>
      <c r="R297" s="89" t="str">
        <f t="shared" si="7"/>
        <v/>
      </c>
      <c r="S297" s="90"/>
      <c r="T297" s="89" t="str">
        <f t="shared" si="8"/>
        <v/>
      </c>
      <c r="U297" s="95"/>
      <c r="V297" s="87"/>
      <c r="W297" s="87"/>
      <c r="X297" s="89" t="str">
        <f t="shared" si="9"/>
        <v/>
      </c>
      <c r="Y297" s="90"/>
      <c r="Z297" s="89" t="str">
        <f t="shared" si="10"/>
        <v/>
      </c>
      <c r="AA297" s="95"/>
      <c r="AB297" s="88" t="str">
        <f t="shared" si="27"/>
        <v/>
      </c>
      <c r="AC297" s="87"/>
      <c r="AD297" s="89" t="str">
        <f t="shared" si="11"/>
        <v/>
      </c>
      <c r="AE297" s="90"/>
      <c r="AF297" s="89" t="str">
        <f t="shared" si="12"/>
        <v/>
      </c>
      <c r="AG297" s="96"/>
      <c r="AH297" s="88" t="str">
        <f t="shared" si="13"/>
        <v/>
      </c>
      <c r="AI297" s="87"/>
      <c r="AJ297" s="89" t="str">
        <f t="shared" si="14"/>
        <v/>
      </c>
      <c r="AK297" s="90"/>
      <c r="AL297" s="89" t="str">
        <f t="shared" si="15"/>
        <v/>
      </c>
      <c r="AM297" s="89"/>
      <c r="AN297" s="93">
        <f t="shared" si="17"/>
        <v>0</v>
      </c>
      <c r="AO297" s="94">
        <f t="shared" si="18"/>
        <v>0</v>
      </c>
      <c r="AP297" s="87"/>
      <c r="AQ297" s="87"/>
      <c r="AR297" s="89" t="str">
        <f t="shared" si="19"/>
        <v/>
      </c>
      <c r="AS297" s="90"/>
      <c r="AT297" s="89" t="str">
        <f t="shared" si="20"/>
        <v/>
      </c>
      <c r="AU297" s="95"/>
      <c r="AV297" s="87"/>
      <c r="AW297" s="87"/>
      <c r="AX297" s="89" t="str">
        <f t="shared" si="21"/>
        <v/>
      </c>
      <c r="AY297" s="90"/>
      <c r="AZ297" s="89" t="str">
        <f t="shared" si="22"/>
        <v/>
      </c>
      <c r="BA297" s="95"/>
      <c r="BB297" s="88" t="str">
        <f t="shared" si="28"/>
        <v/>
      </c>
      <c r="BC297" s="87"/>
      <c r="BD297" s="89" t="str">
        <f t="shared" si="23"/>
        <v/>
      </c>
      <c r="BE297" s="90"/>
      <c r="BF297" s="89" t="str">
        <f t="shared" si="24"/>
        <v/>
      </c>
      <c r="BG297" s="96"/>
    </row>
    <row r="298">
      <c r="A298" s="87"/>
      <c r="B298" s="87"/>
      <c r="C298" s="87"/>
      <c r="D298" s="87"/>
      <c r="E298" s="87"/>
      <c r="F298" s="87"/>
      <c r="G298" s="87"/>
      <c r="H298" s="88" t="str">
        <f t="shared" si="1"/>
        <v/>
      </c>
      <c r="I298" s="87"/>
      <c r="J298" s="89" t="str">
        <f t="shared" si="2"/>
        <v/>
      </c>
      <c r="K298" s="90"/>
      <c r="L298" s="89" t="str">
        <f t="shared" si="3"/>
        <v/>
      </c>
      <c r="M298" s="89"/>
      <c r="N298" s="93">
        <f t="shared" si="5"/>
        <v>0</v>
      </c>
      <c r="O298" s="94">
        <f t="shared" si="6"/>
        <v>0</v>
      </c>
      <c r="P298" s="87"/>
      <c r="Q298" s="87"/>
      <c r="R298" s="89" t="str">
        <f t="shared" si="7"/>
        <v/>
      </c>
      <c r="S298" s="90"/>
      <c r="T298" s="89" t="str">
        <f t="shared" si="8"/>
        <v/>
      </c>
      <c r="U298" s="95"/>
      <c r="V298" s="87"/>
      <c r="W298" s="87"/>
      <c r="X298" s="89" t="str">
        <f t="shared" si="9"/>
        <v/>
      </c>
      <c r="Y298" s="90"/>
      <c r="Z298" s="89" t="str">
        <f t="shared" si="10"/>
        <v/>
      </c>
      <c r="AA298" s="95"/>
      <c r="AB298" s="88" t="str">
        <f t="shared" si="27"/>
        <v/>
      </c>
      <c r="AC298" s="87"/>
      <c r="AD298" s="89" t="str">
        <f t="shared" si="11"/>
        <v/>
      </c>
      <c r="AE298" s="90"/>
      <c r="AF298" s="89" t="str">
        <f t="shared" si="12"/>
        <v/>
      </c>
      <c r="AG298" s="96"/>
      <c r="AH298" s="88" t="str">
        <f t="shared" si="13"/>
        <v/>
      </c>
      <c r="AI298" s="87"/>
      <c r="AJ298" s="89" t="str">
        <f t="shared" si="14"/>
        <v/>
      </c>
      <c r="AK298" s="90"/>
      <c r="AL298" s="89" t="str">
        <f t="shared" si="15"/>
        <v/>
      </c>
      <c r="AM298" s="89"/>
      <c r="AN298" s="93">
        <f t="shared" si="17"/>
        <v>0</v>
      </c>
      <c r="AO298" s="94">
        <f t="shared" si="18"/>
        <v>0</v>
      </c>
      <c r="AP298" s="87"/>
      <c r="AQ298" s="87"/>
      <c r="AR298" s="89" t="str">
        <f t="shared" si="19"/>
        <v/>
      </c>
      <c r="AS298" s="90"/>
      <c r="AT298" s="89" t="str">
        <f t="shared" si="20"/>
        <v/>
      </c>
      <c r="AU298" s="95"/>
      <c r="AV298" s="87"/>
      <c r="AW298" s="87"/>
      <c r="AX298" s="89" t="str">
        <f t="shared" si="21"/>
        <v/>
      </c>
      <c r="AY298" s="90"/>
      <c r="AZ298" s="89" t="str">
        <f t="shared" si="22"/>
        <v/>
      </c>
      <c r="BA298" s="95"/>
      <c r="BB298" s="88" t="str">
        <f t="shared" si="28"/>
        <v/>
      </c>
      <c r="BC298" s="87"/>
      <c r="BD298" s="89" t="str">
        <f t="shared" si="23"/>
        <v/>
      </c>
      <c r="BE298" s="90"/>
      <c r="BF298" s="89" t="str">
        <f t="shared" si="24"/>
        <v/>
      </c>
      <c r="BG298" s="96"/>
    </row>
    <row r="299">
      <c r="A299" s="87"/>
      <c r="B299" s="87"/>
      <c r="C299" s="87"/>
      <c r="D299" s="87"/>
      <c r="E299" s="87"/>
      <c r="F299" s="87"/>
      <c r="G299" s="87"/>
      <c r="H299" s="88" t="str">
        <f t="shared" si="1"/>
        <v/>
      </c>
      <c r="I299" s="87"/>
      <c r="J299" s="89" t="str">
        <f t="shared" si="2"/>
        <v/>
      </c>
      <c r="K299" s="90"/>
      <c r="L299" s="89" t="str">
        <f t="shared" si="3"/>
        <v/>
      </c>
      <c r="M299" s="89"/>
      <c r="N299" s="93">
        <f t="shared" si="5"/>
        <v>0</v>
      </c>
      <c r="O299" s="94">
        <f t="shared" si="6"/>
        <v>0</v>
      </c>
      <c r="P299" s="87"/>
      <c r="Q299" s="87"/>
      <c r="R299" s="89" t="str">
        <f t="shared" si="7"/>
        <v/>
      </c>
      <c r="S299" s="90"/>
      <c r="T299" s="89" t="str">
        <f t="shared" si="8"/>
        <v/>
      </c>
      <c r="U299" s="95"/>
      <c r="V299" s="87"/>
      <c r="W299" s="87"/>
      <c r="X299" s="89" t="str">
        <f t="shared" si="9"/>
        <v/>
      </c>
      <c r="Y299" s="90"/>
      <c r="Z299" s="89" t="str">
        <f t="shared" si="10"/>
        <v/>
      </c>
      <c r="AA299" s="95"/>
      <c r="AB299" s="88" t="str">
        <f t="shared" si="27"/>
        <v/>
      </c>
      <c r="AC299" s="87"/>
      <c r="AD299" s="89" t="str">
        <f t="shared" si="11"/>
        <v/>
      </c>
      <c r="AE299" s="90"/>
      <c r="AF299" s="89" t="str">
        <f t="shared" si="12"/>
        <v/>
      </c>
      <c r="AG299" s="96"/>
      <c r="AH299" s="88" t="str">
        <f t="shared" si="13"/>
        <v/>
      </c>
      <c r="AI299" s="87"/>
      <c r="AJ299" s="89" t="str">
        <f t="shared" si="14"/>
        <v/>
      </c>
      <c r="AK299" s="90"/>
      <c r="AL299" s="89" t="str">
        <f t="shared" si="15"/>
        <v/>
      </c>
      <c r="AM299" s="89"/>
      <c r="AN299" s="93">
        <f t="shared" si="17"/>
        <v>0</v>
      </c>
      <c r="AO299" s="94">
        <f t="shared" si="18"/>
        <v>0</v>
      </c>
      <c r="AP299" s="87"/>
      <c r="AQ299" s="87"/>
      <c r="AR299" s="89" t="str">
        <f t="shared" si="19"/>
        <v/>
      </c>
      <c r="AS299" s="90"/>
      <c r="AT299" s="89" t="str">
        <f t="shared" si="20"/>
        <v/>
      </c>
      <c r="AU299" s="95"/>
      <c r="AV299" s="87"/>
      <c r="AW299" s="87"/>
      <c r="AX299" s="89" t="str">
        <f t="shared" si="21"/>
        <v/>
      </c>
      <c r="AY299" s="90"/>
      <c r="AZ299" s="89" t="str">
        <f t="shared" si="22"/>
        <v/>
      </c>
      <c r="BA299" s="95"/>
      <c r="BB299" s="88" t="str">
        <f t="shared" si="28"/>
        <v/>
      </c>
      <c r="BC299" s="87"/>
      <c r="BD299" s="89" t="str">
        <f t="shared" si="23"/>
        <v/>
      </c>
      <c r="BE299" s="90"/>
      <c r="BF299" s="89" t="str">
        <f t="shared" si="24"/>
        <v/>
      </c>
      <c r="BG299" s="96"/>
    </row>
    <row r="300">
      <c r="A300" s="87"/>
      <c r="B300" s="87"/>
      <c r="C300" s="87"/>
      <c r="D300" s="87"/>
      <c r="E300" s="87"/>
      <c r="F300" s="87"/>
      <c r="G300" s="87"/>
      <c r="H300" s="88" t="str">
        <f t="shared" si="1"/>
        <v/>
      </c>
      <c r="I300" s="87"/>
      <c r="J300" s="89" t="str">
        <f t="shared" si="2"/>
        <v/>
      </c>
      <c r="K300" s="90"/>
      <c r="L300" s="89" t="str">
        <f t="shared" si="3"/>
        <v/>
      </c>
      <c r="M300" s="89"/>
      <c r="N300" s="93">
        <f t="shared" si="5"/>
        <v>0</v>
      </c>
      <c r="O300" s="94">
        <f t="shared" si="6"/>
        <v>0</v>
      </c>
      <c r="P300" s="87"/>
      <c r="Q300" s="87"/>
      <c r="R300" s="89" t="str">
        <f t="shared" si="7"/>
        <v/>
      </c>
      <c r="S300" s="90"/>
      <c r="T300" s="89" t="str">
        <f t="shared" si="8"/>
        <v/>
      </c>
      <c r="U300" s="95"/>
      <c r="V300" s="87"/>
      <c r="W300" s="87"/>
      <c r="X300" s="89" t="str">
        <f t="shared" si="9"/>
        <v/>
      </c>
      <c r="Y300" s="90"/>
      <c r="Z300" s="89" t="str">
        <f t="shared" si="10"/>
        <v/>
      </c>
      <c r="AA300" s="95"/>
      <c r="AB300" s="88" t="str">
        <f t="shared" si="27"/>
        <v/>
      </c>
      <c r="AC300" s="87"/>
      <c r="AD300" s="89" t="str">
        <f t="shared" si="11"/>
        <v/>
      </c>
      <c r="AE300" s="90"/>
      <c r="AF300" s="89" t="str">
        <f t="shared" si="12"/>
        <v/>
      </c>
      <c r="AG300" s="96"/>
      <c r="AH300" s="88" t="str">
        <f t="shared" si="13"/>
        <v/>
      </c>
      <c r="AI300" s="87"/>
      <c r="AJ300" s="89" t="str">
        <f t="shared" si="14"/>
        <v/>
      </c>
      <c r="AK300" s="90"/>
      <c r="AL300" s="89" t="str">
        <f t="shared" si="15"/>
        <v/>
      </c>
      <c r="AM300" s="89"/>
      <c r="AN300" s="93">
        <f t="shared" si="17"/>
        <v>0</v>
      </c>
      <c r="AO300" s="94">
        <f t="shared" si="18"/>
        <v>0</v>
      </c>
      <c r="AP300" s="87"/>
      <c r="AQ300" s="87"/>
      <c r="AR300" s="89" t="str">
        <f t="shared" si="19"/>
        <v/>
      </c>
      <c r="AS300" s="90"/>
      <c r="AT300" s="89" t="str">
        <f t="shared" si="20"/>
        <v/>
      </c>
      <c r="AU300" s="95"/>
      <c r="AV300" s="87"/>
      <c r="AW300" s="87"/>
      <c r="AX300" s="89" t="str">
        <f t="shared" si="21"/>
        <v/>
      </c>
      <c r="AY300" s="90"/>
      <c r="AZ300" s="89" t="str">
        <f t="shared" si="22"/>
        <v/>
      </c>
      <c r="BA300" s="95"/>
      <c r="BB300" s="88" t="str">
        <f t="shared" si="28"/>
        <v/>
      </c>
      <c r="BC300" s="87"/>
      <c r="BD300" s="89" t="str">
        <f t="shared" si="23"/>
        <v/>
      </c>
      <c r="BE300" s="90"/>
      <c r="BF300" s="89" t="str">
        <f t="shared" si="24"/>
        <v/>
      </c>
      <c r="BG300" s="96"/>
    </row>
    <row r="301">
      <c r="A301" s="87"/>
      <c r="B301" s="87"/>
      <c r="C301" s="87"/>
      <c r="D301" s="87"/>
      <c r="E301" s="87"/>
      <c r="F301" s="87"/>
      <c r="G301" s="87"/>
      <c r="H301" s="88" t="str">
        <f t="shared" si="1"/>
        <v/>
      </c>
      <c r="I301" s="87"/>
      <c r="J301" s="89" t="str">
        <f t="shared" si="2"/>
        <v/>
      </c>
      <c r="K301" s="90"/>
      <c r="L301" s="89" t="str">
        <f t="shared" si="3"/>
        <v/>
      </c>
      <c r="M301" s="89"/>
      <c r="N301" s="93">
        <f t="shared" si="5"/>
        <v>0</v>
      </c>
      <c r="O301" s="94">
        <f t="shared" si="6"/>
        <v>0</v>
      </c>
      <c r="P301" s="87"/>
      <c r="Q301" s="87"/>
      <c r="R301" s="89" t="str">
        <f t="shared" si="7"/>
        <v/>
      </c>
      <c r="S301" s="90"/>
      <c r="T301" s="89" t="str">
        <f t="shared" si="8"/>
        <v/>
      </c>
      <c r="U301" s="95"/>
      <c r="V301" s="87"/>
      <c r="W301" s="87"/>
      <c r="X301" s="89" t="str">
        <f t="shared" si="9"/>
        <v/>
      </c>
      <c r="Y301" s="90"/>
      <c r="Z301" s="89" t="str">
        <f t="shared" si="10"/>
        <v/>
      </c>
      <c r="AA301" s="95"/>
      <c r="AB301" s="88" t="str">
        <f t="shared" si="27"/>
        <v/>
      </c>
      <c r="AC301" s="87"/>
      <c r="AD301" s="89" t="str">
        <f t="shared" si="11"/>
        <v/>
      </c>
      <c r="AE301" s="90"/>
      <c r="AF301" s="89" t="str">
        <f t="shared" si="12"/>
        <v/>
      </c>
      <c r="AG301" s="96"/>
      <c r="AH301" s="88" t="str">
        <f t="shared" si="13"/>
        <v/>
      </c>
      <c r="AI301" s="87"/>
      <c r="AJ301" s="89" t="str">
        <f t="shared" si="14"/>
        <v/>
      </c>
      <c r="AK301" s="90"/>
      <c r="AL301" s="89" t="str">
        <f t="shared" si="15"/>
        <v/>
      </c>
      <c r="AM301" s="89"/>
      <c r="AN301" s="93">
        <f t="shared" si="17"/>
        <v>0</v>
      </c>
      <c r="AO301" s="94">
        <f t="shared" si="18"/>
        <v>0</v>
      </c>
      <c r="AP301" s="87"/>
      <c r="AQ301" s="87"/>
      <c r="AR301" s="89" t="str">
        <f t="shared" si="19"/>
        <v/>
      </c>
      <c r="AS301" s="90"/>
      <c r="AT301" s="89" t="str">
        <f t="shared" si="20"/>
        <v/>
      </c>
      <c r="AU301" s="95"/>
      <c r="AV301" s="87"/>
      <c r="AW301" s="87"/>
      <c r="AX301" s="89" t="str">
        <f t="shared" si="21"/>
        <v/>
      </c>
      <c r="AY301" s="90"/>
      <c r="AZ301" s="89" t="str">
        <f t="shared" si="22"/>
        <v/>
      </c>
      <c r="BA301" s="95"/>
      <c r="BB301" s="88" t="str">
        <f t="shared" si="28"/>
        <v/>
      </c>
      <c r="BC301" s="87"/>
      <c r="BD301" s="89" t="str">
        <f t="shared" si="23"/>
        <v/>
      </c>
      <c r="BE301" s="90"/>
      <c r="BF301" s="89" t="str">
        <f t="shared" si="24"/>
        <v/>
      </c>
      <c r="BG301" s="96"/>
    </row>
    <row r="302">
      <c r="A302" s="87"/>
      <c r="B302" s="87"/>
      <c r="C302" s="87"/>
      <c r="D302" s="87"/>
      <c r="E302" s="87"/>
      <c r="F302" s="87"/>
      <c r="G302" s="87"/>
      <c r="H302" s="88" t="str">
        <f t="shared" si="1"/>
        <v/>
      </c>
      <c r="I302" s="87"/>
      <c r="J302" s="89" t="str">
        <f t="shared" si="2"/>
        <v/>
      </c>
      <c r="K302" s="90"/>
      <c r="L302" s="89" t="str">
        <f t="shared" si="3"/>
        <v/>
      </c>
      <c r="M302" s="89"/>
      <c r="N302" s="93">
        <f t="shared" si="5"/>
        <v>0</v>
      </c>
      <c r="O302" s="94">
        <f t="shared" si="6"/>
        <v>0</v>
      </c>
      <c r="P302" s="87"/>
      <c r="Q302" s="87"/>
      <c r="R302" s="89" t="str">
        <f t="shared" si="7"/>
        <v/>
      </c>
      <c r="S302" s="90"/>
      <c r="T302" s="89" t="str">
        <f t="shared" si="8"/>
        <v/>
      </c>
      <c r="U302" s="95"/>
      <c r="V302" s="87"/>
      <c r="W302" s="87"/>
      <c r="X302" s="89" t="str">
        <f t="shared" si="9"/>
        <v/>
      </c>
      <c r="Y302" s="90"/>
      <c r="Z302" s="89" t="str">
        <f t="shared" si="10"/>
        <v/>
      </c>
      <c r="AA302" s="95"/>
      <c r="AB302" s="88" t="str">
        <f t="shared" si="27"/>
        <v/>
      </c>
      <c r="AC302" s="87"/>
      <c r="AD302" s="89" t="str">
        <f t="shared" si="11"/>
        <v/>
      </c>
      <c r="AE302" s="90"/>
      <c r="AF302" s="89" t="str">
        <f t="shared" si="12"/>
        <v/>
      </c>
      <c r="AG302" s="96"/>
      <c r="AH302" s="88" t="str">
        <f t="shared" si="13"/>
        <v/>
      </c>
      <c r="AI302" s="87"/>
      <c r="AJ302" s="89" t="str">
        <f t="shared" si="14"/>
        <v/>
      </c>
      <c r="AK302" s="90"/>
      <c r="AL302" s="89" t="str">
        <f t="shared" si="15"/>
        <v/>
      </c>
      <c r="AM302" s="89"/>
      <c r="AN302" s="93">
        <f t="shared" si="17"/>
        <v>0</v>
      </c>
      <c r="AO302" s="94">
        <f t="shared" si="18"/>
        <v>0</v>
      </c>
      <c r="AP302" s="87"/>
      <c r="AQ302" s="87"/>
      <c r="AR302" s="89" t="str">
        <f t="shared" si="19"/>
        <v/>
      </c>
      <c r="AS302" s="90"/>
      <c r="AT302" s="89" t="str">
        <f t="shared" si="20"/>
        <v/>
      </c>
      <c r="AU302" s="95"/>
      <c r="AV302" s="87"/>
      <c r="AW302" s="87"/>
      <c r="AX302" s="89" t="str">
        <f t="shared" si="21"/>
        <v/>
      </c>
      <c r="AY302" s="90"/>
      <c r="AZ302" s="89" t="str">
        <f t="shared" si="22"/>
        <v/>
      </c>
      <c r="BA302" s="95"/>
      <c r="BB302" s="88" t="str">
        <f t="shared" si="28"/>
        <v/>
      </c>
      <c r="BC302" s="87"/>
      <c r="BD302" s="89" t="str">
        <f t="shared" si="23"/>
        <v/>
      </c>
      <c r="BE302" s="90"/>
      <c r="BF302" s="89" t="str">
        <f t="shared" si="24"/>
        <v/>
      </c>
      <c r="BG302" s="96"/>
    </row>
    <row r="303">
      <c r="A303" s="87"/>
      <c r="B303" s="87"/>
      <c r="C303" s="87"/>
      <c r="D303" s="87"/>
      <c r="E303" s="87"/>
      <c r="F303" s="87"/>
      <c r="G303" s="87"/>
      <c r="H303" s="88" t="str">
        <f t="shared" si="1"/>
        <v/>
      </c>
      <c r="I303" s="87"/>
      <c r="J303" s="89" t="str">
        <f t="shared" si="2"/>
        <v/>
      </c>
      <c r="K303" s="90"/>
      <c r="L303" s="89" t="str">
        <f t="shared" si="3"/>
        <v/>
      </c>
      <c r="M303" s="89"/>
      <c r="N303" s="93">
        <f t="shared" si="5"/>
        <v>0</v>
      </c>
      <c r="O303" s="94">
        <f t="shared" si="6"/>
        <v>0</v>
      </c>
      <c r="P303" s="87"/>
      <c r="Q303" s="87"/>
      <c r="R303" s="89" t="str">
        <f t="shared" si="7"/>
        <v/>
      </c>
      <c r="S303" s="90"/>
      <c r="T303" s="89" t="str">
        <f t="shared" si="8"/>
        <v/>
      </c>
      <c r="U303" s="95"/>
      <c r="V303" s="87"/>
      <c r="W303" s="87"/>
      <c r="X303" s="89" t="str">
        <f t="shared" si="9"/>
        <v/>
      </c>
      <c r="Y303" s="90"/>
      <c r="Z303" s="89" t="str">
        <f t="shared" si="10"/>
        <v/>
      </c>
      <c r="AA303" s="95"/>
      <c r="AB303" s="88" t="str">
        <f t="shared" si="27"/>
        <v/>
      </c>
      <c r="AC303" s="87"/>
      <c r="AD303" s="89" t="str">
        <f t="shared" si="11"/>
        <v/>
      </c>
      <c r="AE303" s="90"/>
      <c r="AF303" s="89" t="str">
        <f t="shared" si="12"/>
        <v/>
      </c>
      <c r="AG303" s="96"/>
      <c r="AH303" s="88" t="str">
        <f t="shared" si="13"/>
        <v/>
      </c>
      <c r="AI303" s="87"/>
      <c r="AJ303" s="89" t="str">
        <f t="shared" si="14"/>
        <v/>
      </c>
      <c r="AK303" s="90"/>
      <c r="AL303" s="89" t="str">
        <f t="shared" si="15"/>
        <v/>
      </c>
      <c r="AM303" s="89"/>
      <c r="AN303" s="93">
        <f t="shared" si="17"/>
        <v>0</v>
      </c>
      <c r="AO303" s="94">
        <f t="shared" si="18"/>
        <v>0</v>
      </c>
      <c r="AP303" s="87"/>
      <c r="AQ303" s="87"/>
      <c r="AR303" s="89" t="str">
        <f t="shared" si="19"/>
        <v/>
      </c>
      <c r="AS303" s="90"/>
      <c r="AT303" s="89" t="str">
        <f t="shared" si="20"/>
        <v/>
      </c>
      <c r="AU303" s="95"/>
      <c r="AV303" s="87"/>
      <c r="AW303" s="87"/>
      <c r="AX303" s="89" t="str">
        <f t="shared" si="21"/>
        <v/>
      </c>
      <c r="AY303" s="90"/>
      <c r="AZ303" s="89" t="str">
        <f t="shared" si="22"/>
        <v/>
      </c>
      <c r="BA303" s="95"/>
      <c r="BB303" s="88" t="str">
        <f t="shared" si="28"/>
        <v/>
      </c>
      <c r="BC303" s="87"/>
      <c r="BD303" s="89" t="str">
        <f t="shared" si="23"/>
        <v/>
      </c>
      <c r="BE303" s="90"/>
      <c r="BF303" s="89" t="str">
        <f t="shared" si="24"/>
        <v/>
      </c>
      <c r="BG303" s="96"/>
    </row>
    <row r="304">
      <c r="A304" s="87"/>
      <c r="B304" s="87"/>
      <c r="C304" s="87"/>
      <c r="D304" s="87"/>
      <c r="E304" s="87"/>
      <c r="F304" s="87"/>
      <c r="G304" s="87"/>
      <c r="H304" s="88" t="str">
        <f t="shared" si="1"/>
        <v/>
      </c>
      <c r="I304" s="87"/>
      <c r="J304" s="89" t="str">
        <f t="shared" si="2"/>
        <v/>
      </c>
      <c r="K304" s="90"/>
      <c r="L304" s="89" t="str">
        <f t="shared" si="3"/>
        <v/>
      </c>
      <c r="M304" s="89"/>
      <c r="N304" s="93">
        <f t="shared" si="5"/>
        <v>0</v>
      </c>
      <c r="O304" s="94">
        <f t="shared" si="6"/>
        <v>0</v>
      </c>
      <c r="P304" s="87"/>
      <c r="Q304" s="87"/>
      <c r="R304" s="89" t="str">
        <f t="shared" si="7"/>
        <v/>
      </c>
      <c r="S304" s="90"/>
      <c r="T304" s="89" t="str">
        <f t="shared" si="8"/>
        <v/>
      </c>
      <c r="U304" s="95"/>
      <c r="V304" s="87"/>
      <c r="W304" s="87"/>
      <c r="X304" s="89" t="str">
        <f t="shared" si="9"/>
        <v/>
      </c>
      <c r="Y304" s="90"/>
      <c r="Z304" s="89" t="str">
        <f t="shared" si="10"/>
        <v/>
      </c>
      <c r="AA304" s="95"/>
      <c r="AB304" s="88" t="str">
        <f t="shared" si="27"/>
        <v/>
      </c>
      <c r="AC304" s="87"/>
      <c r="AD304" s="89" t="str">
        <f t="shared" si="11"/>
        <v/>
      </c>
      <c r="AE304" s="90"/>
      <c r="AF304" s="89" t="str">
        <f t="shared" si="12"/>
        <v/>
      </c>
      <c r="AG304" s="96"/>
      <c r="AH304" s="88" t="str">
        <f t="shared" si="13"/>
        <v/>
      </c>
      <c r="AI304" s="87"/>
      <c r="AJ304" s="89" t="str">
        <f t="shared" si="14"/>
        <v/>
      </c>
      <c r="AK304" s="90"/>
      <c r="AL304" s="89" t="str">
        <f t="shared" si="15"/>
        <v/>
      </c>
      <c r="AM304" s="89"/>
      <c r="AN304" s="93">
        <f t="shared" si="17"/>
        <v>0</v>
      </c>
      <c r="AO304" s="94">
        <f t="shared" si="18"/>
        <v>0</v>
      </c>
      <c r="AP304" s="87"/>
      <c r="AQ304" s="87"/>
      <c r="AR304" s="89" t="str">
        <f t="shared" si="19"/>
        <v/>
      </c>
      <c r="AS304" s="90"/>
      <c r="AT304" s="89" t="str">
        <f t="shared" si="20"/>
        <v/>
      </c>
      <c r="AU304" s="95"/>
      <c r="AV304" s="87"/>
      <c r="AW304" s="87"/>
      <c r="AX304" s="89" t="str">
        <f t="shared" si="21"/>
        <v/>
      </c>
      <c r="AY304" s="90"/>
      <c r="AZ304" s="89" t="str">
        <f t="shared" si="22"/>
        <v/>
      </c>
      <c r="BA304" s="95"/>
      <c r="BB304" s="88" t="str">
        <f t="shared" si="28"/>
        <v/>
      </c>
      <c r="BC304" s="87"/>
      <c r="BD304" s="89" t="str">
        <f t="shared" si="23"/>
        <v/>
      </c>
      <c r="BE304" s="90"/>
      <c r="BF304" s="89" t="str">
        <f t="shared" si="24"/>
        <v/>
      </c>
      <c r="BG304" s="96"/>
    </row>
    <row r="305">
      <c r="A305" s="87"/>
      <c r="B305" s="87"/>
      <c r="C305" s="87"/>
      <c r="D305" s="87"/>
      <c r="E305" s="87"/>
      <c r="F305" s="87"/>
      <c r="G305" s="87"/>
      <c r="H305" s="88" t="str">
        <f t="shared" si="1"/>
        <v/>
      </c>
      <c r="I305" s="87"/>
      <c r="J305" s="89" t="str">
        <f t="shared" si="2"/>
        <v/>
      </c>
      <c r="K305" s="90"/>
      <c r="L305" s="89" t="str">
        <f t="shared" si="3"/>
        <v/>
      </c>
      <c r="M305" s="89"/>
      <c r="N305" s="93">
        <f t="shared" si="5"/>
        <v>0</v>
      </c>
      <c r="O305" s="94">
        <f t="shared" si="6"/>
        <v>0</v>
      </c>
      <c r="P305" s="87"/>
      <c r="Q305" s="87"/>
      <c r="R305" s="89" t="str">
        <f t="shared" si="7"/>
        <v/>
      </c>
      <c r="S305" s="90"/>
      <c r="T305" s="89" t="str">
        <f t="shared" si="8"/>
        <v/>
      </c>
      <c r="U305" s="95"/>
      <c r="V305" s="87"/>
      <c r="W305" s="87"/>
      <c r="X305" s="89" t="str">
        <f t="shared" si="9"/>
        <v/>
      </c>
      <c r="Y305" s="90"/>
      <c r="Z305" s="89" t="str">
        <f t="shared" si="10"/>
        <v/>
      </c>
      <c r="AA305" s="95"/>
      <c r="AB305" s="88" t="str">
        <f t="shared" si="27"/>
        <v/>
      </c>
      <c r="AC305" s="87"/>
      <c r="AD305" s="89" t="str">
        <f t="shared" si="11"/>
        <v/>
      </c>
      <c r="AE305" s="90"/>
      <c r="AF305" s="89" t="str">
        <f t="shared" si="12"/>
        <v/>
      </c>
      <c r="AG305" s="96"/>
      <c r="AH305" s="88" t="str">
        <f t="shared" si="13"/>
        <v/>
      </c>
      <c r="AI305" s="87"/>
      <c r="AJ305" s="89" t="str">
        <f t="shared" si="14"/>
        <v/>
      </c>
      <c r="AK305" s="90"/>
      <c r="AL305" s="89" t="str">
        <f t="shared" si="15"/>
        <v/>
      </c>
      <c r="AM305" s="89"/>
      <c r="AN305" s="93">
        <f t="shared" si="17"/>
        <v>0</v>
      </c>
      <c r="AO305" s="94">
        <f t="shared" si="18"/>
        <v>0</v>
      </c>
      <c r="AP305" s="87"/>
      <c r="AQ305" s="87"/>
      <c r="AR305" s="89" t="str">
        <f t="shared" si="19"/>
        <v/>
      </c>
      <c r="AS305" s="90"/>
      <c r="AT305" s="89" t="str">
        <f t="shared" si="20"/>
        <v/>
      </c>
      <c r="AU305" s="95"/>
      <c r="AV305" s="87"/>
      <c r="AW305" s="87"/>
      <c r="AX305" s="89" t="str">
        <f t="shared" si="21"/>
        <v/>
      </c>
      <c r="AY305" s="90"/>
      <c r="AZ305" s="89" t="str">
        <f t="shared" si="22"/>
        <v/>
      </c>
      <c r="BA305" s="95"/>
      <c r="BB305" s="88" t="str">
        <f t="shared" si="28"/>
        <v/>
      </c>
      <c r="BC305" s="87"/>
      <c r="BD305" s="89" t="str">
        <f t="shared" si="23"/>
        <v/>
      </c>
      <c r="BE305" s="90"/>
      <c r="BF305" s="89" t="str">
        <f t="shared" si="24"/>
        <v/>
      </c>
      <c r="BG305" s="96"/>
    </row>
    <row r="306">
      <c r="A306" s="87"/>
      <c r="B306" s="87"/>
      <c r="C306" s="87"/>
      <c r="D306" s="87"/>
      <c r="E306" s="87"/>
      <c r="F306" s="87"/>
      <c r="G306" s="87"/>
      <c r="H306" s="88" t="str">
        <f t="shared" si="1"/>
        <v/>
      </c>
      <c r="I306" s="87"/>
      <c r="J306" s="89" t="str">
        <f t="shared" si="2"/>
        <v/>
      </c>
      <c r="K306" s="90"/>
      <c r="L306" s="89" t="str">
        <f t="shared" si="3"/>
        <v/>
      </c>
      <c r="M306" s="89"/>
      <c r="N306" s="93">
        <f t="shared" si="5"/>
        <v>0</v>
      </c>
      <c r="O306" s="94">
        <f t="shared" si="6"/>
        <v>0</v>
      </c>
      <c r="P306" s="87"/>
      <c r="Q306" s="87"/>
      <c r="R306" s="89" t="str">
        <f t="shared" si="7"/>
        <v/>
      </c>
      <c r="S306" s="90"/>
      <c r="T306" s="89" t="str">
        <f t="shared" si="8"/>
        <v/>
      </c>
      <c r="U306" s="95"/>
      <c r="V306" s="87"/>
      <c r="W306" s="87"/>
      <c r="X306" s="89" t="str">
        <f t="shared" si="9"/>
        <v/>
      </c>
      <c r="Y306" s="90"/>
      <c r="Z306" s="89" t="str">
        <f t="shared" si="10"/>
        <v/>
      </c>
      <c r="AA306" s="95"/>
      <c r="AB306" s="88" t="str">
        <f t="shared" si="27"/>
        <v/>
      </c>
      <c r="AC306" s="87"/>
      <c r="AD306" s="89" t="str">
        <f t="shared" si="11"/>
        <v/>
      </c>
      <c r="AE306" s="90"/>
      <c r="AF306" s="89" t="str">
        <f t="shared" si="12"/>
        <v/>
      </c>
      <c r="AG306" s="96"/>
      <c r="AH306" s="88" t="str">
        <f t="shared" si="13"/>
        <v/>
      </c>
      <c r="AI306" s="87"/>
      <c r="AJ306" s="89" t="str">
        <f t="shared" si="14"/>
        <v/>
      </c>
      <c r="AK306" s="90"/>
      <c r="AL306" s="89" t="str">
        <f t="shared" si="15"/>
        <v/>
      </c>
      <c r="AM306" s="89"/>
      <c r="AN306" s="93">
        <f t="shared" si="17"/>
        <v>0</v>
      </c>
      <c r="AO306" s="94">
        <f t="shared" si="18"/>
        <v>0</v>
      </c>
      <c r="AP306" s="87"/>
      <c r="AQ306" s="87"/>
      <c r="AR306" s="89" t="str">
        <f t="shared" si="19"/>
        <v/>
      </c>
      <c r="AS306" s="90"/>
      <c r="AT306" s="89" t="str">
        <f t="shared" si="20"/>
        <v/>
      </c>
      <c r="AU306" s="95"/>
      <c r="AV306" s="87"/>
      <c r="AW306" s="87"/>
      <c r="AX306" s="89" t="str">
        <f t="shared" si="21"/>
        <v/>
      </c>
      <c r="AY306" s="90"/>
      <c r="AZ306" s="89" t="str">
        <f t="shared" si="22"/>
        <v/>
      </c>
      <c r="BA306" s="95"/>
      <c r="BB306" s="88" t="str">
        <f t="shared" si="28"/>
        <v/>
      </c>
      <c r="BC306" s="87"/>
      <c r="BD306" s="89" t="str">
        <f t="shared" si="23"/>
        <v/>
      </c>
      <c r="BE306" s="90"/>
      <c r="BF306" s="89" t="str">
        <f t="shared" si="24"/>
        <v/>
      </c>
      <c r="BG306" s="96"/>
    </row>
    <row r="307">
      <c r="A307" s="87"/>
      <c r="B307" s="87"/>
      <c r="C307" s="87"/>
      <c r="D307" s="87"/>
      <c r="E307" s="87"/>
      <c r="F307" s="87"/>
      <c r="G307" s="87"/>
      <c r="H307" s="88" t="str">
        <f t="shared" si="1"/>
        <v/>
      </c>
      <c r="I307" s="87"/>
      <c r="J307" s="89" t="str">
        <f t="shared" si="2"/>
        <v/>
      </c>
      <c r="K307" s="90"/>
      <c r="L307" s="89" t="str">
        <f t="shared" si="3"/>
        <v/>
      </c>
      <c r="M307" s="89"/>
      <c r="N307" s="93">
        <f t="shared" si="5"/>
        <v>0</v>
      </c>
      <c r="O307" s="94">
        <f t="shared" si="6"/>
        <v>0</v>
      </c>
      <c r="P307" s="87"/>
      <c r="Q307" s="87"/>
      <c r="R307" s="89" t="str">
        <f t="shared" si="7"/>
        <v/>
      </c>
      <c r="S307" s="90"/>
      <c r="T307" s="89" t="str">
        <f t="shared" si="8"/>
        <v/>
      </c>
      <c r="U307" s="95"/>
      <c r="V307" s="87"/>
      <c r="W307" s="87"/>
      <c r="X307" s="89" t="str">
        <f t="shared" si="9"/>
        <v/>
      </c>
      <c r="Y307" s="90"/>
      <c r="Z307" s="89" t="str">
        <f t="shared" si="10"/>
        <v/>
      </c>
      <c r="AA307" s="95"/>
      <c r="AB307" s="88" t="str">
        <f t="shared" si="27"/>
        <v/>
      </c>
      <c r="AC307" s="87"/>
      <c r="AD307" s="89" t="str">
        <f t="shared" si="11"/>
        <v/>
      </c>
      <c r="AE307" s="90"/>
      <c r="AF307" s="89" t="str">
        <f t="shared" si="12"/>
        <v/>
      </c>
      <c r="AG307" s="96"/>
      <c r="AH307" s="88" t="str">
        <f t="shared" si="13"/>
        <v/>
      </c>
      <c r="AI307" s="87"/>
      <c r="AJ307" s="89" t="str">
        <f t="shared" si="14"/>
        <v/>
      </c>
      <c r="AK307" s="90"/>
      <c r="AL307" s="89" t="str">
        <f t="shared" si="15"/>
        <v/>
      </c>
      <c r="AM307" s="89"/>
      <c r="AN307" s="93">
        <f t="shared" si="17"/>
        <v>0</v>
      </c>
      <c r="AO307" s="94">
        <f t="shared" si="18"/>
        <v>0</v>
      </c>
      <c r="AP307" s="87"/>
      <c r="AQ307" s="87"/>
      <c r="AR307" s="89" t="str">
        <f t="shared" si="19"/>
        <v/>
      </c>
      <c r="AS307" s="90"/>
      <c r="AT307" s="89" t="str">
        <f t="shared" si="20"/>
        <v/>
      </c>
      <c r="AU307" s="95"/>
      <c r="AV307" s="87"/>
      <c r="AW307" s="87"/>
      <c r="AX307" s="89" t="str">
        <f t="shared" si="21"/>
        <v/>
      </c>
      <c r="AY307" s="90"/>
      <c r="AZ307" s="89" t="str">
        <f t="shared" si="22"/>
        <v/>
      </c>
      <c r="BA307" s="95"/>
      <c r="BB307" s="88" t="str">
        <f t="shared" si="28"/>
        <v/>
      </c>
      <c r="BC307" s="87"/>
      <c r="BD307" s="89" t="str">
        <f t="shared" si="23"/>
        <v/>
      </c>
      <c r="BE307" s="90"/>
      <c r="BF307" s="89" t="str">
        <f t="shared" si="24"/>
        <v/>
      </c>
      <c r="BG307" s="96"/>
    </row>
    <row r="308">
      <c r="A308" s="87"/>
      <c r="B308" s="87"/>
      <c r="C308" s="87"/>
      <c r="D308" s="87"/>
      <c r="E308" s="87"/>
      <c r="F308" s="87"/>
      <c r="G308" s="87"/>
      <c r="H308" s="88" t="str">
        <f t="shared" si="1"/>
        <v/>
      </c>
      <c r="I308" s="87"/>
      <c r="J308" s="89" t="str">
        <f t="shared" si="2"/>
        <v/>
      </c>
      <c r="K308" s="90"/>
      <c r="L308" s="89" t="str">
        <f t="shared" si="3"/>
        <v/>
      </c>
      <c r="M308" s="89"/>
      <c r="N308" s="93">
        <f t="shared" si="5"/>
        <v>0</v>
      </c>
      <c r="O308" s="94">
        <f t="shared" si="6"/>
        <v>0</v>
      </c>
      <c r="P308" s="87"/>
      <c r="Q308" s="87"/>
      <c r="R308" s="89" t="str">
        <f t="shared" si="7"/>
        <v/>
      </c>
      <c r="S308" s="90"/>
      <c r="T308" s="89" t="str">
        <f t="shared" si="8"/>
        <v/>
      </c>
      <c r="U308" s="95"/>
      <c r="V308" s="87"/>
      <c r="W308" s="87"/>
      <c r="X308" s="89" t="str">
        <f t="shared" si="9"/>
        <v/>
      </c>
      <c r="Y308" s="90"/>
      <c r="Z308" s="89" t="str">
        <f t="shared" si="10"/>
        <v/>
      </c>
      <c r="AA308" s="95"/>
      <c r="AB308" s="88" t="str">
        <f t="shared" si="27"/>
        <v/>
      </c>
      <c r="AC308" s="87"/>
      <c r="AD308" s="89" t="str">
        <f t="shared" si="11"/>
        <v/>
      </c>
      <c r="AE308" s="90"/>
      <c r="AF308" s="89" t="str">
        <f t="shared" si="12"/>
        <v/>
      </c>
      <c r="AG308" s="96"/>
      <c r="AH308" s="88" t="str">
        <f t="shared" si="13"/>
        <v/>
      </c>
      <c r="AI308" s="87"/>
      <c r="AJ308" s="89" t="str">
        <f t="shared" si="14"/>
        <v/>
      </c>
      <c r="AK308" s="90"/>
      <c r="AL308" s="89" t="str">
        <f t="shared" si="15"/>
        <v/>
      </c>
      <c r="AM308" s="89"/>
      <c r="AN308" s="93">
        <f t="shared" si="17"/>
        <v>0</v>
      </c>
      <c r="AO308" s="94">
        <f t="shared" si="18"/>
        <v>0</v>
      </c>
      <c r="AP308" s="87"/>
      <c r="AQ308" s="87"/>
      <c r="AR308" s="89" t="str">
        <f t="shared" si="19"/>
        <v/>
      </c>
      <c r="AS308" s="90"/>
      <c r="AT308" s="89" t="str">
        <f t="shared" si="20"/>
        <v/>
      </c>
      <c r="AU308" s="95"/>
      <c r="AV308" s="87"/>
      <c r="AW308" s="87"/>
      <c r="AX308" s="89" t="str">
        <f t="shared" si="21"/>
        <v/>
      </c>
      <c r="AY308" s="90"/>
      <c r="AZ308" s="89" t="str">
        <f t="shared" si="22"/>
        <v/>
      </c>
      <c r="BA308" s="95"/>
      <c r="BB308" s="88" t="str">
        <f t="shared" si="28"/>
        <v/>
      </c>
      <c r="BC308" s="87"/>
      <c r="BD308" s="89" t="str">
        <f t="shared" si="23"/>
        <v/>
      </c>
      <c r="BE308" s="90"/>
      <c r="BF308" s="89" t="str">
        <f t="shared" si="24"/>
        <v/>
      </c>
      <c r="BG308" s="96"/>
    </row>
    <row r="309">
      <c r="A309" s="87"/>
      <c r="B309" s="87"/>
      <c r="C309" s="87"/>
      <c r="D309" s="87"/>
      <c r="E309" s="87"/>
      <c r="F309" s="87"/>
      <c r="G309" s="87"/>
      <c r="H309" s="88" t="str">
        <f t="shared" si="1"/>
        <v/>
      </c>
      <c r="I309" s="87"/>
      <c r="J309" s="89" t="str">
        <f t="shared" si="2"/>
        <v/>
      </c>
      <c r="K309" s="90"/>
      <c r="L309" s="89" t="str">
        <f t="shared" si="3"/>
        <v/>
      </c>
      <c r="M309" s="89"/>
      <c r="N309" s="93">
        <f t="shared" si="5"/>
        <v>0</v>
      </c>
      <c r="O309" s="94">
        <f t="shared" si="6"/>
        <v>0</v>
      </c>
      <c r="P309" s="87"/>
      <c r="Q309" s="87"/>
      <c r="R309" s="89" t="str">
        <f t="shared" si="7"/>
        <v/>
      </c>
      <c r="S309" s="90"/>
      <c r="T309" s="89" t="str">
        <f t="shared" si="8"/>
        <v/>
      </c>
      <c r="U309" s="95"/>
      <c r="V309" s="87"/>
      <c r="W309" s="87"/>
      <c r="X309" s="89" t="str">
        <f t="shared" si="9"/>
        <v/>
      </c>
      <c r="Y309" s="90"/>
      <c r="Z309" s="89" t="str">
        <f t="shared" si="10"/>
        <v/>
      </c>
      <c r="AA309" s="95"/>
      <c r="AB309" s="88" t="str">
        <f t="shared" si="27"/>
        <v/>
      </c>
      <c r="AC309" s="87"/>
      <c r="AD309" s="89" t="str">
        <f t="shared" si="11"/>
        <v/>
      </c>
      <c r="AE309" s="90"/>
      <c r="AF309" s="89" t="str">
        <f t="shared" si="12"/>
        <v/>
      </c>
      <c r="AG309" s="96"/>
      <c r="AH309" s="88" t="str">
        <f t="shared" si="13"/>
        <v/>
      </c>
      <c r="AI309" s="87"/>
      <c r="AJ309" s="89" t="str">
        <f t="shared" si="14"/>
        <v/>
      </c>
      <c r="AK309" s="90"/>
      <c r="AL309" s="89" t="str">
        <f t="shared" si="15"/>
        <v/>
      </c>
      <c r="AM309" s="89"/>
      <c r="AN309" s="93">
        <f t="shared" si="17"/>
        <v>0</v>
      </c>
      <c r="AO309" s="94">
        <f t="shared" si="18"/>
        <v>0</v>
      </c>
      <c r="AP309" s="87"/>
      <c r="AQ309" s="87"/>
      <c r="AR309" s="89" t="str">
        <f t="shared" si="19"/>
        <v/>
      </c>
      <c r="AS309" s="90"/>
      <c r="AT309" s="89" t="str">
        <f t="shared" si="20"/>
        <v/>
      </c>
      <c r="AU309" s="95"/>
      <c r="AV309" s="87"/>
      <c r="AW309" s="87"/>
      <c r="AX309" s="89" t="str">
        <f t="shared" si="21"/>
        <v/>
      </c>
      <c r="AY309" s="90"/>
      <c r="AZ309" s="89" t="str">
        <f t="shared" si="22"/>
        <v/>
      </c>
      <c r="BA309" s="95"/>
      <c r="BB309" s="88" t="str">
        <f t="shared" si="28"/>
        <v/>
      </c>
      <c r="BC309" s="87"/>
      <c r="BD309" s="89" t="str">
        <f t="shared" si="23"/>
        <v/>
      </c>
      <c r="BE309" s="90"/>
      <c r="BF309" s="89" t="str">
        <f t="shared" si="24"/>
        <v/>
      </c>
      <c r="BG309" s="96"/>
    </row>
    <row r="310">
      <c r="A310" s="87"/>
      <c r="B310" s="87"/>
      <c r="C310" s="87"/>
      <c r="D310" s="87"/>
      <c r="E310" s="87"/>
      <c r="F310" s="87"/>
      <c r="G310" s="87"/>
      <c r="H310" s="88" t="str">
        <f t="shared" si="1"/>
        <v/>
      </c>
      <c r="I310" s="87"/>
      <c r="J310" s="89" t="str">
        <f t="shared" si="2"/>
        <v/>
      </c>
      <c r="K310" s="90"/>
      <c r="L310" s="89" t="str">
        <f t="shared" si="3"/>
        <v/>
      </c>
      <c r="M310" s="89"/>
      <c r="N310" s="93">
        <f t="shared" si="5"/>
        <v>0</v>
      </c>
      <c r="O310" s="94">
        <f t="shared" si="6"/>
        <v>0</v>
      </c>
      <c r="P310" s="87"/>
      <c r="Q310" s="87"/>
      <c r="R310" s="89" t="str">
        <f t="shared" si="7"/>
        <v/>
      </c>
      <c r="S310" s="90"/>
      <c r="T310" s="89" t="str">
        <f t="shared" si="8"/>
        <v/>
      </c>
      <c r="U310" s="95"/>
      <c r="V310" s="87"/>
      <c r="W310" s="87"/>
      <c r="X310" s="89" t="str">
        <f t="shared" si="9"/>
        <v/>
      </c>
      <c r="Y310" s="90"/>
      <c r="Z310" s="89" t="str">
        <f t="shared" si="10"/>
        <v/>
      </c>
      <c r="AA310" s="95"/>
      <c r="AB310" s="88" t="str">
        <f t="shared" si="27"/>
        <v/>
      </c>
      <c r="AC310" s="87"/>
      <c r="AD310" s="89" t="str">
        <f t="shared" si="11"/>
        <v/>
      </c>
      <c r="AE310" s="90"/>
      <c r="AF310" s="89" t="str">
        <f t="shared" si="12"/>
        <v/>
      </c>
      <c r="AG310" s="96"/>
      <c r="AH310" s="88" t="str">
        <f t="shared" si="13"/>
        <v/>
      </c>
      <c r="AI310" s="87"/>
      <c r="AJ310" s="89" t="str">
        <f t="shared" si="14"/>
        <v/>
      </c>
      <c r="AK310" s="90"/>
      <c r="AL310" s="89" t="str">
        <f t="shared" si="15"/>
        <v/>
      </c>
      <c r="AM310" s="89"/>
      <c r="AN310" s="93">
        <f t="shared" si="17"/>
        <v>0</v>
      </c>
      <c r="AO310" s="94">
        <f t="shared" si="18"/>
        <v>0</v>
      </c>
      <c r="AP310" s="87"/>
      <c r="AQ310" s="87"/>
      <c r="AR310" s="89" t="str">
        <f t="shared" si="19"/>
        <v/>
      </c>
      <c r="AS310" s="90"/>
      <c r="AT310" s="89" t="str">
        <f t="shared" si="20"/>
        <v/>
      </c>
      <c r="AU310" s="95"/>
      <c r="AV310" s="87"/>
      <c r="AW310" s="87"/>
      <c r="AX310" s="89" t="str">
        <f t="shared" si="21"/>
        <v/>
      </c>
      <c r="AY310" s="90"/>
      <c r="AZ310" s="89" t="str">
        <f t="shared" si="22"/>
        <v/>
      </c>
      <c r="BA310" s="95"/>
      <c r="BB310" s="88" t="str">
        <f t="shared" si="28"/>
        <v/>
      </c>
      <c r="BC310" s="87"/>
      <c r="BD310" s="89" t="str">
        <f t="shared" si="23"/>
        <v/>
      </c>
      <c r="BE310" s="90"/>
      <c r="BF310" s="89" t="str">
        <f t="shared" si="24"/>
        <v/>
      </c>
      <c r="BG310" s="96"/>
    </row>
    <row r="311">
      <c r="A311" s="87"/>
      <c r="B311" s="87"/>
      <c r="C311" s="87"/>
      <c r="D311" s="87"/>
      <c r="E311" s="87"/>
      <c r="F311" s="87"/>
      <c r="G311" s="87"/>
      <c r="H311" s="88" t="str">
        <f t="shared" si="1"/>
        <v/>
      </c>
      <c r="I311" s="87"/>
      <c r="J311" s="89" t="str">
        <f t="shared" si="2"/>
        <v/>
      </c>
      <c r="K311" s="90"/>
      <c r="L311" s="89" t="str">
        <f t="shared" si="3"/>
        <v/>
      </c>
      <c r="M311" s="89"/>
      <c r="N311" s="93">
        <f t="shared" si="5"/>
        <v>0</v>
      </c>
      <c r="O311" s="94">
        <f t="shared" si="6"/>
        <v>0</v>
      </c>
      <c r="P311" s="87"/>
      <c r="Q311" s="87"/>
      <c r="R311" s="89" t="str">
        <f t="shared" si="7"/>
        <v/>
      </c>
      <c r="S311" s="90"/>
      <c r="T311" s="89" t="str">
        <f t="shared" si="8"/>
        <v/>
      </c>
      <c r="U311" s="95"/>
      <c r="V311" s="87"/>
      <c r="W311" s="87"/>
      <c r="X311" s="89" t="str">
        <f t="shared" si="9"/>
        <v/>
      </c>
      <c r="Y311" s="90"/>
      <c r="Z311" s="89" t="str">
        <f t="shared" si="10"/>
        <v/>
      </c>
      <c r="AA311" s="95"/>
      <c r="AB311" s="88" t="str">
        <f t="shared" si="27"/>
        <v/>
      </c>
      <c r="AC311" s="87"/>
      <c r="AD311" s="89" t="str">
        <f t="shared" si="11"/>
        <v/>
      </c>
      <c r="AE311" s="90"/>
      <c r="AF311" s="89" t="str">
        <f t="shared" si="12"/>
        <v/>
      </c>
      <c r="AG311" s="96"/>
      <c r="AH311" s="88" t="str">
        <f t="shared" si="13"/>
        <v/>
      </c>
      <c r="AI311" s="87"/>
      <c r="AJ311" s="89" t="str">
        <f t="shared" si="14"/>
        <v/>
      </c>
      <c r="AK311" s="90"/>
      <c r="AL311" s="89" t="str">
        <f t="shared" si="15"/>
        <v/>
      </c>
      <c r="AM311" s="89"/>
      <c r="AN311" s="93">
        <f t="shared" si="17"/>
        <v>0</v>
      </c>
      <c r="AO311" s="94">
        <f t="shared" si="18"/>
        <v>0</v>
      </c>
      <c r="AP311" s="87"/>
      <c r="AQ311" s="87"/>
      <c r="AR311" s="89" t="str">
        <f t="shared" si="19"/>
        <v/>
      </c>
      <c r="AS311" s="90"/>
      <c r="AT311" s="89" t="str">
        <f t="shared" si="20"/>
        <v/>
      </c>
      <c r="AU311" s="95"/>
      <c r="AV311" s="87"/>
      <c r="AW311" s="87"/>
      <c r="AX311" s="89" t="str">
        <f t="shared" si="21"/>
        <v/>
      </c>
      <c r="AY311" s="90"/>
      <c r="AZ311" s="89" t="str">
        <f t="shared" si="22"/>
        <v/>
      </c>
      <c r="BA311" s="95"/>
      <c r="BB311" s="88" t="str">
        <f t="shared" si="28"/>
        <v/>
      </c>
      <c r="BC311" s="87"/>
      <c r="BD311" s="89" t="str">
        <f t="shared" si="23"/>
        <v/>
      </c>
      <c r="BE311" s="90"/>
      <c r="BF311" s="89" t="str">
        <f t="shared" si="24"/>
        <v/>
      </c>
      <c r="BG311" s="96"/>
    </row>
    <row r="312">
      <c r="A312" s="87"/>
      <c r="B312" s="87"/>
      <c r="C312" s="87"/>
      <c r="D312" s="87"/>
      <c r="E312" s="87"/>
      <c r="F312" s="87"/>
      <c r="G312" s="87"/>
      <c r="H312" s="88" t="str">
        <f t="shared" si="1"/>
        <v/>
      </c>
      <c r="I312" s="87"/>
      <c r="J312" s="89" t="str">
        <f t="shared" si="2"/>
        <v/>
      </c>
      <c r="K312" s="90"/>
      <c r="L312" s="89" t="str">
        <f t="shared" si="3"/>
        <v/>
      </c>
      <c r="M312" s="89"/>
      <c r="N312" s="93">
        <f t="shared" si="5"/>
        <v>0</v>
      </c>
      <c r="O312" s="94">
        <f t="shared" si="6"/>
        <v>0</v>
      </c>
      <c r="P312" s="87"/>
      <c r="Q312" s="87"/>
      <c r="R312" s="89" t="str">
        <f t="shared" si="7"/>
        <v/>
      </c>
      <c r="S312" s="90"/>
      <c r="T312" s="89" t="str">
        <f t="shared" si="8"/>
        <v/>
      </c>
      <c r="U312" s="95"/>
      <c r="V312" s="87"/>
      <c r="W312" s="87"/>
      <c r="X312" s="89" t="str">
        <f t="shared" si="9"/>
        <v/>
      </c>
      <c r="Y312" s="90"/>
      <c r="Z312" s="89" t="str">
        <f t="shared" si="10"/>
        <v/>
      </c>
      <c r="AA312" s="95"/>
      <c r="AB312" s="88" t="str">
        <f t="shared" si="27"/>
        <v/>
      </c>
      <c r="AC312" s="87"/>
      <c r="AD312" s="89" t="str">
        <f t="shared" si="11"/>
        <v/>
      </c>
      <c r="AE312" s="90"/>
      <c r="AF312" s="89" t="str">
        <f t="shared" si="12"/>
        <v/>
      </c>
      <c r="AG312" s="96"/>
      <c r="AH312" s="88" t="str">
        <f t="shared" si="13"/>
        <v/>
      </c>
      <c r="AI312" s="87"/>
      <c r="AJ312" s="89" t="str">
        <f t="shared" si="14"/>
        <v/>
      </c>
      <c r="AK312" s="90"/>
      <c r="AL312" s="89" t="str">
        <f t="shared" si="15"/>
        <v/>
      </c>
      <c r="AM312" s="89"/>
      <c r="AN312" s="93">
        <f t="shared" si="17"/>
        <v>0</v>
      </c>
      <c r="AO312" s="94">
        <f t="shared" si="18"/>
        <v>0</v>
      </c>
      <c r="AP312" s="87"/>
      <c r="AQ312" s="87"/>
      <c r="AR312" s="89" t="str">
        <f t="shared" si="19"/>
        <v/>
      </c>
      <c r="AS312" s="90"/>
      <c r="AT312" s="89" t="str">
        <f t="shared" si="20"/>
        <v/>
      </c>
      <c r="AU312" s="95"/>
      <c r="AV312" s="87"/>
      <c r="AW312" s="87"/>
      <c r="AX312" s="89" t="str">
        <f t="shared" si="21"/>
        <v/>
      </c>
      <c r="AY312" s="90"/>
      <c r="AZ312" s="89" t="str">
        <f t="shared" si="22"/>
        <v/>
      </c>
      <c r="BA312" s="95"/>
      <c r="BB312" s="88" t="str">
        <f t="shared" si="28"/>
        <v/>
      </c>
      <c r="BC312" s="87"/>
      <c r="BD312" s="89" t="str">
        <f t="shared" si="23"/>
        <v/>
      </c>
      <c r="BE312" s="90"/>
      <c r="BF312" s="89" t="str">
        <f t="shared" si="24"/>
        <v/>
      </c>
      <c r="BG312" s="96"/>
    </row>
    <row r="313">
      <c r="A313" s="87"/>
      <c r="B313" s="87"/>
      <c r="C313" s="87"/>
      <c r="D313" s="87"/>
      <c r="E313" s="87"/>
      <c r="F313" s="87"/>
      <c r="G313" s="87"/>
      <c r="H313" s="88" t="str">
        <f t="shared" si="1"/>
        <v/>
      </c>
      <c r="I313" s="87"/>
      <c r="J313" s="89" t="str">
        <f t="shared" si="2"/>
        <v/>
      </c>
      <c r="K313" s="90"/>
      <c r="L313" s="89" t="str">
        <f t="shared" si="3"/>
        <v/>
      </c>
      <c r="M313" s="89"/>
      <c r="N313" s="93">
        <f t="shared" si="5"/>
        <v>0</v>
      </c>
      <c r="O313" s="94">
        <f t="shared" si="6"/>
        <v>0</v>
      </c>
      <c r="P313" s="87"/>
      <c r="Q313" s="87"/>
      <c r="R313" s="89" t="str">
        <f t="shared" si="7"/>
        <v/>
      </c>
      <c r="S313" s="90"/>
      <c r="T313" s="89" t="str">
        <f t="shared" si="8"/>
        <v/>
      </c>
      <c r="U313" s="95"/>
      <c r="V313" s="87"/>
      <c r="W313" s="87"/>
      <c r="X313" s="89" t="str">
        <f t="shared" si="9"/>
        <v/>
      </c>
      <c r="Y313" s="90"/>
      <c r="Z313" s="89" t="str">
        <f t="shared" si="10"/>
        <v/>
      </c>
      <c r="AA313" s="95"/>
      <c r="AB313" s="88" t="str">
        <f t="shared" si="27"/>
        <v/>
      </c>
      <c r="AC313" s="87"/>
      <c r="AD313" s="89" t="str">
        <f t="shared" si="11"/>
        <v/>
      </c>
      <c r="AE313" s="90"/>
      <c r="AF313" s="89" t="str">
        <f t="shared" si="12"/>
        <v/>
      </c>
      <c r="AG313" s="96"/>
      <c r="AH313" s="88" t="str">
        <f t="shared" si="13"/>
        <v/>
      </c>
      <c r="AI313" s="87"/>
      <c r="AJ313" s="89" t="str">
        <f t="shared" si="14"/>
        <v/>
      </c>
      <c r="AK313" s="90"/>
      <c r="AL313" s="89" t="str">
        <f t="shared" si="15"/>
        <v/>
      </c>
      <c r="AM313" s="89"/>
      <c r="AN313" s="93">
        <f t="shared" si="17"/>
        <v>0</v>
      </c>
      <c r="AO313" s="94">
        <f t="shared" si="18"/>
        <v>0</v>
      </c>
      <c r="AP313" s="87"/>
      <c r="AQ313" s="87"/>
      <c r="AR313" s="89" t="str">
        <f t="shared" si="19"/>
        <v/>
      </c>
      <c r="AS313" s="90"/>
      <c r="AT313" s="89" t="str">
        <f t="shared" si="20"/>
        <v/>
      </c>
      <c r="AU313" s="95"/>
      <c r="AV313" s="87"/>
      <c r="AW313" s="87"/>
      <c r="AX313" s="89" t="str">
        <f t="shared" si="21"/>
        <v/>
      </c>
      <c r="AY313" s="90"/>
      <c r="AZ313" s="89" t="str">
        <f t="shared" si="22"/>
        <v/>
      </c>
      <c r="BA313" s="95"/>
      <c r="BB313" s="88" t="str">
        <f t="shared" si="28"/>
        <v/>
      </c>
      <c r="BC313" s="87"/>
      <c r="BD313" s="89" t="str">
        <f t="shared" si="23"/>
        <v/>
      </c>
      <c r="BE313" s="90"/>
      <c r="BF313" s="89" t="str">
        <f t="shared" si="24"/>
        <v/>
      </c>
      <c r="BG313" s="96"/>
    </row>
    <row r="314">
      <c r="A314" s="87"/>
      <c r="B314" s="87"/>
      <c r="C314" s="87"/>
      <c r="D314" s="87"/>
      <c r="E314" s="87"/>
      <c r="F314" s="87"/>
      <c r="G314" s="87"/>
      <c r="H314" s="88" t="str">
        <f t="shared" si="1"/>
        <v/>
      </c>
      <c r="I314" s="87"/>
      <c r="J314" s="89" t="str">
        <f t="shared" si="2"/>
        <v/>
      </c>
      <c r="K314" s="90"/>
      <c r="L314" s="89" t="str">
        <f t="shared" si="3"/>
        <v/>
      </c>
      <c r="M314" s="89"/>
      <c r="N314" s="93">
        <f t="shared" si="5"/>
        <v>0</v>
      </c>
      <c r="O314" s="94">
        <f t="shared" si="6"/>
        <v>0</v>
      </c>
      <c r="P314" s="87"/>
      <c r="Q314" s="87"/>
      <c r="R314" s="89" t="str">
        <f t="shared" si="7"/>
        <v/>
      </c>
      <c r="S314" s="90"/>
      <c r="T314" s="89" t="str">
        <f t="shared" si="8"/>
        <v/>
      </c>
      <c r="U314" s="95"/>
      <c r="V314" s="87"/>
      <c r="W314" s="87"/>
      <c r="X314" s="89" t="str">
        <f t="shared" si="9"/>
        <v/>
      </c>
      <c r="Y314" s="90"/>
      <c r="Z314" s="89" t="str">
        <f t="shared" si="10"/>
        <v/>
      </c>
      <c r="AA314" s="95"/>
      <c r="AB314" s="88" t="str">
        <f t="shared" si="27"/>
        <v/>
      </c>
      <c r="AC314" s="87"/>
      <c r="AD314" s="89" t="str">
        <f t="shared" si="11"/>
        <v/>
      </c>
      <c r="AE314" s="90"/>
      <c r="AF314" s="89" t="str">
        <f t="shared" si="12"/>
        <v/>
      </c>
      <c r="AG314" s="96"/>
      <c r="AH314" s="88" t="str">
        <f t="shared" si="13"/>
        <v/>
      </c>
      <c r="AI314" s="87"/>
      <c r="AJ314" s="89" t="str">
        <f t="shared" si="14"/>
        <v/>
      </c>
      <c r="AK314" s="90"/>
      <c r="AL314" s="89" t="str">
        <f t="shared" si="15"/>
        <v/>
      </c>
      <c r="AM314" s="89"/>
      <c r="AN314" s="93">
        <f t="shared" si="17"/>
        <v>0</v>
      </c>
      <c r="AO314" s="94">
        <f t="shared" si="18"/>
        <v>0</v>
      </c>
      <c r="AP314" s="87"/>
      <c r="AQ314" s="87"/>
      <c r="AR314" s="89" t="str">
        <f t="shared" si="19"/>
        <v/>
      </c>
      <c r="AS314" s="90"/>
      <c r="AT314" s="89" t="str">
        <f t="shared" si="20"/>
        <v/>
      </c>
      <c r="AU314" s="95"/>
      <c r="AV314" s="87"/>
      <c r="AW314" s="87"/>
      <c r="AX314" s="89" t="str">
        <f t="shared" si="21"/>
        <v/>
      </c>
      <c r="AY314" s="90"/>
      <c r="AZ314" s="89" t="str">
        <f t="shared" si="22"/>
        <v/>
      </c>
      <c r="BA314" s="95"/>
      <c r="BB314" s="88" t="str">
        <f t="shared" si="28"/>
        <v/>
      </c>
      <c r="BC314" s="87"/>
      <c r="BD314" s="89" t="str">
        <f t="shared" si="23"/>
        <v/>
      </c>
      <c r="BE314" s="90"/>
      <c r="BF314" s="89" t="str">
        <f t="shared" si="24"/>
        <v/>
      </c>
      <c r="BG314" s="96"/>
    </row>
    <row r="315">
      <c r="A315" s="87"/>
      <c r="B315" s="87"/>
      <c r="C315" s="87"/>
      <c r="D315" s="87"/>
      <c r="E315" s="87"/>
      <c r="F315" s="87"/>
      <c r="G315" s="87"/>
      <c r="H315" s="88" t="str">
        <f t="shared" si="1"/>
        <v/>
      </c>
      <c r="I315" s="87"/>
      <c r="J315" s="89" t="str">
        <f t="shared" si="2"/>
        <v/>
      </c>
      <c r="K315" s="90"/>
      <c r="L315" s="89" t="str">
        <f t="shared" si="3"/>
        <v/>
      </c>
      <c r="M315" s="89"/>
      <c r="N315" s="93">
        <f t="shared" si="5"/>
        <v>0</v>
      </c>
      <c r="O315" s="94">
        <f t="shared" si="6"/>
        <v>0</v>
      </c>
      <c r="P315" s="87"/>
      <c r="Q315" s="87"/>
      <c r="R315" s="89" t="str">
        <f t="shared" si="7"/>
        <v/>
      </c>
      <c r="S315" s="90"/>
      <c r="T315" s="89" t="str">
        <f t="shared" si="8"/>
        <v/>
      </c>
      <c r="U315" s="95"/>
      <c r="V315" s="87"/>
      <c r="W315" s="87"/>
      <c r="X315" s="89" t="str">
        <f t="shared" si="9"/>
        <v/>
      </c>
      <c r="Y315" s="90"/>
      <c r="Z315" s="89" t="str">
        <f t="shared" si="10"/>
        <v/>
      </c>
      <c r="AA315" s="95"/>
      <c r="AB315" s="88" t="str">
        <f t="shared" si="27"/>
        <v/>
      </c>
      <c r="AC315" s="87"/>
      <c r="AD315" s="89" t="str">
        <f t="shared" si="11"/>
        <v/>
      </c>
      <c r="AE315" s="90"/>
      <c r="AF315" s="89" t="str">
        <f t="shared" si="12"/>
        <v/>
      </c>
      <c r="AG315" s="96"/>
      <c r="AH315" s="88" t="str">
        <f t="shared" si="13"/>
        <v/>
      </c>
      <c r="AI315" s="87"/>
      <c r="AJ315" s="89" t="str">
        <f t="shared" si="14"/>
        <v/>
      </c>
      <c r="AK315" s="90"/>
      <c r="AL315" s="89" t="str">
        <f t="shared" si="15"/>
        <v/>
      </c>
      <c r="AM315" s="89"/>
      <c r="AN315" s="93">
        <f t="shared" si="17"/>
        <v>0</v>
      </c>
      <c r="AO315" s="94">
        <f t="shared" si="18"/>
        <v>0</v>
      </c>
      <c r="AP315" s="87"/>
      <c r="AQ315" s="87"/>
      <c r="AR315" s="89" t="str">
        <f t="shared" si="19"/>
        <v/>
      </c>
      <c r="AS315" s="90"/>
      <c r="AT315" s="89" t="str">
        <f t="shared" si="20"/>
        <v/>
      </c>
      <c r="AU315" s="95"/>
      <c r="AV315" s="87"/>
      <c r="AW315" s="87"/>
      <c r="AX315" s="89" t="str">
        <f t="shared" si="21"/>
        <v/>
      </c>
      <c r="AY315" s="90"/>
      <c r="AZ315" s="89" t="str">
        <f t="shared" si="22"/>
        <v/>
      </c>
      <c r="BA315" s="95"/>
      <c r="BB315" s="88" t="str">
        <f t="shared" si="28"/>
        <v/>
      </c>
      <c r="BC315" s="87"/>
      <c r="BD315" s="89" t="str">
        <f t="shared" si="23"/>
        <v/>
      </c>
      <c r="BE315" s="90"/>
      <c r="BF315" s="89" t="str">
        <f t="shared" si="24"/>
        <v/>
      </c>
      <c r="BG315" s="96"/>
    </row>
    <row r="316">
      <c r="A316" s="87"/>
      <c r="B316" s="87"/>
      <c r="C316" s="87"/>
      <c r="D316" s="87"/>
      <c r="E316" s="87"/>
      <c r="F316" s="87"/>
      <c r="G316" s="87"/>
      <c r="H316" s="88" t="str">
        <f t="shared" si="1"/>
        <v/>
      </c>
      <c r="I316" s="87"/>
      <c r="J316" s="89" t="str">
        <f t="shared" si="2"/>
        <v/>
      </c>
      <c r="K316" s="90"/>
      <c r="L316" s="89" t="str">
        <f t="shared" si="3"/>
        <v/>
      </c>
      <c r="M316" s="89"/>
      <c r="N316" s="93">
        <f t="shared" si="5"/>
        <v>0</v>
      </c>
      <c r="O316" s="94">
        <f t="shared" si="6"/>
        <v>0</v>
      </c>
      <c r="P316" s="87"/>
      <c r="Q316" s="87"/>
      <c r="R316" s="89" t="str">
        <f t="shared" si="7"/>
        <v/>
      </c>
      <c r="S316" s="90"/>
      <c r="T316" s="89" t="str">
        <f t="shared" si="8"/>
        <v/>
      </c>
      <c r="U316" s="95"/>
      <c r="V316" s="87"/>
      <c r="W316" s="87"/>
      <c r="X316" s="89" t="str">
        <f t="shared" si="9"/>
        <v/>
      </c>
      <c r="Y316" s="90"/>
      <c r="Z316" s="89" t="str">
        <f t="shared" si="10"/>
        <v/>
      </c>
      <c r="AA316" s="95"/>
      <c r="AB316" s="88" t="str">
        <f t="shared" si="27"/>
        <v/>
      </c>
      <c r="AC316" s="87"/>
      <c r="AD316" s="89" t="str">
        <f t="shared" si="11"/>
        <v/>
      </c>
      <c r="AE316" s="90"/>
      <c r="AF316" s="89" t="str">
        <f t="shared" si="12"/>
        <v/>
      </c>
      <c r="AG316" s="96"/>
      <c r="AH316" s="88" t="str">
        <f t="shared" si="13"/>
        <v/>
      </c>
      <c r="AI316" s="87"/>
      <c r="AJ316" s="89" t="str">
        <f t="shared" si="14"/>
        <v/>
      </c>
      <c r="AK316" s="90"/>
      <c r="AL316" s="89" t="str">
        <f t="shared" si="15"/>
        <v/>
      </c>
      <c r="AM316" s="89"/>
      <c r="AN316" s="93">
        <f t="shared" si="17"/>
        <v>0</v>
      </c>
      <c r="AO316" s="94">
        <f t="shared" si="18"/>
        <v>0</v>
      </c>
      <c r="AP316" s="87"/>
      <c r="AQ316" s="87"/>
      <c r="AR316" s="89" t="str">
        <f t="shared" si="19"/>
        <v/>
      </c>
      <c r="AS316" s="90"/>
      <c r="AT316" s="89" t="str">
        <f t="shared" si="20"/>
        <v/>
      </c>
      <c r="AU316" s="95"/>
      <c r="AV316" s="87"/>
      <c r="AW316" s="87"/>
      <c r="AX316" s="89" t="str">
        <f t="shared" si="21"/>
        <v/>
      </c>
      <c r="AY316" s="90"/>
      <c r="AZ316" s="89" t="str">
        <f t="shared" si="22"/>
        <v/>
      </c>
      <c r="BA316" s="95"/>
      <c r="BB316" s="88" t="str">
        <f t="shared" si="28"/>
        <v/>
      </c>
      <c r="BC316" s="87"/>
      <c r="BD316" s="89" t="str">
        <f t="shared" si="23"/>
        <v/>
      </c>
      <c r="BE316" s="90"/>
      <c r="BF316" s="89" t="str">
        <f t="shared" si="24"/>
        <v/>
      </c>
      <c r="BG316" s="96"/>
    </row>
    <row r="317">
      <c r="A317" s="87"/>
      <c r="B317" s="87"/>
      <c r="C317" s="87"/>
      <c r="D317" s="87"/>
      <c r="E317" s="87"/>
      <c r="F317" s="87"/>
      <c r="G317" s="87"/>
      <c r="H317" s="88" t="str">
        <f t="shared" si="1"/>
        <v/>
      </c>
      <c r="I317" s="87"/>
      <c r="J317" s="89" t="str">
        <f t="shared" si="2"/>
        <v/>
      </c>
      <c r="K317" s="90"/>
      <c r="L317" s="89" t="str">
        <f t="shared" si="3"/>
        <v/>
      </c>
      <c r="M317" s="89"/>
      <c r="N317" s="93">
        <f t="shared" si="5"/>
        <v>0</v>
      </c>
      <c r="O317" s="94">
        <f t="shared" si="6"/>
        <v>0</v>
      </c>
      <c r="P317" s="87"/>
      <c r="Q317" s="87"/>
      <c r="R317" s="89" t="str">
        <f t="shared" si="7"/>
        <v/>
      </c>
      <c r="S317" s="90"/>
      <c r="T317" s="89" t="str">
        <f t="shared" si="8"/>
        <v/>
      </c>
      <c r="U317" s="95"/>
      <c r="V317" s="87"/>
      <c r="W317" s="87"/>
      <c r="X317" s="89" t="str">
        <f t="shared" si="9"/>
        <v/>
      </c>
      <c r="Y317" s="90"/>
      <c r="Z317" s="89" t="str">
        <f t="shared" si="10"/>
        <v/>
      </c>
      <c r="AA317" s="95"/>
      <c r="AB317" s="88" t="str">
        <f t="shared" si="27"/>
        <v/>
      </c>
      <c r="AC317" s="87"/>
      <c r="AD317" s="89" t="str">
        <f t="shared" si="11"/>
        <v/>
      </c>
      <c r="AE317" s="90"/>
      <c r="AF317" s="89" t="str">
        <f t="shared" si="12"/>
        <v/>
      </c>
      <c r="AG317" s="96"/>
      <c r="AH317" s="88" t="str">
        <f t="shared" si="13"/>
        <v/>
      </c>
      <c r="AI317" s="87"/>
      <c r="AJ317" s="89" t="str">
        <f t="shared" si="14"/>
        <v/>
      </c>
      <c r="AK317" s="90"/>
      <c r="AL317" s="89" t="str">
        <f t="shared" si="15"/>
        <v/>
      </c>
      <c r="AM317" s="89"/>
      <c r="AN317" s="93">
        <f t="shared" si="17"/>
        <v>0</v>
      </c>
      <c r="AO317" s="94">
        <f t="shared" si="18"/>
        <v>0</v>
      </c>
      <c r="AP317" s="87"/>
      <c r="AQ317" s="87"/>
      <c r="AR317" s="89" t="str">
        <f t="shared" si="19"/>
        <v/>
      </c>
      <c r="AS317" s="90"/>
      <c r="AT317" s="89" t="str">
        <f t="shared" si="20"/>
        <v/>
      </c>
      <c r="AU317" s="95"/>
      <c r="AV317" s="87"/>
      <c r="AW317" s="87"/>
      <c r="AX317" s="89" t="str">
        <f t="shared" si="21"/>
        <v/>
      </c>
      <c r="AY317" s="90"/>
      <c r="AZ317" s="89" t="str">
        <f t="shared" si="22"/>
        <v/>
      </c>
      <c r="BA317" s="95"/>
      <c r="BB317" s="88" t="str">
        <f t="shared" si="28"/>
        <v/>
      </c>
      <c r="BC317" s="87"/>
      <c r="BD317" s="89" t="str">
        <f t="shared" si="23"/>
        <v/>
      </c>
      <c r="BE317" s="90"/>
      <c r="BF317" s="89" t="str">
        <f t="shared" si="24"/>
        <v/>
      </c>
      <c r="BG317" s="96"/>
    </row>
    <row r="318">
      <c r="A318" s="87"/>
      <c r="B318" s="87"/>
      <c r="C318" s="87"/>
      <c r="D318" s="87"/>
      <c r="E318" s="87"/>
      <c r="F318" s="87"/>
      <c r="G318" s="87"/>
      <c r="H318" s="88" t="str">
        <f t="shared" si="1"/>
        <v/>
      </c>
      <c r="I318" s="87"/>
      <c r="J318" s="89" t="str">
        <f t="shared" si="2"/>
        <v/>
      </c>
      <c r="K318" s="90"/>
      <c r="L318" s="89" t="str">
        <f t="shared" si="3"/>
        <v/>
      </c>
      <c r="M318" s="89"/>
      <c r="N318" s="93">
        <f t="shared" si="5"/>
        <v>0</v>
      </c>
      <c r="O318" s="94">
        <f t="shared" si="6"/>
        <v>0</v>
      </c>
      <c r="P318" s="87"/>
      <c r="Q318" s="87"/>
      <c r="R318" s="89" t="str">
        <f t="shared" si="7"/>
        <v/>
      </c>
      <c r="S318" s="90"/>
      <c r="T318" s="89" t="str">
        <f t="shared" si="8"/>
        <v/>
      </c>
      <c r="U318" s="95"/>
      <c r="V318" s="87"/>
      <c r="W318" s="87"/>
      <c r="X318" s="89" t="str">
        <f t="shared" si="9"/>
        <v/>
      </c>
      <c r="Y318" s="90"/>
      <c r="Z318" s="89" t="str">
        <f t="shared" si="10"/>
        <v/>
      </c>
      <c r="AA318" s="95"/>
      <c r="AB318" s="88" t="str">
        <f t="shared" si="27"/>
        <v/>
      </c>
      <c r="AC318" s="87"/>
      <c r="AD318" s="89" t="str">
        <f t="shared" si="11"/>
        <v/>
      </c>
      <c r="AE318" s="90"/>
      <c r="AF318" s="89" t="str">
        <f t="shared" si="12"/>
        <v/>
      </c>
      <c r="AG318" s="96"/>
      <c r="AH318" s="88" t="str">
        <f t="shared" si="13"/>
        <v/>
      </c>
      <c r="AI318" s="87"/>
      <c r="AJ318" s="89" t="str">
        <f t="shared" si="14"/>
        <v/>
      </c>
      <c r="AK318" s="90"/>
      <c r="AL318" s="89" t="str">
        <f t="shared" si="15"/>
        <v/>
      </c>
      <c r="AM318" s="89"/>
      <c r="AN318" s="93">
        <f t="shared" si="17"/>
        <v>0</v>
      </c>
      <c r="AO318" s="94">
        <f t="shared" si="18"/>
        <v>0</v>
      </c>
      <c r="AP318" s="87"/>
      <c r="AQ318" s="87"/>
      <c r="AR318" s="89" t="str">
        <f t="shared" si="19"/>
        <v/>
      </c>
      <c r="AS318" s="90"/>
      <c r="AT318" s="89" t="str">
        <f t="shared" si="20"/>
        <v/>
      </c>
      <c r="AU318" s="95"/>
      <c r="AV318" s="87"/>
      <c r="AW318" s="87"/>
      <c r="AX318" s="89" t="str">
        <f t="shared" si="21"/>
        <v/>
      </c>
      <c r="AY318" s="90"/>
      <c r="AZ318" s="89" t="str">
        <f t="shared" si="22"/>
        <v/>
      </c>
      <c r="BA318" s="95"/>
      <c r="BB318" s="88" t="str">
        <f t="shared" si="28"/>
        <v/>
      </c>
      <c r="BC318" s="87"/>
      <c r="BD318" s="89" t="str">
        <f t="shared" si="23"/>
        <v/>
      </c>
      <c r="BE318" s="90"/>
      <c r="BF318" s="89" t="str">
        <f t="shared" si="24"/>
        <v/>
      </c>
      <c r="BG318" s="96"/>
    </row>
    <row r="319">
      <c r="A319" s="87"/>
      <c r="B319" s="87"/>
      <c r="C319" s="87"/>
      <c r="D319" s="87"/>
      <c r="E319" s="87"/>
      <c r="F319" s="87"/>
      <c r="G319" s="87"/>
      <c r="H319" s="88" t="str">
        <f t="shared" si="1"/>
        <v/>
      </c>
      <c r="I319" s="87"/>
      <c r="J319" s="89" t="str">
        <f t="shared" si="2"/>
        <v/>
      </c>
      <c r="K319" s="90"/>
      <c r="L319" s="89" t="str">
        <f t="shared" si="3"/>
        <v/>
      </c>
      <c r="M319" s="89"/>
      <c r="N319" s="93">
        <f t="shared" si="5"/>
        <v>0</v>
      </c>
      <c r="O319" s="94">
        <f t="shared" si="6"/>
        <v>0</v>
      </c>
      <c r="P319" s="87"/>
      <c r="Q319" s="87"/>
      <c r="R319" s="89" t="str">
        <f t="shared" si="7"/>
        <v/>
      </c>
      <c r="S319" s="90"/>
      <c r="T319" s="89" t="str">
        <f t="shared" si="8"/>
        <v/>
      </c>
      <c r="U319" s="95"/>
      <c r="V319" s="87"/>
      <c r="W319" s="87"/>
      <c r="X319" s="89" t="str">
        <f t="shared" si="9"/>
        <v/>
      </c>
      <c r="Y319" s="90"/>
      <c r="Z319" s="89" t="str">
        <f t="shared" si="10"/>
        <v/>
      </c>
      <c r="AA319" s="95"/>
      <c r="AB319" s="88" t="str">
        <f t="shared" si="27"/>
        <v/>
      </c>
      <c r="AC319" s="87"/>
      <c r="AD319" s="89" t="str">
        <f t="shared" si="11"/>
        <v/>
      </c>
      <c r="AE319" s="90"/>
      <c r="AF319" s="89" t="str">
        <f t="shared" si="12"/>
        <v/>
      </c>
      <c r="AG319" s="96"/>
      <c r="AH319" s="88" t="str">
        <f t="shared" si="13"/>
        <v/>
      </c>
      <c r="AI319" s="87"/>
      <c r="AJ319" s="89" t="str">
        <f t="shared" si="14"/>
        <v/>
      </c>
      <c r="AK319" s="90"/>
      <c r="AL319" s="89" t="str">
        <f t="shared" si="15"/>
        <v/>
      </c>
      <c r="AM319" s="89"/>
      <c r="AN319" s="93">
        <f t="shared" si="17"/>
        <v>0</v>
      </c>
      <c r="AO319" s="94">
        <f t="shared" si="18"/>
        <v>0</v>
      </c>
      <c r="AP319" s="87"/>
      <c r="AQ319" s="87"/>
      <c r="AR319" s="89" t="str">
        <f t="shared" si="19"/>
        <v/>
      </c>
      <c r="AS319" s="90"/>
      <c r="AT319" s="89" t="str">
        <f t="shared" si="20"/>
        <v/>
      </c>
      <c r="AU319" s="95"/>
      <c r="AV319" s="87"/>
      <c r="AW319" s="87"/>
      <c r="AX319" s="89" t="str">
        <f t="shared" si="21"/>
        <v/>
      </c>
      <c r="AY319" s="90"/>
      <c r="AZ319" s="89" t="str">
        <f t="shared" si="22"/>
        <v/>
      </c>
      <c r="BA319" s="95"/>
      <c r="BB319" s="88" t="str">
        <f t="shared" si="28"/>
        <v/>
      </c>
      <c r="BC319" s="87"/>
      <c r="BD319" s="89" t="str">
        <f t="shared" si="23"/>
        <v/>
      </c>
      <c r="BE319" s="90"/>
      <c r="BF319" s="89" t="str">
        <f t="shared" si="24"/>
        <v/>
      </c>
      <c r="BG319" s="96"/>
    </row>
    <row r="320">
      <c r="A320" s="87"/>
      <c r="B320" s="87"/>
      <c r="C320" s="87"/>
      <c r="D320" s="87"/>
      <c r="E320" s="87"/>
      <c r="F320" s="87"/>
      <c r="G320" s="87"/>
      <c r="H320" s="88" t="str">
        <f t="shared" si="1"/>
        <v/>
      </c>
      <c r="I320" s="87"/>
      <c r="J320" s="89" t="str">
        <f t="shared" si="2"/>
        <v/>
      </c>
      <c r="K320" s="90"/>
      <c r="L320" s="89" t="str">
        <f t="shared" si="3"/>
        <v/>
      </c>
      <c r="M320" s="89"/>
      <c r="N320" s="93">
        <f t="shared" si="5"/>
        <v>0</v>
      </c>
      <c r="O320" s="94">
        <f t="shared" si="6"/>
        <v>0</v>
      </c>
      <c r="P320" s="87"/>
      <c r="Q320" s="87"/>
      <c r="R320" s="89" t="str">
        <f t="shared" si="7"/>
        <v/>
      </c>
      <c r="S320" s="90"/>
      <c r="T320" s="89" t="str">
        <f t="shared" si="8"/>
        <v/>
      </c>
      <c r="U320" s="95"/>
      <c r="V320" s="87"/>
      <c r="W320" s="87"/>
      <c r="X320" s="89" t="str">
        <f t="shared" si="9"/>
        <v/>
      </c>
      <c r="Y320" s="90"/>
      <c r="Z320" s="89" t="str">
        <f t="shared" si="10"/>
        <v/>
      </c>
      <c r="AA320" s="95"/>
      <c r="AB320" s="88" t="str">
        <f t="shared" si="27"/>
        <v/>
      </c>
      <c r="AC320" s="87"/>
      <c r="AD320" s="89" t="str">
        <f t="shared" si="11"/>
        <v/>
      </c>
      <c r="AE320" s="90"/>
      <c r="AF320" s="89" t="str">
        <f t="shared" si="12"/>
        <v/>
      </c>
      <c r="AG320" s="96"/>
      <c r="AH320" s="88" t="str">
        <f t="shared" si="13"/>
        <v/>
      </c>
      <c r="AI320" s="87"/>
      <c r="AJ320" s="89" t="str">
        <f t="shared" si="14"/>
        <v/>
      </c>
      <c r="AK320" s="90"/>
      <c r="AL320" s="89" t="str">
        <f t="shared" si="15"/>
        <v/>
      </c>
      <c r="AM320" s="89"/>
      <c r="AN320" s="93">
        <f t="shared" si="17"/>
        <v>0</v>
      </c>
      <c r="AO320" s="94">
        <f t="shared" si="18"/>
        <v>0</v>
      </c>
      <c r="AP320" s="87"/>
      <c r="AQ320" s="87"/>
      <c r="AR320" s="89" t="str">
        <f t="shared" si="19"/>
        <v/>
      </c>
      <c r="AS320" s="90"/>
      <c r="AT320" s="89" t="str">
        <f t="shared" si="20"/>
        <v/>
      </c>
      <c r="AU320" s="95"/>
      <c r="AV320" s="87"/>
      <c r="AW320" s="87"/>
      <c r="AX320" s="89" t="str">
        <f t="shared" si="21"/>
        <v/>
      </c>
      <c r="AY320" s="90"/>
      <c r="AZ320" s="89" t="str">
        <f t="shared" si="22"/>
        <v/>
      </c>
      <c r="BA320" s="95"/>
      <c r="BB320" s="88" t="str">
        <f t="shared" si="28"/>
        <v/>
      </c>
      <c r="BC320" s="87"/>
      <c r="BD320" s="89" t="str">
        <f t="shared" si="23"/>
        <v/>
      </c>
      <c r="BE320" s="90"/>
      <c r="BF320" s="89" t="str">
        <f t="shared" si="24"/>
        <v/>
      </c>
      <c r="BG320" s="96"/>
    </row>
    <row r="321">
      <c r="A321" s="87"/>
      <c r="B321" s="87"/>
      <c r="C321" s="87"/>
      <c r="D321" s="87"/>
      <c r="E321" s="87"/>
      <c r="F321" s="87"/>
      <c r="G321" s="87"/>
      <c r="H321" s="88" t="str">
        <f t="shared" si="1"/>
        <v/>
      </c>
      <c r="I321" s="87"/>
      <c r="J321" s="89" t="str">
        <f t="shared" si="2"/>
        <v/>
      </c>
      <c r="K321" s="90"/>
      <c r="L321" s="89" t="str">
        <f t="shared" si="3"/>
        <v/>
      </c>
      <c r="M321" s="89"/>
      <c r="N321" s="93">
        <f t="shared" si="5"/>
        <v>0</v>
      </c>
      <c r="O321" s="94">
        <f t="shared" si="6"/>
        <v>0</v>
      </c>
      <c r="P321" s="87"/>
      <c r="Q321" s="87"/>
      <c r="R321" s="89" t="str">
        <f t="shared" si="7"/>
        <v/>
      </c>
      <c r="S321" s="90"/>
      <c r="T321" s="89" t="str">
        <f t="shared" si="8"/>
        <v/>
      </c>
      <c r="U321" s="95"/>
      <c r="V321" s="87"/>
      <c r="W321" s="87"/>
      <c r="X321" s="89" t="str">
        <f t="shared" si="9"/>
        <v/>
      </c>
      <c r="Y321" s="90"/>
      <c r="Z321" s="89" t="str">
        <f t="shared" si="10"/>
        <v/>
      </c>
      <c r="AA321" s="95"/>
      <c r="AB321" s="88" t="str">
        <f t="shared" si="27"/>
        <v/>
      </c>
      <c r="AC321" s="87"/>
      <c r="AD321" s="89" t="str">
        <f t="shared" si="11"/>
        <v/>
      </c>
      <c r="AE321" s="90"/>
      <c r="AF321" s="89" t="str">
        <f t="shared" si="12"/>
        <v/>
      </c>
      <c r="AG321" s="96"/>
      <c r="AH321" s="88" t="str">
        <f t="shared" si="13"/>
        <v/>
      </c>
      <c r="AI321" s="87"/>
      <c r="AJ321" s="89" t="str">
        <f t="shared" si="14"/>
        <v/>
      </c>
      <c r="AK321" s="90"/>
      <c r="AL321" s="89" t="str">
        <f t="shared" si="15"/>
        <v/>
      </c>
      <c r="AM321" s="89"/>
      <c r="AN321" s="93">
        <f t="shared" si="17"/>
        <v>0</v>
      </c>
      <c r="AO321" s="94">
        <f t="shared" si="18"/>
        <v>0</v>
      </c>
      <c r="AP321" s="87"/>
      <c r="AQ321" s="87"/>
      <c r="AR321" s="89" t="str">
        <f t="shared" si="19"/>
        <v/>
      </c>
      <c r="AS321" s="90"/>
      <c r="AT321" s="89" t="str">
        <f t="shared" si="20"/>
        <v/>
      </c>
      <c r="AU321" s="95"/>
      <c r="AV321" s="87"/>
      <c r="AW321" s="87"/>
      <c r="AX321" s="89" t="str">
        <f t="shared" si="21"/>
        <v/>
      </c>
      <c r="AY321" s="90"/>
      <c r="AZ321" s="89" t="str">
        <f t="shared" si="22"/>
        <v/>
      </c>
      <c r="BA321" s="95"/>
      <c r="BB321" s="88" t="str">
        <f t="shared" si="28"/>
        <v/>
      </c>
      <c r="BC321" s="87"/>
      <c r="BD321" s="89" t="str">
        <f t="shared" si="23"/>
        <v/>
      </c>
      <c r="BE321" s="90"/>
      <c r="BF321" s="89" t="str">
        <f t="shared" si="24"/>
        <v/>
      </c>
      <c r="BG321" s="96"/>
    </row>
    <row r="322">
      <c r="A322" s="87"/>
      <c r="B322" s="87"/>
      <c r="C322" s="87"/>
      <c r="D322" s="87"/>
      <c r="E322" s="87"/>
      <c r="F322" s="87"/>
      <c r="G322" s="87"/>
      <c r="H322" s="88" t="str">
        <f t="shared" si="1"/>
        <v/>
      </c>
      <c r="I322" s="87"/>
      <c r="J322" s="89" t="str">
        <f t="shared" si="2"/>
        <v/>
      </c>
      <c r="K322" s="90"/>
      <c r="L322" s="89" t="str">
        <f t="shared" si="3"/>
        <v/>
      </c>
      <c r="M322" s="89"/>
      <c r="N322" s="93">
        <f t="shared" si="5"/>
        <v>0</v>
      </c>
      <c r="O322" s="94">
        <f t="shared" si="6"/>
        <v>0</v>
      </c>
      <c r="P322" s="87"/>
      <c r="Q322" s="87"/>
      <c r="R322" s="89" t="str">
        <f t="shared" si="7"/>
        <v/>
      </c>
      <c r="S322" s="90"/>
      <c r="T322" s="89" t="str">
        <f t="shared" si="8"/>
        <v/>
      </c>
      <c r="U322" s="95"/>
      <c r="V322" s="87"/>
      <c r="W322" s="87"/>
      <c r="X322" s="89" t="str">
        <f t="shared" si="9"/>
        <v/>
      </c>
      <c r="Y322" s="90"/>
      <c r="Z322" s="89" t="str">
        <f t="shared" si="10"/>
        <v/>
      </c>
      <c r="AA322" s="95"/>
      <c r="AB322" s="88" t="str">
        <f t="shared" si="27"/>
        <v/>
      </c>
      <c r="AC322" s="87"/>
      <c r="AD322" s="89" t="str">
        <f t="shared" si="11"/>
        <v/>
      </c>
      <c r="AE322" s="90"/>
      <c r="AF322" s="89" t="str">
        <f t="shared" si="12"/>
        <v/>
      </c>
      <c r="AG322" s="96"/>
      <c r="AH322" s="88" t="str">
        <f t="shared" si="13"/>
        <v/>
      </c>
      <c r="AI322" s="87"/>
      <c r="AJ322" s="89" t="str">
        <f t="shared" si="14"/>
        <v/>
      </c>
      <c r="AK322" s="90"/>
      <c r="AL322" s="89" t="str">
        <f t="shared" si="15"/>
        <v/>
      </c>
      <c r="AM322" s="89"/>
      <c r="AN322" s="93">
        <f t="shared" si="17"/>
        <v>0</v>
      </c>
      <c r="AO322" s="94">
        <f t="shared" si="18"/>
        <v>0</v>
      </c>
      <c r="AP322" s="87"/>
      <c r="AQ322" s="87"/>
      <c r="AR322" s="89" t="str">
        <f t="shared" si="19"/>
        <v/>
      </c>
      <c r="AS322" s="90"/>
      <c r="AT322" s="89" t="str">
        <f t="shared" si="20"/>
        <v/>
      </c>
      <c r="AU322" s="95"/>
      <c r="AV322" s="87"/>
      <c r="AW322" s="87"/>
      <c r="AX322" s="89" t="str">
        <f t="shared" si="21"/>
        <v/>
      </c>
      <c r="AY322" s="90"/>
      <c r="AZ322" s="89" t="str">
        <f t="shared" si="22"/>
        <v/>
      </c>
      <c r="BA322" s="95"/>
      <c r="BB322" s="88" t="str">
        <f t="shared" si="28"/>
        <v/>
      </c>
      <c r="BC322" s="87"/>
      <c r="BD322" s="89" t="str">
        <f t="shared" si="23"/>
        <v/>
      </c>
      <c r="BE322" s="90"/>
      <c r="BF322" s="89" t="str">
        <f t="shared" si="24"/>
        <v/>
      </c>
      <c r="BG322" s="96"/>
    </row>
    <row r="323">
      <c r="A323" s="87"/>
      <c r="B323" s="87"/>
      <c r="C323" s="87"/>
      <c r="D323" s="87"/>
      <c r="E323" s="87"/>
      <c r="F323" s="87"/>
      <c r="G323" s="87"/>
      <c r="H323" s="88" t="str">
        <f t="shared" si="1"/>
        <v/>
      </c>
      <c r="I323" s="87"/>
      <c r="J323" s="89" t="str">
        <f t="shared" si="2"/>
        <v/>
      </c>
      <c r="K323" s="90"/>
      <c r="L323" s="89" t="str">
        <f t="shared" si="3"/>
        <v/>
      </c>
      <c r="M323" s="89"/>
      <c r="N323" s="93">
        <f t="shared" si="5"/>
        <v>0</v>
      </c>
      <c r="O323" s="94">
        <f t="shared" si="6"/>
        <v>0</v>
      </c>
      <c r="P323" s="87"/>
      <c r="Q323" s="87"/>
      <c r="R323" s="89" t="str">
        <f t="shared" si="7"/>
        <v/>
      </c>
      <c r="S323" s="90"/>
      <c r="T323" s="89" t="str">
        <f t="shared" si="8"/>
        <v/>
      </c>
      <c r="U323" s="95"/>
      <c r="V323" s="87"/>
      <c r="W323" s="87"/>
      <c r="X323" s="89" t="str">
        <f t="shared" si="9"/>
        <v/>
      </c>
      <c r="Y323" s="90"/>
      <c r="Z323" s="89" t="str">
        <f t="shared" si="10"/>
        <v/>
      </c>
      <c r="AA323" s="95"/>
      <c r="AB323" s="88" t="str">
        <f t="shared" si="27"/>
        <v/>
      </c>
      <c r="AC323" s="87"/>
      <c r="AD323" s="89" t="str">
        <f t="shared" si="11"/>
        <v/>
      </c>
      <c r="AE323" s="90"/>
      <c r="AF323" s="89" t="str">
        <f t="shared" si="12"/>
        <v/>
      </c>
      <c r="AG323" s="96"/>
      <c r="AH323" s="88" t="str">
        <f t="shared" si="13"/>
        <v/>
      </c>
      <c r="AI323" s="87"/>
      <c r="AJ323" s="89" t="str">
        <f t="shared" si="14"/>
        <v/>
      </c>
      <c r="AK323" s="90"/>
      <c r="AL323" s="89" t="str">
        <f t="shared" si="15"/>
        <v/>
      </c>
      <c r="AM323" s="89"/>
      <c r="AN323" s="93">
        <f t="shared" si="17"/>
        <v>0</v>
      </c>
      <c r="AO323" s="94">
        <f t="shared" si="18"/>
        <v>0</v>
      </c>
      <c r="AP323" s="87"/>
      <c r="AQ323" s="87"/>
      <c r="AR323" s="89" t="str">
        <f t="shared" si="19"/>
        <v/>
      </c>
      <c r="AS323" s="90"/>
      <c r="AT323" s="89" t="str">
        <f t="shared" si="20"/>
        <v/>
      </c>
      <c r="AU323" s="95"/>
      <c r="AV323" s="87"/>
      <c r="AW323" s="87"/>
      <c r="AX323" s="89" t="str">
        <f t="shared" si="21"/>
        <v/>
      </c>
      <c r="AY323" s="90"/>
      <c r="AZ323" s="89" t="str">
        <f t="shared" si="22"/>
        <v/>
      </c>
      <c r="BA323" s="95"/>
      <c r="BB323" s="88" t="str">
        <f t="shared" si="28"/>
        <v/>
      </c>
      <c r="BC323" s="87"/>
      <c r="BD323" s="89" t="str">
        <f t="shared" si="23"/>
        <v/>
      </c>
      <c r="BE323" s="90"/>
      <c r="BF323" s="89" t="str">
        <f t="shared" si="24"/>
        <v/>
      </c>
      <c r="BG323" s="96"/>
    </row>
    <row r="324">
      <c r="A324" s="87"/>
      <c r="B324" s="87"/>
      <c r="C324" s="87"/>
      <c r="D324" s="87"/>
      <c r="E324" s="87"/>
      <c r="F324" s="87"/>
      <c r="G324" s="87"/>
      <c r="H324" s="88" t="str">
        <f t="shared" si="1"/>
        <v/>
      </c>
      <c r="I324" s="87"/>
      <c r="J324" s="89" t="str">
        <f t="shared" si="2"/>
        <v/>
      </c>
      <c r="K324" s="90"/>
      <c r="L324" s="89" t="str">
        <f t="shared" si="3"/>
        <v/>
      </c>
      <c r="M324" s="89"/>
      <c r="N324" s="93">
        <f t="shared" si="5"/>
        <v>0</v>
      </c>
      <c r="O324" s="94">
        <f t="shared" si="6"/>
        <v>0</v>
      </c>
      <c r="P324" s="87"/>
      <c r="Q324" s="87"/>
      <c r="R324" s="89" t="str">
        <f t="shared" si="7"/>
        <v/>
      </c>
      <c r="S324" s="90"/>
      <c r="T324" s="89" t="str">
        <f t="shared" si="8"/>
        <v/>
      </c>
      <c r="U324" s="95"/>
      <c r="V324" s="87"/>
      <c r="W324" s="87"/>
      <c r="X324" s="89" t="str">
        <f t="shared" si="9"/>
        <v/>
      </c>
      <c r="Y324" s="90"/>
      <c r="Z324" s="89" t="str">
        <f t="shared" si="10"/>
        <v/>
      </c>
      <c r="AA324" s="95"/>
      <c r="AB324" s="88" t="str">
        <f t="shared" si="27"/>
        <v/>
      </c>
      <c r="AC324" s="87"/>
      <c r="AD324" s="89" t="str">
        <f t="shared" si="11"/>
        <v/>
      </c>
      <c r="AE324" s="90"/>
      <c r="AF324" s="89" t="str">
        <f t="shared" si="12"/>
        <v/>
      </c>
      <c r="AG324" s="96"/>
      <c r="AH324" s="88" t="str">
        <f t="shared" si="13"/>
        <v/>
      </c>
      <c r="AI324" s="87"/>
      <c r="AJ324" s="89" t="str">
        <f t="shared" si="14"/>
        <v/>
      </c>
      <c r="AK324" s="90"/>
      <c r="AL324" s="89" t="str">
        <f t="shared" si="15"/>
        <v/>
      </c>
      <c r="AM324" s="89"/>
      <c r="AN324" s="93">
        <f t="shared" si="17"/>
        <v>0</v>
      </c>
      <c r="AO324" s="94">
        <f t="shared" si="18"/>
        <v>0</v>
      </c>
      <c r="AP324" s="87"/>
      <c r="AQ324" s="87"/>
      <c r="AR324" s="89" t="str">
        <f t="shared" si="19"/>
        <v/>
      </c>
      <c r="AS324" s="90"/>
      <c r="AT324" s="89" t="str">
        <f t="shared" si="20"/>
        <v/>
      </c>
      <c r="AU324" s="95"/>
      <c r="AV324" s="87"/>
      <c r="AW324" s="87"/>
      <c r="AX324" s="89" t="str">
        <f t="shared" si="21"/>
        <v/>
      </c>
      <c r="AY324" s="90"/>
      <c r="AZ324" s="89" t="str">
        <f t="shared" si="22"/>
        <v/>
      </c>
      <c r="BA324" s="95"/>
      <c r="BB324" s="88" t="str">
        <f t="shared" si="28"/>
        <v/>
      </c>
      <c r="BC324" s="87"/>
      <c r="BD324" s="89" t="str">
        <f t="shared" si="23"/>
        <v/>
      </c>
      <c r="BE324" s="90"/>
      <c r="BF324" s="89" t="str">
        <f t="shared" si="24"/>
        <v/>
      </c>
      <c r="BG324" s="96"/>
    </row>
    <row r="325">
      <c r="A325" s="87"/>
      <c r="B325" s="87"/>
      <c r="C325" s="87"/>
      <c r="D325" s="87"/>
      <c r="E325" s="87"/>
      <c r="F325" s="87"/>
      <c r="G325" s="87"/>
      <c r="H325" s="88" t="str">
        <f t="shared" si="1"/>
        <v/>
      </c>
      <c r="I325" s="87"/>
      <c r="J325" s="89" t="str">
        <f t="shared" si="2"/>
        <v/>
      </c>
      <c r="K325" s="90"/>
      <c r="L325" s="89" t="str">
        <f t="shared" si="3"/>
        <v/>
      </c>
      <c r="M325" s="89"/>
      <c r="N325" s="93">
        <f t="shared" si="5"/>
        <v>0</v>
      </c>
      <c r="O325" s="94">
        <f t="shared" si="6"/>
        <v>0</v>
      </c>
      <c r="P325" s="87"/>
      <c r="Q325" s="87"/>
      <c r="R325" s="89" t="str">
        <f t="shared" si="7"/>
        <v/>
      </c>
      <c r="S325" s="90"/>
      <c r="T325" s="89" t="str">
        <f t="shared" si="8"/>
        <v/>
      </c>
      <c r="U325" s="95"/>
      <c r="V325" s="87"/>
      <c r="W325" s="87"/>
      <c r="X325" s="89" t="str">
        <f t="shared" si="9"/>
        <v/>
      </c>
      <c r="Y325" s="90"/>
      <c r="Z325" s="89" t="str">
        <f t="shared" si="10"/>
        <v/>
      </c>
      <c r="AA325" s="95"/>
      <c r="AB325" s="88" t="str">
        <f t="shared" si="27"/>
        <v/>
      </c>
      <c r="AC325" s="87"/>
      <c r="AD325" s="89" t="str">
        <f t="shared" si="11"/>
        <v/>
      </c>
      <c r="AE325" s="90"/>
      <c r="AF325" s="89" t="str">
        <f t="shared" si="12"/>
        <v/>
      </c>
      <c r="AG325" s="96"/>
      <c r="AH325" s="88" t="str">
        <f t="shared" si="13"/>
        <v/>
      </c>
      <c r="AI325" s="87"/>
      <c r="AJ325" s="89" t="str">
        <f t="shared" si="14"/>
        <v/>
      </c>
      <c r="AK325" s="90"/>
      <c r="AL325" s="89" t="str">
        <f t="shared" si="15"/>
        <v/>
      </c>
      <c r="AM325" s="89"/>
      <c r="AN325" s="93">
        <f t="shared" si="17"/>
        <v>0</v>
      </c>
      <c r="AO325" s="94">
        <f t="shared" si="18"/>
        <v>0</v>
      </c>
      <c r="AP325" s="87"/>
      <c r="AQ325" s="87"/>
      <c r="AR325" s="89" t="str">
        <f t="shared" si="19"/>
        <v/>
      </c>
      <c r="AS325" s="90"/>
      <c r="AT325" s="89" t="str">
        <f t="shared" si="20"/>
        <v/>
      </c>
      <c r="AU325" s="95"/>
      <c r="AV325" s="87"/>
      <c r="AW325" s="87"/>
      <c r="AX325" s="89" t="str">
        <f t="shared" si="21"/>
        <v/>
      </c>
      <c r="AY325" s="90"/>
      <c r="AZ325" s="89" t="str">
        <f t="shared" si="22"/>
        <v/>
      </c>
      <c r="BA325" s="95"/>
      <c r="BB325" s="88" t="str">
        <f t="shared" si="28"/>
        <v/>
      </c>
      <c r="BC325" s="87"/>
      <c r="BD325" s="89" t="str">
        <f t="shared" si="23"/>
        <v/>
      </c>
      <c r="BE325" s="90"/>
      <c r="BF325" s="89" t="str">
        <f t="shared" si="24"/>
        <v/>
      </c>
      <c r="BG325" s="96"/>
    </row>
    <row r="326">
      <c r="A326" s="87"/>
      <c r="B326" s="87"/>
      <c r="C326" s="87"/>
      <c r="D326" s="87"/>
      <c r="E326" s="87"/>
      <c r="F326" s="87"/>
      <c r="G326" s="87"/>
      <c r="H326" s="88" t="str">
        <f t="shared" si="1"/>
        <v/>
      </c>
      <c r="I326" s="87"/>
      <c r="J326" s="89" t="str">
        <f t="shared" si="2"/>
        <v/>
      </c>
      <c r="K326" s="90"/>
      <c r="L326" s="89" t="str">
        <f t="shared" si="3"/>
        <v/>
      </c>
      <c r="M326" s="89"/>
      <c r="N326" s="93">
        <f t="shared" si="5"/>
        <v>0</v>
      </c>
      <c r="O326" s="94">
        <f t="shared" si="6"/>
        <v>0</v>
      </c>
      <c r="P326" s="87"/>
      <c r="Q326" s="87"/>
      <c r="R326" s="89" t="str">
        <f t="shared" si="7"/>
        <v/>
      </c>
      <c r="S326" s="90"/>
      <c r="T326" s="89" t="str">
        <f t="shared" si="8"/>
        <v/>
      </c>
      <c r="U326" s="95"/>
      <c r="V326" s="87"/>
      <c r="W326" s="87"/>
      <c r="X326" s="89" t="str">
        <f t="shared" si="9"/>
        <v/>
      </c>
      <c r="Y326" s="90"/>
      <c r="Z326" s="89" t="str">
        <f t="shared" si="10"/>
        <v/>
      </c>
      <c r="AA326" s="95"/>
      <c r="AB326" s="88" t="str">
        <f t="shared" si="27"/>
        <v/>
      </c>
      <c r="AC326" s="87"/>
      <c r="AD326" s="89" t="str">
        <f t="shared" si="11"/>
        <v/>
      </c>
      <c r="AE326" s="90"/>
      <c r="AF326" s="89" t="str">
        <f t="shared" si="12"/>
        <v/>
      </c>
      <c r="AG326" s="96"/>
      <c r="AH326" s="88" t="str">
        <f t="shared" si="13"/>
        <v/>
      </c>
      <c r="AI326" s="87"/>
      <c r="AJ326" s="89" t="str">
        <f t="shared" si="14"/>
        <v/>
      </c>
      <c r="AK326" s="90"/>
      <c r="AL326" s="89" t="str">
        <f t="shared" si="15"/>
        <v/>
      </c>
      <c r="AM326" s="89"/>
      <c r="AN326" s="93">
        <f t="shared" si="17"/>
        <v>0</v>
      </c>
      <c r="AO326" s="94">
        <f t="shared" si="18"/>
        <v>0</v>
      </c>
      <c r="AP326" s="87"/>
      <c r="AQ326" s="87"/>
      <c r="AR326" s="89" t="str">
        <f t="shared" si="19"/>
        <v/>
      </c>
      <c r="AS326" s="90"/>
      <c r="AT326" s="89" t="str">
        <f t="shared" si="20"/>
        <v/>
      </c>
      <c r="AU326" s="95"/>
      <c r="AV326" s="87"/>
      <c r="AW326" s="87"/>
      <c r="AX326" s="89" t="str">
        <f t="shared" si="21"/>
        <v/>
      </c>
      <c r="AY326" s="90"/>
      <c r="AZ326" s="89" t="str">
        <f t="shared" si="22"/>
        <v/>
      </c>
      <c r="BA326" s="95"/>
      <c r="BB326" s="88" t="str">
        <f t="shared" si="28"/>
        <v/>
      </c>
      <c r="BC326" s="87"/>
      <c r="BD326" s="89" t="str">
        <f t="shared" si="23"/>
        <v/>
      </c>
      <c r="BE326" s="90"/>
      <c r="BF326" s="89" t="str">
        <f t="shared" si="24"/>
        <v/>
      </c>
      <c r="BG326" s="96"/>
    </row>
    <row r="327">
      <c r="A327" s="87"/>
      <c r="B327" s="87"/>
      <c r="C327" s="87"/>
      <c r="D327" s="87"/>
      <c r="E327" s="87"/>
      <c r="F327" s="87"/>
      <c r="G327" s="87"/>
      <c r="H327" s="88" t="str">
        <f t="shared" si="1"/>
        <v/>
      </c>
      <c r="I327" s="87"/>
      <c r="J327" s="89" t="str">
        <f t="shared" si="2"/>
        <v/>
      </c>
      <c r="K327" s="90"/>
      <c r="L327" s="89" t="str">
        <f t="shared" si="3"/>
        <v/>
      </c>
      <c r="M327" s="89"/>
      <c r="N327" s="93">
        <f t="shared" si="5"/>
        <v>0</v>
      </c>
      <c r="O327" s="94">
        <f t="shared" si="6"/>
        <v>0</v>
      </c>
      <c r="P327" s="87"/>
      <c r="Q327" s="87"/>
      <c r="R327" s="89" t="str">
        <f t="shared" si="7"/>
        <v/>
      </c>
      <c r="S327" s="90"/>
      <c r="T327" s="89" t="str">
        <f t="shared" si="8"/>
        <v/>
      </c>
      <c r="U327" s="95"/>
      <c r="V327" s="87"/>
      <c r="W327" s="87"/>
      <c r="X327" s="89" t="str">
        <f t="shared" si="9"/>
        <v/>
      </c>
      <c r="Y327" s="90"/>
      <c r="Z327" s="89" t="str">
        <f t="shared" si="10"/>
        <v/>
      </c>
      <c r="AA327" s="95"/>
      <c r="AB327" s="88" t="str">
        <f t="shared" si="27"/>
        <v/>
      </c>
      <c r="AC327" s="87"/>
      <c r="AD327" s="89" t="str">
        <f t="shared" si="11"/>
        <v/>
      </c>
      <c r="AE327" s="90"/>
      <c r="AF327" s="89" t="str">
        <f t="shared" si="12"/>
        <v/>
      </c>
      <c r="AG327" s="96"/>
      <c r="AH327" s="88" t="str">
        <f t="shared" si="13"/>
        <v/>
      </c>
      <c r="AI327" s="87"/>
      <c r="AJ327" s="89" t="str">
        <f t="shared" si="14"/>
        <v/>
      </c>
      <c r="AK327" s="90"/>
      <c r="AL327" s="89" t="str">
        <f t="shared" si="15"/>
        <v/>
      </c>
      <c r="AM327" s="89"/>
      <c r="AN327" s="93">
        <f t="shared" si="17"/>
        <v>0</v>
      </c>
      <c r="AO327" s="94">
        <f t="shared" si="18"/>
        <v>0</v>
      </c>
      <c r="AP327" s="87"/>
      <c r="AQ327" s="87"/>
      <c r="AR327" s="89" t="str">
        <f t="shared" si="19"/>
        <v/>
      </c>
      <c r="AS327" s="90"/>
      <c r="AT327" s="89" t="str">
        <f t="shared" si="20"/>
        <v/>
      </c>
      <c r="AU327" s="95"/>
      <c r="AV327" s="87"/>
      <c r="AW327" s="87"/>
      <c r="AX327" s="89" t="str">
        <f t="shared" si="21"/>
        <v/>
      </c>
      <c r="AY327" s="90"/>
      <c r="AZ327" s="89" t="str">
        <f t="shared" si="22"/>
        <v/>
      </c>
      <c r="BA327" s="95"/>
      <c r="BB327" s="88" t="str">
        <f t="shared" si="28"/>
        <v/>
      </c>
      <c r="BC327" s="87"/>
      <c r="BD327" s="89" t="str">
        <f t="shared" si="23"/>
        <v/>
      </c>
      <c r="BE327" s="90"/>
      <c r="BF327" s="89" t="str">
        <f t="shared" si="24"/>
        <v/>
      </c>
      <c r="BG327" s="96"/>
    </row>
    <row r="328">
      <c r="A328" s="87"/>
      <c r="B328" s="87"/>
      <c r="C328" s="87"/>
      <c r="D328" s="87"/>
      <c r="E328" s="87"/>
      <c r="F328" s="87"/>
      <c r="G328" s="87"/>
      <c r="H328" s="88" t="str">
        <f t="shared" si="1"/>
        <v/>
      </c>
      <c r="I328" s="87"/>
      <c r="J328" s="89" t="str">
        <f t="shared" si="2"/>
        <v/>
      </c>
      <c r="K328" s="90"/>
      <c r="L328" s="89" t="str">
        <f t="shared" si="3"/>
        <v/>
      </c>
      <c r="M328" s="89"/>
      <c r="N328" s="93">
        <f t="shared" si="5"/>
        <v>0</v>
      </c>
      <c r="O328" s="94">
        <f t="shared" si="6"/>
        <v>0</v>
      </c>
      <c r="P328" s="87"/>
      <c r="Q328" s="87"/>
      <c r="R328" s="89" t="str">
        <f t="shared" si="7"/>
        <v/>
      </c>
      <c r="S328" s="90"/>
      <c r="T328" s="89" t="str">
        <f t="shared" si="8"/>
        <v/>
      </c>
      <c r="U328" s="95"/>
      <c r="V328" s="87"/>
      <c r="W328" s="87"/>
      <c r="X328" s="89" t="str">
        <f t="shared" si="9"/>
        <v/>
      </c>
      <c r="Y328" s="90"/>
      <c r="Z328" s="89" t="str">
        <f t="shared" si="10"/>
        <v/>
      </c>
      <c r="AA328" s="95"/>
      <c r="AB328" s="88" t="str">
        <f t="shared" si="27"/>
        <v/>
      </c>
      <c r="AC328" s="87"/>
      <c r="AD328" s="89" t="str">
        <f t="shared" si="11"/>
        <v/>
      </c>
      <c r="AE328" s="90"/>
      <c r="AF328" s="89" t="str">
        <f t="shared" si="12"/>
        <v/>
      </c>
      <c r="AG328" s="96"/>
      <c r="AH328" s="88" t="str">
        <f t="shared" si="13"/>
        <v/>
      </c>
      <c r="AI328" s="87"/>
      <c r="AJ328" s="89" t="str">
        <f t="shared" si="14"/>
        <v/>
      </c>
      <c r="AK328" s="90"/>
      <c r="AL328" s="89" t="str">
        <f t="shared" si="15"/>
        <v/>
      </c>
      <c r="AM328" s="89"/>
      <c r="AN328" s="93">
        <f t="shared" si="17"/>
        <v>0</v>
      </c>
      <c r="AO328" s="94">
        <f t="shared" si="18"/>
        <v>0</v>
      </c>
      <c r="AP328" s="87"/>
      <c r="AQ328" s="87"/>
      <c r="AR328" s="89" t="str">
        <f t="shared" si="19"/>
        <v/>
      </c>
      <c r="AS328" s="90"/>
      <c r="AT328" s="89" t="str">
        <f t="shared" si="20"/>
        <v/>
      </c>
      <c r="AU328" s="95"/>
      <c r="AV328" s="87"/>
      <c r="AW328" s="87"/>
      <c r="AX328" s="89" t="str">
        <f t="shared" si="21"/>
        <v/>
      </c>
      <c r="AY328" s="90"/>
      <c r="AZ328" s="89" t="str">
        <f t="shared" si="22"/>
        <v/>
      </c>
      <c r="BA328" s="95"/>
      <c r="BB328" s="88" t="str">
        <f t="shared" si="28"/>
        <v/>
      </c>
      <c r="BC328" s="87"/>
      <c r="BD328" s="89" t="str">
        <f t="shared" si="23"/>
        <v/>
      </c>
      <c r="BE328" s="90"/>
      <c r="BF328" s="89" t="str">
        <f t="shared" si="24"/>
        <v/>
      </c>
      <c r="BG328" s="96"/>
    </row>
    <row r="329">
      <c r="A329" s="87"/>
      <c r="B329" s="87"/>
      <c r="C329" s="87"/>
      <c r="D329" s="87"/>
      <c r="E329" s="87"/>
      <c r="F329" s="87"/>
      <c r="G329" s="87"/>
      <c r="H329" s="88" t="str">
        <f t="shared" si="1"/>
        <v/>
      </c>
      <c r="I329" s="87"/>
      <c r="J329" s="89" t="str">
        <f t="shared" si="2"/>
        <v/>
      </c>
      <c r="K329" s="90"/>
      <c r="L329" s="89" t="str">
        <f t="shared" si="3"/>
        <v/>
      </c>
      <c r="M329" s="89"/>
      <c r="N329" s="93">
        <f t="shared" si="5"/>
        <v>0</v>
      </c>
      <c r="O329" s="94">
        <f t="shared" si="6"/>
        <v>0</v>
      </c>
      <c r="P329" s="87"/>
      <c r="Q329" s="87"/>
      <c r="R329" s="89" t="str">
        <f t="shared" si="7"/>
        <v/>
      </c>
      <c r="S329" s="90"/>
      <c r="T329" s="89" t="str">
        <f t="shared" si="8"/>
        <v/>
      </c>
      <c r="U329" s="95"/>
      <c r="V329" s="87"/>
      <c r="W329" s="87"/>
      <c r="X329" s="89" t="str">
        <f t="shared" si="9"/>
        <v/>
      </c>
      <c r="Y329" s="90"/>
      <c r="Z329" s="89" t="str">
        <f t="shared" si="10"/>
        <v/>
      </c>
      <c r="AA329" s="95"/>
      <c r="AB329" s="88" t="str">
        <f t="shared" si="27"/>
        <v/>
      </c>
      <c r="AC329" s="87"/>
      <c r="AD329" s="89" t="str">
        <f t="shared" si="11"/>
        <v/>
      </c>
      <c r="AE329" s="90"/>
      <c r="AF329" s="89" t="str">
        <f t="shared" si="12"/>
        <v/>
      </c>
      <c r="AG329" s="96"/>
      <c r="AH329" s="88" t="str">
        <f t="shared" si="13"/>
        <v/>
      </c>
      <c r="AI329" s="87"/>
      <c r="AJ329" s="89" t="str">
        <f t="shared" si="14"/>
        <v/>
      </c>
      <c r="AK329" s="90"/>
      <c r="AL329" s="89" t="str">
        <f t="shared" si="15"/>
        <v/>
      </c>
      <c r="AM329" s="89"/>
      <c r="AN329" s="93">
        <f t="shared" si="17"/>
        <v>0</v>
      </c>
      <c r="AO329" s="94">
        <f t="shared" si="18"/>
        <v>0</v>
      </c>
      <c r="AP329" s="87"/>
      <c r="AQ329" s="87"/>
      <c r="AR329" s="89" t="str">
        <f t="shared" si="19"/>
        <v/>
      </c>
      <c r="AS329" s="90"/>
      <c r="AT329" s="89" t="str">
        <f t="shared" si="20"/>
        <v/>
      </c>
      <c r="AU329" s="95"/>
      <c r="AV329" s="87"/>
      <c r="AW329" s="87"/>
      <c r="AX329" s="89" t="str">
        <f t="shared" si="21"/>
        <v/>
      </c>
      <c r="AY329" s="90"/>
      <c r="AZ329" s="89" t="str">
        <f t="shared" si="22"/>
        <v/>
      </c>
      <c r="BA329" s="95"/>
      <c r="BB329" s="88" t="str">
        <f t="shared" si="28"/>
        <v/>
      </c>
      <c r="BC329" s="87"/>
      <c r="BD329" s="89" t="str">
        <f t="shared" si="23"/>
        <v/>
      </c>
      <c r="BE329" s="90"/>
      <c r="BF329" s="89" t="str">
        <f t="shared" si="24"/>
        <v/>
      </c>
      <c r="BG329" s="96"/>
    </row>
    <row r="330">
      <c r="A330" s="87"/>
      <c r="B330" s="87"/>
      <c r="C330" s="87"/>
      <c r="D330" s="87"/>
      <c r="E330" s="87"/>
      <c r="F330" s="87"/>
      <c r="G330" s="87"/>
      <c r="H330" s="88" t="str">
        <f t="shared" si="1"/>
        <v/>
      </c>
      <c r="I330" s="87"/>
      <c r="J330" s="89" t="str">
        <f t="shared" si="2"/>
        <v/>
      </c>
      <c r="K330" s="90"/>
      <c r="L330" s="89" t="str">
        <f t="shared" si="3"/>
        <v/>
      </c>
      <c r="M330" s="89"/>
      <c r="N330" s="93">
        <f t="shared" si="5"/>
        <v>0</v>
      </c>
      <c r="O330" s="94">
        <f t="shared" si="6"/>
        <v>0</v>
      </c>
      <c r="P330" s="87"/>
      <c r="Q330" s="87"/>
      <c r="R330" s="89" t="str">
        <f t="shared" si="7"/>
        <v/>
      </c>
      <c r="S330" s="90"/>
      <c r="T330" s="89" t="str">
        <f t="shared" si="8"/>
        <v/>
      </c>
      <c r="U330" s="95"/>
      <c r="V330" s="87"/>
      <c r="W330" s="87"/>
      <c r="X330" s="89" t="str">
        <f t="shared" si="9"/>
        <v/>
      </c>
      <c r="Y330" s="90"/>
      <c r="Z330" s="89" t="str">
        <f t="shared" si="10"/>
        <v/>
      </c>
      <c r="AA330" s="95"/>
      <c r="AB330" s="88" t="str">
        <f t="shared" si="27"/>
        <v/>
      </c>
      <c r="AC330" s="87"/>
      <c r="AD330" s="89" t="str">
        <f t="shared" si="11"/>
        <v/>
      </c>
      <c r="AE330" s="90"/>
      <c r="AF330" s="89" t="str">
        <f t="shared" si="12"/>
        <v/>
      </c>
      <c r="AG330" s="96"/>
      <c r="AH330" s="88" t="str">
        <f t="shared" si="13"/>
        <v/>
      </c>
      <c r="AI330" s="87"/>
      <c r="AJ330" s="89" t="str">
        <f t="shared" si="14"/>
        <v/>
      </c>
      <c r="AK330" s="90"/>
      <c r="AL330" s="89" t="str">
        <f t="shared" si="15"/>
        <v/>
      </c>
      <c r="AM330" s="89"/>
      <c r="AN330" s="93">
        <f t="shared" si="17"/>
        <v>0</v>
      </c>
      <c r="AO330" s="94">
        <f t="shared" si="18"/>
        <v>0</v>
      </c>
      <c r="AP330" s="87"/>
      <c r="AQ330" s="87"/>
      <c r="AR330" s="89" t="str">
        <f t="shared" si="19"/>
        <v/>
      </c>
      <c r="AS330" s="90"/>
      <c r="AT330" s="89" t="str">
        <f t="shared" si="20"/>
        <v/>
      </c>
      <c r="AU330" s="95"/>
      <c r="AV330" s="87"/>
      <c r="AW330" s="87"/>
      <c r="AX330" s="89" t="str">
        <f t="shared" si="21"/>
        <v/>
      </c>
      <c r="AY330" s="90"/>
      <c r="AZ330" s="89" t="str">
        <f t="shared" si="22"/>
        <v/>
      </c>
      <c r="BA330" s="95"/>
      <c r="BB330" s="88" t="str">
        <f t="shared" si="28"/>
        <v/>
      </c>
      <c r="BC330" s="87"/>
      <c r="BD330" s="89" t="str">
        <f t="shared" si="23"/>
        <v/>
      </c>
      <c r="BE330" s="90"/>
      <c r="BF330" s="89" t="str">
        <f t="shared" si="24"/>
        <v/>
      </c>
      <c r="BG330" s="96"/>
    </row>
    <row r="331">
      <c r="A331" s="87"/>
      <c r="B331" s="87"/>
      <c r="C331" s="87"/>
      <c r="D331" s="87"/>
      <c r="E331" s="87"/>
      <c r="F331" s="87"/>
      <c r="G331" s="87"/>
      <c r="H331" s="88" t="str">
        <f t="shared" si="1"/>
        <v/>
      </c>
      <c r="I331" s="87"/>
      <c r="J331" s="89" t="str">
        <f t="shared" si="2"/>
        <v/>
      </c>
      <c r="K331" s="90"/>
      <c r="L331" s="89" t="str">
        <f t="shared" si="3"/>
        <v/>
      </c>
      <c r="M331" s="89"/>
      <c r="N331" s="93">
        <f t="shared" si="5"/>
        <v>0</v>
      </c>
      <c r="O331" s="94">
        <f t="shared" si="6"/>
        <v>0</v>
      </c>
      <c r="P331" s="87"/>
      <c r="Q331" s="87"/>
      <c r="R331" s="89" t="str">
        <f t="shared" si="7"/>
        <v/>
      </c>
      <c r="S331" s="90"/>
      <c r="T331" s="89" t="str">
        <f t="shared" si="8"/>
        <v/>
      </c>
      <c r="U331" s="95"/>
      <c r="V331" s="87"/>
      <c r="W331" s="87"/>
      <c r="X331" s="89" t="str">
        <f t="shared" si="9"/>
        <v/>
      </c>
      <c r="Y331" s="90"/>
      <c r="Z331" s="89" t="str">
        <f t="shared" si="10"/>
        <v/>
      </c>
      <c r="AA331" s="95"/>
      <c r="AB331" s="88" t="str">
        <f t="shared" si="27"/>
        <v/>
      </c>
      <c r="AC331" s="87"/>
      <c r="AD331" s="89" t="str">
        <f t="shared" si="11"/>
        <v/>
      </c>
      <c r="AE331" s="90"/>
      <c r="AF331" s="89" t="str">
        <f t="shared" si="12"/>
        <v/>
      </c>
      <c r="AG331" s="96"/>
      <c r="AH331" s="88" t="str">
        <f t="shared" si="13"/>
        <v/>
      </c>
      <c r="AI331" s="87"/>
      <c r="AJ331" s="89" t="str">
        <f t="shared" si="14"/>
        <v/>
      </c>
      <c r="AK331" s="90"/>
      <c r="AL331" s="89" t="str">
        <f t="shared" si="15"/>
        <v/>
      </c>
      <c r="AM331" s="89"/>
      <c r="AN331" s="93">
        <f t="shared" si="17"/>
        <v>0</v>
      </c>
      <c r="AO331" s="94">
        <f t="shared" si="18"/>
        <v>0</v>
      </c>
      <c r="AP331" s="87"/>
      <c r="AQ331" s="87"/>
      <c r="AR331" s="89" t="str">
        <f t="shared" si="19"/>
        <v/>
      </c>
      <c r="AS331" s="90"/>
      <c r="AT331" s="89" t="str">
        <f t="shared" si="20"/>
        <v/>
      </c>
      <c r="AU331" s="95"/>
      <c r="AV331" s="87"/>
      <c r="AW331" s="87"/>
      <c r="AX331" s="89" t="str">
        <f t="shared" si="21"/>
        <v/>
      </c>
      <c r="AY331" s="90"/>
      <c r="AZ331" s="89" t="str">
        <f t="shared" si="22"/>
        <v/>
      </c>
      <c r="BA331" s="95"/>
      <c r="BB331" s="88" t="str">
        <f t="shared" si="28"/>
        <v/>
      </c>
      <c r="BC331" s="87"/>
      <c r="BD331" s="89" t="str">
        <f t="shared" si="23"/>
        <v/>
      </c>
      <c r="BE331" s="90"/>
      <c r="BF331" s="89" t="str">
        <f t="shared" si="24"/>
        <v/>
      </c>
      <c r="BG331" s="96"/>
    </row>
    <row r="332">
      <c r="A332" s="87"/>
      <c r="B332" s="87"/>
      <c r="C332" s="87"/>
      <c r="D332" s="87"/>
      <c r="E332" s="87"/>
      <c r="F332" s="87"/>
      <c r="G332" s="87"/>
      <c r="H332" s="88" t="str">
        <f t="shared" si="1"/>
        <v/>
      </c>
      <c r="I332" s="87"/>
      <c r="J332" s="89" t="str">
        <f t="shared" si="2"/>
        <v/>
      </c>
      <c r="K332" s="90"/>
      <c r="L332" s="89" t="str">
        <f t="shared" si="3"/>
        <v/>
      </c>
      <c r="M332" s="89"/>
      <c r="N332" s="93">
        <f t="shared" si="5"/>
        <v>0</v>
      </c>
      <c r="O332" s="94">
        <f t="shared" si="6"/>
        <v>0</v>
      </c>
      <c r="P332" s="87"/>
      <c r="Q332" s="87"/>
      <c r="R332" s="89" t="str">
        <f t="shared" si="7"/>
        <v/>
      </c>
      <c r="S332" s="90"/>
      <c r="T332" s="89" t="str">
        <f t="shared" si="8"/>
        <v/>
      </c>
      <c r="U332" s="95"/>
      <c r="V332" s="87"/>
      <c r="W332" s="87"/>
      <c r="X332" s="89" t="str">
        <f t="shared" si="9"/>
        <v/>
      </c>
      <c r="Y332" s="90"/>
      <c r="Z332" s="89" t="str">
        <f t="shared" si="10"/>
        <v/>
      </c>
      <c r="AA332" s="95"/>
      <c r="AB332" s="88" t="str">
        <f t="shared" si="27"/>
        <v/>
      </c>
      <c r="AC332" s="87"/>
      <c r="AD332" s="89" t="str">
        <f t="shared" si="11"/>
        <v/>
      </c>
      <c r="AE332" s="90"/>
      <c r="AF332" s="89" t="str">
        <f t="shared" si="12"/>
        <v/>
      </c>
      <c r="AG332" s="96"/>
      <c r="AH332" s="88" t="str">
        <f t="shared" si="13"/>
        <v/>
      </c>
      <c r="AI332" s="87"/>
      <c r="AJ332" s="89" t="str">
        <f t="shared" si="14"/>
        <v/>
      </c>
      <c r="AK332" s="90"/>
      <c r="AL332" s="89" t="str">
        <f t="shared" si="15"/>
        <v/>
      </c>
      <c r="AM332" s="89"/>
      <c r="AN332" s="93">
        <f t="shared" si="17"/>
        <v>0</v>
      </c>
      <c r="AO332" s="94">
        <f t="shared" si="18"/>
        <v>0</v>
      </c>
      <c r="AP332" s="87"/>
      <c r="AQ332" s="87"/>
      <c r="AR332" s="89" t="str">
        <f t="shared" si="19"/>
        <v/>
      </c>
      <c r="AS332" s="90"/>
      <c r="AT332" s="89" t="str">
        <f t="shared" si="20"/>
        <v/>
      </c>
      <c r="AU332" s="95"/>
      <c r="AV332" s="87"/>
      <c r="AW332" s="87"/>
      <c r="AX332" s="89" t="str">
        <f t="shared" si="21"/>
        <v/>
      </c>
      <c r="AY332" s="90"/>
      <c r="AZ332" s="89" t="str">
        <f t="shared" si="22"/>
        <v/>
      </c>
      <c r="BA332" s="95"/>
      <c r="BB332" s="88" t="str">
        <f t="shared" si="28"/>
        <v/>
      </c>
      <c r="BC332" s="87"/>
      <c r="BD332" s="89" t="str">
        <f t="shared" si="23"/>
        <v/>
      </c>
      <c r="BE332" s="90"/>
      <c r="BF332" s="89" t="str">
        <f t="shared" si="24"/>
        <v/>
      </c>
      <c r="BG332" s="96"/>
    </row>
    <row r="333">
      <c r="A333" s="87"/>
      <c r="B333" s="87"/>
      <c r="C333" s="87"/>
      <c r="D333" s="87"/>
      <c r="E333" s="87"/>
      <c r="F333" s="87"/>
      <c r="G333" s="87"/>
      <c r="H333" s="88" t="str">
        <f t="shared" si="1"/>
        <v/>
      </c>
      <c r="I333" s="87"/>
      <c r="J333" s="89" t="str">
        <f t="shared" si="2"/>
        <v/>
      </c>
      <c r="K333" s="90"/>
      <c r="L333" s="89" t="str">
        <f t="shared" si="3"/>
        <v/>
      </c>
      <c r="M333" s="89"/>
      <c r="N333" s="93">
        <f t="shared" si="5"/>
        <v>0</v>
      </c>
      <c r="O333" s="94">
        <f t="shared" si="6"/>
        <v>0</v>
      </c>
      <c r="P333" s="87"/>
      <c r="Q333" s="87"/>
      <c r="R333" s="89" t="str">
        <f t="shared" si="7"/>
        <v/>
      </c>
      <c r="S333" s="90"/>
      <c r="T333" s="89" t="str">
        <f t="shared" si="8"/>
        <v/>
      </c>
      <c r="U333" s="95"/>
      <c r="V333" s="87"/>
      <c r="W333" s="87"/>
      <c r="X333" s="89" t="str">
        <f t="shared" si="9"/>
        <v/>
      </c>
      <c r="Y333" s="90"/>
      <c r="Z333" s="89" t="str">
        <f t="shared" si="10"/>
        <v/>
      </c>
      <c r="AA333" s="95"/>
      <c r="AB333" s="88" t="str">
        <f t="shared" si="27"/>
        <v/>
      </c>
      <c r="AC333" s="87"/>
      <c r="AD333" s="89" t="str">
        <f t="shared" si="11"/>
        <v/>
      </c>
      <c r="AE333" s="90"/>
      <c r="AF333" s="89" t="str">
        <f t="shared" si="12"/>
        <v/>
      </c>
      <c r="AG333" s="96"/>
      <c r="AH333" s="88" t="str">
        <f t="shared" si="13"/>
        <v/>
      </c>
      <c r="AI333" s="87"/>
      <c r="AJ333" s="89" t="str">
        <f t="shared" si="14"/>
        <v/>
      </c>
      <c r="AK333" s="90"/>
      <c r="AL333" s="89" t="str">
        <f t="shared" si="15"/>
        <v/>
      </c>
      <c r="AM333" s="89"/>
      <c r="AN333" s="93">
        <f t="shared" si="17"/>
        <v>0</v>
      </c>
      <c r="AO333" s="94">
        <f t="shared" si="18"/>
        <v>0</v>
      </c>
      <c r="AP333" s="87"/>
      <c r="AQ333" s="87"/>
      <c r="AR333" s="89" t="str">
        <f t="shared" si="19"/>
        <v/>
      </c>
      <c r="AS333" s="90"/>
      <c r="AT333" s="89" t="str">
        <f t="shared" si="20"/>
        <v/>
      </c>
      <c r="AU333" s="95"/>
      <c r="AV333" s="87"/>
      <c r="AW333" s="87"/>
      <c r="AX333" s="89" t="str">
        <f t="shared" si="21"/>
        <v/>
      </c>
      <c r="AY333" s="90"/>
      <c r="AZ333" s="89" t="str">
        <f t="shared" si="22"/>
        <v/>
      </c>
      <c r="BA333" s="95"/>
      <c r="BB333" s="88" t="str">
        <f t="shared" si="28"/>
        <v/>
      </c>
      <c r="BC333" s="87"/>
      <c r="BD333" s="89" t="str">
        <f t="shared" si="23"/>
        <v/>
      </c>
      <c r="BE333" s="90"/>
      <c r="BF333" s="89" t="str">
        <f t="shared" si="24"/>
        <v/>
      </c>
      <c r="BG333" s="96"/>
    </row>
    <row r="334">
      <c r="A334" s="87"/>
      <c r="B334" s="87"/>
      <c r="C334" s="87"/>
      <c r="D334" s="87"/>
      <c r="E334" s="87"/>
      <c r="F334" s="87"/>
      <c r="G334" s="87"/>
      <c r="H334" s="88" t="str">
        <f t="shared" si="1"/>
        <v/>
      </c>
      <c r="I334" s="87"/>
      <c r="J334" s="89" t="str">
        <f t="shared" si="2"/>
        <v/>
      </c>
      <c r="K334" s="90"/>
      <c r="L334" s="89" t="str">
        <f t="shared" si="3"/>
        <v/>
      </c>
      <c r="M334" s="89"/>
      <c r="N334" s="93">
        <f t="shared" si="5"/>
        <v>0</v>
      </c>
      <c r="O334" s="94">
        <f t="shared" si="6"/>
        <v>0</v>
      </c>
      <c r="P334" s="87"/>
      <c r="Q334" s="87"/>
      <c r="R334" s="89" t="str">
        <f t="shared" si="7"/>
        <v/>
      </c>
      <c r="S334" s="90"/>
      <c r="T334" s="89" t="str">
        <f t="shared" si="8"/>
        <v/>
      </c>
      <c r="U334" s="95"/>
      <c r="V334" s="87"/>
      <c r="W334" s="87"/>
      <c r="X334" s="89" t="str">
        <f t="shared" si="9"/>
        <v/>
      </c>
      <c r="Y334" s="90"/>
      <c r="Z334" s="89" t="str">
        <f t="shared" si="10"/>
        <v/>
      </c>
      <c r="AA334" s="95"/>
      <c r="AB334" s="88" t="str">
        <f t="shared" si="27"/>
        <v/>
      </c>
      <c r="AC334" s="87"/>
      <c r="AD334" s="89" t="str">
        <f t="shared" si="11"/>
        <v/>
      </c>
      <c r="AE334" s="90"/>
      <c r="AF334" s="89" t="str">
        <f t="shared" si="12"/>
        <v/>
      </c>
      <c r="AG334" s="96"/>
      <c r="AH334" s="88" t="str">
        <f t="shared" si="13"/>
        <v/>
      </c>
      <c r="AI334" s="87"/>
      <c r="AJ334" s="89" t="str">
        <f t="shared" si="14"/>
        <v/>
      </c>
      <c r="AK334" s="90"/>
      <c r="AL334" s="89" t="str">
        <f t="shared" si="15"/>
        <v/>
      </c>
      <c r="AM334" s="89"/>
      <c r="AN334" s="93">
        <f t="shared" si="17"/>
        <v>0</v>
      </c>
      <c r="AO334" s="94">
        <f t="shared" si="18"/>
        <v>0</v>
      </c>
      <c r="AP334" s="87"/>
      <c r="AQ334" s="87"/>
      <c r="AR334" s="89" t="str">
        <f t="shared" si="19"/>
        <v/>
      </c>
      <c r="AS334" s="90"/>
      <c r="AT334" s="89" t="str">
        <f t="shared" si="20"/>
        <v/>
      </c>
      <c r="AU334" s="95"/>
      <c r="AV334" s="87"/>
      <c r="AW334" s="87"/>
      <c r="AX334" s="89" t="str">
        <f t="shared" si="21"/>
        <v/>
      </c>
      <c r="AY334" s="90"/>
      <c r="AZ334" s="89" t="str">
        <f t="shared" si="22"/>
        <v/>
      </c>
      <c r="BA334" s="95"/>
      <c r="BB334" s="88" t="str">
        <f t="shared" si="28"/>
        <v/>
      </c>
      <c r="BC334" s="87"/>
      <c r="BD334" s="89" t="str">
        <f t="shared" si="23"/>
        <v/>
      </c>
      <c r="BE334" s="90"/>
      <c r="BF334" s="89" t="str">
        <f t="shared" si="24"/>
        <v/>
      </c>
      <c r="BG334" s="96"/>
    </row>
    <row r="335">
      <c r="A335" s="87"/>
      <c r="B335" s="87"/>
      <c r="C335" s="87"/>
      <c r="D335" s="87"/>
      <c r="E335" s="87"/>
      <c r="F335" s="87"/>
      <c r="G335" s="87"/>
      <c r="H335" s="88" t="str">
        <f t="shared" si="1"/>
        <v/>
      </c>
      <c r="I335" s="87"/>
      <c r="J335" s="89" t="str">
        <f t="shared" si="2"/>
        <v/>
      </c>
      <c r="K335" s="90"/>
      <c r="L335" s="89" t="str">
        <f t="shared" si="3"/>
        <v/>
      </c>
      <c r="M335" s="89"/>
      <c r="N335" s="93">
        <f t="shared" si="5"/>
        <v>0</v>
      </c>
      <c r="O335" s="94">
        <f t="shared" si="6"/>
        <v>0</v>
      </c>
      <c r="P335" s="87"/>
      <c r="Q335" s="87"/>
      <c r="R335" s="89" t="str">
        <f t="shared" si="7"/>
        <v/>
      </c>
      <c r="S335" s="90"/>
      <c r="T335" s="89" t="str">
        <f t="shared" si="8"/>
        <v/>
      </c>
      <c r="U335" s="95"/>
      <c r="V335" s="87"/>
      <c r="W335" s="87"/>
      <c r="X335" s="89" t="str">
        <f t="shared" si="9"/>
        <v/>
      </c>
      <c r="Y335" s="90"/>
      <c r="Z335" s="89" t="str">
        <f t="shared" si="10"/>
        <v/>
      </c>
      <c r="AA335" s="95"/>
      <c r="AB335" s="88" t="str">
        <f t="shared" si="27"/>
        <v/>
      </c>
      <c r="AC335" s="87"/>
      <c r="AD335" s="89" t="str">
        <f t="shared" si="11"/>
        <v/>
      </c>
      <c r="AE335" s="90"/>
      <c r="AF335" s="89" t="str">
        <f t="shared" si="12"/>
        <v/>
      </c>
      <c r="AG335" s="96"/>
      <c r="AH335" s="88" t="str">
        <f t="shared" si="13"/>
        <v/>
      </c>
      <c r="AI335" s="87"/>
      <c r="AJ335" s="89" t="str">
        <f t="shared" si="14"/>
        <v/>
      </c>
      <c r="AK335" s="90"/>
      <c r="AL335" s="89" t="str">
        <f t="shared" si="15"/>
        <v/>
      </c>
      <c r="AM335" s="89"/>
      <c r="AN335" s="93">
        <f t="shared" si="17"/>
        <v>0</v>
      </c>
      <c r="AO335" s="94">
        <f t="shared" si="18"/>
        <v>0</v>
      </c>
      <c r="AP335" s="87"/>
      <c r="AQ335" s="87"/>
      <c r="AR335" s="89" t="str">
        <f t="shared" si="19"/>
        <v/>
      </c>
      <c r="AS335" s="90"/>
      <c r="AT335" s="89" t="str">
        <f t="shared" si="20"/>
        <v/>
      </c>
      <c r="AU335" s="95"/>
      <c r="AV335" s="87"/>
      <c r="AW335" s="87"/>
      <c r="AX335" s="89" t="str">
        <f t="shared" si="21"/>
        <v/>
      </c>
      <c r="AY335" s="90"/>
      <c r="AZ335" s="89" t="str">
        <f t="shared" si="22"/>
        <v/>
      </c>
      <c r="BA335" s="95"/>
      <c r="BB335" s="88" t="str">
        <f t="shared" si="28"/>
        <v/>
      </c>
      <c r="BC335" s="87"/>
      <c r="BD335" s="89" t="str">
        <f t="shared" si="23"/>
        <v/>
      </c>
      <c r="BE335" s="90"/>
      <c r="BF335" s="89" t="str">
        <f t="shared" si="24"/>
        <v/>
      </c>
      <c r="BG335" s="96"/>
    </row>
    <row r="336">
      <c r="A336" s="87"/>
      <c r="B336" s="87"/>
      <c r="C336" s="87"/>
      <c r="D336" s="87"/>
      <c r="E336" s="87"/>
      <c r="F336" s="87"/>
      <c r="G336" s="87"/>
      <c r="H336" s="88" t="str">
        <f t="shared" si="1"/>
        <v/>
      </c>
      <c r="I336" s="87"/>
      <c r="J336" s="89" t="str">
        <f t="shared" si="2"/>
        <v/>
      </c>
      <c r="K336" s="90"/>
      <c r="L336" s="89" t="str">
        <f t="shared" si="3"/>
        <v/>
      </c>
      <c r="M336" s="89"/>
      <c r="N336" s="93">
        <f t="shared" si="5"/>
        <v>0</v>
      </c>
      <c r="O336" s="94">
        <f t="shared" si="6"/>
        <v>0</v>
      </c>
      <c r="P336" s="87"/>
      <c r="Q336" s="87"/>
      <c r="R336" s="89" t="str">
        <f t="shared" si="7"/>
        <v/>
      </c>
      <c r="S336" s="90"/>
      <c r="T336" s="89" t="str">
        <f t="shared" si="8"/>
        <v/>
      </c>
      <c r="U336" s="95"/>
      <c r="V336" s="87"/>
      <c r="W336" s="87"/>
      <c r="X336" s="89" t="str">
        <f t="shared" si="9"/>
        <v/>
      </c>
      <c r="Y336" s="90"/>
      <c r="Z336" s="89" t="str">
        <f t="shared" si="10"/>
        <v/>
      </c>
      <c r="AA336" s="95"/>
      <c r="AB336" s="88" t="str">
        <f t="shared" si="27"/>
        <v/>
      </c>
      <c r="AC336" s="87"/>
      <c r="AD336" s="89" t="str">
        <f t="shared" si="11"/>
        <v/>
      </c>
      <c r="AE336" s="90"/>
      <c r="AF336" s="89" t="str">
        <f t="shared" si="12"/>
        <v/>
      </c>
      <c r="AG336" s="96"/>
      <c r="AH336" s="88" t="str">
        <f t="shared" si="13"/>
        <v/>
      </c>
      <c r="AI336" s="87"/>
      <c r="AJ336" s="89" t="str">
        <f t="shared" si="14"/>
        <v/>
      </c>
      <c r="AK336" s="90"/>
      <c r="AL336" s="89" t="str">
        <f t="shared" si="15"/>
        <v/>
      </c>
      <c r="AM336" s="89"/>
      <c r="AN336" s="93">
        <f t="shared" si="17"/>
        <v>0</v>
      </c>
      <c r="AO336" s="94">
        <f t="shared" si="18"/>
        <v>0</v>
      </c>
      <c r="AP336" s="87"/>
      <c r="AQ336" s="87"/>
      <c r="AR336" s="89" t="str">
        <f t="shared" si="19"/>
        <v/>
      </c>
      <c r="AS336" s="90"/>
      <c r="AT336" s="89" t="str">
        <f t="shared" si="20"/>
        <v/>
      </c>
      <c r="AU336" s="95"/>
      <c r="AV336" s="87"/>
      <c r="AW336" s="87"/>
      <c r="AX336" s="89" t="str">
        <f t="shared" si="21"/>
        <v/>
      </c>
      <c r="AY336" s="90"/>
      <c r="AZ336" s="89" t="str">
        <f t="shared" si="22"/>
        <v/>
      </c>
      <c r="BA336" s="95"/>
      <c r="BB336" s="88" t="str">
        <f t="shared" si="28"/>
        <v/>
      </c>
      <c r="BC336" s="87"/>
      <c r="BD336" s="89" t="str">
        <f t="shared" si="23"/>
        <v/>
      </c>
      <c r="BE336" s="90"/>
      <c r="BF336" s="89" t="str">
        <f t="shared" si="24"/>
        <v/>
      </c>
      <c r="BG336" s="96"/>
    </row>
    <row r="337">
      <c r="A337" s="87"/>
      <c r="B337" s="87"/>
      <c r="C337" s="87"/>
      <c r="D337" s="87"/>
      <c r="E337" s="87"/>
      <c r="F337" s="87"/>
      <c r="G337" s="87"/>
      <c r="H337" s="88" t="str">
        <f t="shared" si="1"/>
        <v/>
      </c>
      <c r="I337" s="87"/>
      <c r="J337" s="89" t="str">
        <f t="shared" si="2"/>
        <v/>
      </c>
      <c r="K337" s="90"/>
      <c r="L337" s="89" t="str">
        <f t="shared" si="3"/>
        <v/>
      </c>
      <c r="M337" s="89"/>
      <c r="N337" s="93">
        <f t="shared" si="5"/>
        <v>0</v>
      </c>
      <c r="O337" s="94">
        <f t="shared" si="6"/>
        <v>0</v>
      </c>
      <c r="P337" s="87"/>
      <c r="Q337" s="87"/>
      <c r="R337" s="89" t="str">
        <f t="shared" si="7"/>
        <v/>
      </c>
      <c r="S337" s="90"/>
      <c r="T337" s="89" t="str">
        <f t="shared" si="8"/>
        <v/>
      </c>
      <c r="U337" s="95"/>
      <c r="V337" s="87"/>
      <c r="W337" s="87"/>
      <c r="X337" s="89" t="str">
        <f t="shared" si="9"/>
        <v/>
      </c>
      <c r="Y337" s="90"/>
      <c r="Z337" s="89" t="str">
        <f t="shared" si="10"/>
        <v/>
      </c>
      <c r="AA337" s="95"/>
      <c r="AB337" s="88" t="str">
        <f t="shared" si="27"/>
        <v/>
      </c>
      <c r="AC337" s="87"/>
      <c r="AD337" s="89" t="str">
        <f t="shared" si="11"/>
        <v/>
      </c>
      <c r="AE337" s="90"/>
      <c r="AF337" s="89" t="str">
        <f t="shared" si="12"/>
        <v/>
      </c>
      <c r="AG337" s="96"/>
      <c r="AH337" s="88" t="str">
        <f t="shared" si="13"/>
        <v/>
      </c>
      <c r="AI337" s="87"/>
      <c r="AJ337" s="89" t="str">
        <f t="shared" si="14"/>
        <v/>
      </c>
      <c r="AK337" s="90"/>
      <c r="AL337" s="89" t="str">
        <f t="shared" si="15"/>
        <v/>
      </c>
      <c r="AM337" s="89"/>
      <c r="AN337" s="93">
        <f t="shared" si="17"/>
        <v>0</v>
      </c>
      <c r="AO337" s="94">
        <f t="shared" si="18"/>
        <v>0</v>
      </c>
      <c r="AP337" s="87"/>
      <c r="AQ337" s="87"/>
      <c r="AR337" s="89" t="str">
        <f t="shared" si="19"/>
        <v/>
      </c>
      <c r="AS337" s="90"/>
      <c r="AT337" s="89" t="str">
        <f t="shared" si="20"/>
        <v/>
      </c>
      <c r="AU337" s="95"/>
      <c r="AV337" s="87"/>
      <c r="AW337" s="87"/>
      <c r="AX337" s="89" t="str">
        <f t="shared" si="21"/>
        <v/>
      </c>
      <c r="AY337" s="90"/>
      <c r="AZ337" s="89" t="str">
        <f t="shared" si="22"/>
        <v/>
      </c>
      <c r="BA337" s="95"/>
      <c r="BB337" s="88" t="str">
        <f t="shared" si="28"/>
        <v/>
      </c>
      <c r="BC337" s="87"/>
      <c r="BD337" s="89" t="str">
        <f t="shared" si="23"/>
        <v/>
      </c>
      <c r="BE337" s="90"/>
      <c r="BF337" s="89" t="str">
        <f t="shared" si="24"/>
        <v/>
      </c>
      <c r="BG337" s="96"/>
    </row>
    <row r="338">
      <c r="A338" s="87"/>
      <c r="B338" s="87"/>
      <c r="C338" s="87"/>
      <c r="D338" s="87"/>
      <c r="E338" s="87"/>
      <c r="F338" s="87"/>
      <c r="G338" s="87"/>
      <c r="H338" s="88" t="str">
        <f t="shared" si="1"/>
        <v/>
      </c>
      <c r="I338" s="87"/>
      <c r="J338" s="89" t="str">
        <f t="shared" si="2"/>
        <v/>
      </c>
      <c r="K338" s="90"/>
      <c r="L338" s="89" t="str">
        <f t="shared" si="3"/>
        <v/>
      </c>
      <c r="M338" s="89"/>
      <c r="N338" s="93">
        <f t="shared" si="5"/>
        <v>0</v>
      </c>
      <c r="O338" s="94">
        <f t="shared" si="6"/>
        <v>0</v>
      </c>
      <c r="P338" s="87"/>
      <c r="Q338" s="87"/>
      <c r="R338" s="89" t="str">
        <f t="shared" si="7"/>
        <v/>
      </c>
      <c r="S338" s="90"/>
      <c r="T338" s="89" t="str">
        <f t="shared" si="8"/>
        <v/>
      </c>
      <c r="U338" s="95"/>
      <c r="V338" s="87"/>
      <c r="W338" s="87"/>
      <c r="X338" s="89" t="str">
        <f t="shared" si="9"/>
        <v/>
      </c>
      <c r="Y338" s="90"/>
      <c r="Z338" s="89" t="str">
        <f t="shared" si="10"/>
        <v/>
      </c>
      <c r="AA338" s="95"/>
      <c r="AB338" s="88" t="str">
        <f t="shared" si="27"/>
        <v/>
      </c>
      <c r="AC338" s="87"/>
      <c r="AD338" s="89" t="str">
        <f t="shared" si="11"/>
        <v/>
      </c>
      <c r="AE338" s="90"/>
      <c r="AF338" s="89" t="str">
        <f t="shared" si="12"/>
        <v/>
      </c>
      <c r="AG338" s="96"/>
      <c r="AH338" s="88" t="str">
        <f t="shared" si="13"/>
        <v/>
      </c>
      <c r="AI338" s="87"/>
      <c r="AJ338" s="89" t="str">
        <f t="shared" si="14"/>
        <v/>
      </c>
      <c r="AK338" s="90"/>
      <c r="AL338" s="89" t="str">
        <f t="shared" si="15"/>
        <v/>
      </c>
      <c r="AM338" s="89"/>
      <c r="AN338" s="93">
        <f t="shared" si="17"/>
        <v>0</v>
      </c>
      <c r="AO338" s="94">
        <f t="shared" si="18"/>
        <v>0</v>
      </c>
      <c r="AP338" s="87"/>
      <c r="AQ338" s="87"/>
      <c r="AR338" s="89" t="str">
        <f t="shared" si="19"/>
        <v/>
      </c>
      <c r="AS338" s="90"/>
      <c r="AT338" s="89" t="str">
        <f t="shared" si="20"/>
        <v/>
      </c>
      <c r="AU338" s="95"/>
      <c r="AV338" s="87"/>
      <c r="AW338" s="87"/>
      <c r="AX338" s="89" t="str">
        <f t="shared" si="21"/>
        <v/>
      </c>
      <c r="AY338" s="90"/>
      <c r="AZ338" s="89" t="str">
        <f t="shared" si="22"/>
        <v/>
      </c>
      <c r="BA338" s="95"/>
      <c r="BB338" s="88" t="str">
        <f t="shared" si="28"/>
        <v/>
      </c>
      <c r="BC338" s="87"/>
      <c r="BD338" s="89" t="str">
        <f t="shared" si="23"/>
        <v/>
      </c>
      <c r="BE338" s="90"/>
      <c r="BF338" s="89" t="str">
        <f t="shared" si="24"/>
        <v/>
      </c>
      <c r="BG338" s="96"/>
    </row>
    <row r="339">
      <c r="A339" s="87"/>
      <c r="B339" s="87"/>
      <c r="C339" s="87"/>
      <c r="D339" s="87"/>
      <c r="E339" s="87"/>
      <c r="F339" s="87"/>
      <c r="G339" s="87"/>
      <c r="H339" s="88" t="str">
        <f t="shared" si="1"/>
        <v/>
      </c>
      <c r="I339" s="87"/>
      <c r="J339" s="89" t="str">
        <f t="shared" si="2"/>
        <v/>
      </c>
      <c r="K339" s="90"/>
      <c r="L339" s="89" t="str">
        <f t="shared" si="3"/>
        <v/>
      </c>
      <c r="M339" s="89"/>
      <c r="N339" s="93">
        <f t="shared" si="5"/>
        <v>0</v>
      </c>
      <c r="O339" s="94">
        <f t="shared" si="6"/>
        <v>0</v>
      </c>
      <c r="P339" s="87"/>
      <c r="Q339" s="87"/>
      <c r="R339" s="89" t="str">
        <f t="shared" si="7"/>
        <v/>
      </c>
      <c r="S339" s="90"/>
      <c r="T339" s="89" t="str">
        <f t="shared" si="8"/>
        <v/>
      </c>
      <c r="U339" s="95"/>
      <c r="V339" s="87"/>
      <c r="W339" s="87"/>
      <c r="X339" s="89" t="str">
        <f t="shared" si="9"/>
        <v/>
      </c>
      <c r="Y339" s="90"/>
      <c r="Z339" s="89" t="str">
        <f t="shared" si="10"/>
        <v/>
      </c>
      <c r="AA339" s="95"/>
      <c r="AB339" s="88" t="str">
        <f t="shared" si="27"/>
        <v/>
      </c>
      <c r="AC339" s="87"/>
      <c r="AD339" s="89" t="str">
        <f t="shared" si="11"/>
        <v/>
      </c>
      <c r="AE339" s="90"/>
      <c r="AF339" s="89" t="str">
        <f t="shared" si="12"/>
        <v/>
      </c>
      <c r="AG339" s="96"/>
      <c r="AH339" s="88" t="str">
        <f t="shared" si="13"/>
        <v/>
      </c>
      <c r="AI339" s="87"/>
      <c r="AJ339" s="89" t="str">
        <f t="shared" si="14"/>
        <v/>
      </c>
      <c r="AK339" s="90"/>
      <c r="AL339" s="89" t="str">
        <f t="shared" si="15"/>
        <v/>
      </c>
      <c r="AM339" s="89"/>
      <c r="AN339" s="93">
        <f t="shared" si="17"/>
        <v>0</v>
      </c>
      <c r="AO339" s="94">
        <f t="shared" si="18"/>
        <v>0</v>
      </c>
      <c r="AP339" s="87"/>
      <c r="AQ339" s="87"/>
      <c r="AR339" s="89" t="str">
        <f t="shared" si="19"/>
        <v/>
      </c>
      <c r="AS339" s="90"/>
      <c r="AT339" s="89" t="str">
        <f t="shared" si="20"/>
        <v/>
      </c>
      <c r="AU339" s="95"/>
      <c r="AV339" s="87"/>
      <c r="AW339" s="87"/>
      <c r="AX339" s="89" t="str">
        <f t="shared" si="21"/>
        <v/>
      </c>
      <c r="AY339" s="90"/>
      <c r="AZ339" s="89" t="str">
        <f t="shared" si="22"/>
        <v/>
      </c>
      <c r="BA339" s="95"/>
      <c r="BB339" s="88" t="str">
        <f t="shared" si="28"/>
        <v/>
      </c>
      <c r="BC339" s="87"/>
      <c r="BD339" s="89" t="str">
        <f t="shared" si="23"/>
        <v/>
      </c>
      <c r="BE339" s="90"/>
      <c r="BF339" s="89" t="str">
        <f t="shared" si="24"/>
        <v/>
      </c>
      <c r="BG339" s="96"/>
    </row>
    <row r="340">
      <c r="A340" s="87"/>
      <c r="B340" s="87"/>
      <c r="C340" s="87"/>
      <c r="D340" s="87"/>
      <c r="E340" s="87"/>
      <c r="F340" s="87"/>
      <c r="G340" s="87"/>
      <c r="H340" s="88" t="str">
        <f t="shared" si="1"/>
        <v/>
      </c>
      <c r="I340" s="87"/>
      <c r="J340" s="89" t="str">
        <f t="shared" si="2"/>
        <v/>
      </c>
      <c r="K340" s="90"/>
      <c r="L340" s="89" t="str">
        <f t="shared" si="3"/>
        <v/>
      </c>
      <c r="M340" s="89"/>
      <c r="N340" s="93">
        <f t="shared" si="5"/>
        <v>0</v>
      </c>
      <c r="O340" s="94">
        <f t="shared" si="6"/>
        <v>0</v>
      </c>
      <c r="P340" s="87"/>
      <c r="Q340" s="87"/>
      <c r="R340" s="89" t="str">
        <f t="shared" si="7"/>
        <v/>
      </c>
      <c r="S340" s="90"/>
      <c r="T340" s="89" t="str">
        <f t="shared" si="8"/>
        <v/>
      </c>
      <c r="U340" s="95"/>
      <c r="V340" s="87"/>
      <c r="W340" s="87"/>
      <c r="X340" s="89" t="str">
        <f t="shared" si="9"/>
        <v/>
      </c>
      <c r="Y340" s="90"/>
      <c r="Z340" s="89" t="str">
        <f t="shared" si="10"/>
        <v/>
      </c>
      <c r="AA340" s="95"/>
      <c r="AB340" s="88" t="str">
        <f t="shared" si="27"/>
        <v/>
      </c>
      <c r="AC340" s="87"/>
      <c r="AD340" s="89" t="str">
        <f t="shared" si="11"/>
        <v/>
      </c>
      <c r="AE340" s="90"/>
      <c r="AF340" s="89" t="str">
        <f t="shared" si="12"/>
        <v/>
      </c>
      <c r="AG340" s="96"/>
      <c r="AH340" s="88" t="str">
        <f t="shared" si="13"/>
        <v/>
      </c>
      <c r="AI340" s="87"/>
      <c r="AJ340" s="89" t="str">
        <f t="shared" si="14"/>
        <v/>
      </c>
      <c r="AK340" s="90"/>
      <c r="AL340" s="89" t="str">
        <f t="shared" si="15"/>
        <v/>
      </c>
      <c r="AM340" s="89"/>
      <c r="AN340" s="93">
        <f t="shared" si="17"/>
        <v>0</v>
      </c>
      <c r="AO340" s="94">
        <f t="shared" si="18"/>
        <v>0</v>
      </c>
      <c r="AP340" s="87"/>
      <c r="AQ340" s="87"/>
      <c r="AR340" s="89" t="str">
        <f t="shared" si="19"/>
        <v/>
      </c>
      <c r="AS340" s="90"/>
      <c r="AT340" s="89" t="str">
        <f t="shared" si="20"/>
        <v/>
      </c>
      <c r="AU340" s="95"/>
      <c r="AV340" s="87"/>
      <c r="AW340" s="87"/>
      <c r="AX340" s="89" t="str">
        <f t="shared" si="21"/>
        <v/>
      </c>
      <c r="AY340" s="90"/>
      <c r="AZ340" s="89" t="str">
        <f t="shared" si="22"/>
        <v/>
      </c>
      <c r="BA340" s="95"/>
      <c r="BB340" s="88" t="str">
        <f t="shared" si="28"/>
        <v/>
      </c>
      <c r="BC340" s="87"/>
      <c r="BD340" s="89" t="str">
        <f t="shared" si="23"/>
        <v/>
      </c>
      <c r="BE340" s="90"/>
      <c r="BF340" s="89" t="str">
        <f t="shared" si="24"/>
        <v/>
      </c>
      <c r="BG340" s="96"/>
    </row>
    <row r="341">
      <c r="A341" s="87"/>
      <c r="B341" s="87"/>
      <c r="C341" s="87"/>
      <c r="D341" s="87"/>
      <c r="E341" s="87"/>
      <c r="F341" s="87"/>
      <c r="G341" s="87"/>
      <c r="H341" s="88" t="str">
        <f t="shared" si="1"/>
        <v/>
      </c>
      <c r="I341" s="87"/>
      <c r="J341" s="89" t="str">
        <f t="shared" si="2"/>
        <v/>
      </c>
      <c r="K341" s="90"/>
      <c r="L341" s="89" t="str">
        <f t="shared" si="3"/>
        <v/>
      </c>
      <c r="M341" s="89"/>
      <c r="N341" s="93">
        <f t="shared" si="5"/>
        <v>0</v>
      </c>
      <c r="O341" s="94">
        <f t="shared" si="6"/>
        <v>0</v>
      </c>
      <c r="P341" s="87"/>
      <c r="Q341" s="87"/>
      <c r="R341" s="89" t="str">
        <f t="shared" si="7"/>
        <v/>
      </c>
      <c r="S341" s="90"/>
      <c r="T341" s="89" t="str">
        <f t="shared" si="8"/>
        <v/>
      </c>
      <c r="U341" s="95"/>
      <c r="V341" s="87"/>
      <c r="W341" s="87"/>
      <c r="X341" s="89" t="str">
        <f t="shared" si="9"/>
        <v/>
      </c>
      <c r="Y341" s="90"/>
      <c r="Z341" s="89" t="str">
        <f t="shared" si="10"/>
        <v/>
      </c>
      <c r="AA341" s="95"/>
      <c r="AB341" s="88" t="str">
        <f t="shared" si="27"/>
        <v/>
      </c>
      <c r="AC341" s="87"/>
      <c r="AD341" s="89" t="str">
        <f t="shared" si="11"/>
        <v/>
      </c>
      <c r="AE341" s="90"/>
      <c r="AF341" s="89" t="str">
        <f t="shared" si="12"/>
        <v/>
      </c>
      <c r="AG341" s="96"/>
      <c r="AH341" s="88" t="str">
        <f t="shared" si="13"/>
        <v/>
      </c>
      <c r="AI341" s="87"/>
      <c r="AJ341" s="89" t="str">
        <f t="shared" si="14"/>
        <v/>
      </c>
      <c r="AK341" s="90"/>
      <c r="AL341" s="89" t="str">
        <f t="shared" si="15"/>
        <v/>
      </c>
      <c r="AM341" s="89"/>
      <c r="AN341" s="93">
        <f t="shared" si="17"/>
        <v>0</v>
      </c>
      <c r="AO341" s="94">
        <f t="shared" si="18"/>
        <v>0</v>
      </c>
      <c r="AP341" s="87"/>
      <c r="AQ341" s="87"/>
      <c r="AR341" s="89" t="str">
        <f t="shared" si="19"/>
        <v/>
      </c>
      <c r="AS341" s="90"/>
      <c r="AT341" s="89" t="str">
        <f t="shared" si="20"/>
        <v/>
      </c>
      <c r="AU341" s="95"/>
      <c r="AV341" s="87"/>
      <c r="AW341" s="87"/>
      <c r="AX341" s="89" t="str">
        <f t="shared" si="21"/>
        <v/>
      </c>
      <c r="AY341" s="90"/>
      <c r="AZ341" s="89" t="str">
        <f t="shared" si="22"/>
        <v/>
      </c>
      <c r="BA341" s="95"/>
      <c r="BB341" s="88" t="str">
        <f t="shared" si="28"/>
        <v/>
      </c>
      <c r="BC341" s="87"/>
      <c r="BD341" s="89" t="str">
        <f t="shared" si="23"/>
        <v/>
      </c>
      <c r="BE341" s="90"/>
      <c r="BF341" s="89" t="str">
        <f t="shared" si="24"/>
        <v/>
      </c>
      <c r="BG341" s="96"/>
    </row>
    <row r="342">
      <c r="A342" s="87"/>
      <c r="B342" s="87"/>
      <c r="C342" s="87"/>
      <c r="D342" s="87"/>
      <c r="E342" s="87"/>
      <c r="F342" s="87"/>
      <c r="G342" s="87"/>
      <c r="H342" s="88" t="str">
        <f t="shared" si="1"/>
        <v/>
      </c>
      <c r="I342" s="87"/>
      <c r="J342" s="89" t="str">
        <f t="shared" si="2"/>
        <v/>
      </c>
      <c r="K342" s="90"/>
      <c r="L342" s="89" t="str">
        <f t="shared" si="3"/>
        <v/>
      </c>
      <c r="M342" s="89"/>
      <c r="N342" s="93">
        <f t="shared" si="5"/>
        <v>0</v>
      </c>
      <c r="O342" s="94">
        <f t="shared" si="6"/>
        <v>0</v>
      </c>
      <c r="P342" s="87"/>
      <c r="Q342" s="87"/>
      <c r="R342" s="89" t="str">
        <f t="shared" si="7"/>
        <v/>
      </c>
      <c r="S342" s="90"/>
      <c r="T342" s="89" t="str">
        <f t="shared" si="8"/>
        <v/>
      </c>
      <c r="U342" s="95"/>
      <c r="V342" s="87"/>
      <c r="W342" s="87"/>
      <c r="X342" s="89" t="str">
        <f t="shared" si="9"/>
        <v/>
      </c>
      <c r="Y342" s="90"/>
      <c r="Z342" s="89" t="str">
        <f t="shared" si="10"/>
        <v/>
      </c>
      <c r="AA342" s="95"/>
      <c r="AB342" s="88" t="str">
        <f t="shared" si="27"/>
        <v/>
      </c>
      <c r="AC342" s="87"/>
      <c r="AD342" s="89" t="str">
        <f t="shared" si="11"/>
        <v/>
      </c>
      <c r="AE342" s="90"/>
      <c r="AF342" s="89" t="str">
        <f t="shared" si="12"/>
        <v/>
      </c>
      <c r="AG342" s="96"/>
      <c r="AH342" s="88" t="str">
        <f t="shared" si="13"/>
        <v/>
      </c>
      <c r="AI342" s="87"/>
      <c r="AJ342" s="89" t="str">
        <f t="shared" si="14"/>
        <v/>
      </c>
      <c r="AK342" s="90"/>
      <c r="AL342" s="89" t="str">
        <f t="shared" si="15"/>
        <v/>
      </c>
      <c r="AM342" s="89"/>
      <c r="AN342" s="93">
        <f t="shared" si="17"/>
        <v>0</v>
      </c>
      <c r="AO342" s="94">
        <f t="shared" si="18"/>
        <v>0</v>
      </c>
      <c r="AP342" s="87"/>
      <c r="AQ342" s="87"/>
      <c r="AR342" s="89" t="str">
        <f t="shared" si="19"/>
        <v/>
      </c>
      <c r="AS342" s="90"/>
      <c r="AT342" s="89" t="str">
        <f t="shared" si="20"/>
        <v/>
      </c>
      <c r="AU342" s="95"/>
      <c r="AV342" s="87"/>
      <c r="AW342" s="87"/>
      <c r="AX342" s="89" t="str">
        <f t="shared" si="21"/>
        <v/>
      </c>
      <c r="AY342" s="90"/>
      <c r="AZ342" s="89" t="str">
        <f t="shared" si="22"/>
        <v/>
      </c>
      <c r="BA342" s="95"/>
      <c r="BB342" s="88" t="str">
        <f t="shared" si="28"/>
        <v/>
      </c>
      <c r="BC342" s="87"/>
      <c r="BD342" s="89" t="str">
        <f t="shared" si="23"/>
        <v/>
      </c>
      <c r="BE342" s="90"/>
      <c r="BF342" s="89" t="str">
        <f t="shared" si="24"/>
        <v/>
      </c>
      <c r="BG342" s="96"/>
    </row>
    <row r="343">
      <c r="A343" s="87"/>
      <c r="B343" s="87"/>
      <c r="C343" s="87"/>
      <c r="D343" s="87"/>
      <c r="E343" s="87"/>
      <c r="F343" s="87"/>
      <c r="G343" s="87"/>
      <c r="H343" s="88" t="str">
        <f t="shared" si="1"/>
        <v/>
      </c>
      <c r="I343" s="87"/>
      <c r="J343" s="89" t="str">
        <f t="shared" si="2"/>
        <v/>
      </c>
      <c r="K343" s="90"/>
      <c r="L343" s="89" t="str">
        <f t="shared" si="3"/>
        <v/>
      </c>
      <c r="M343" s="89"/>
      <c r="N343" s="93">
        <f t="shared" si="5"/>
        <v>0</v>
      </c>
      <c r="O343" s="94">
        <f t="shared" si="6"/>
        <v>0</v>
      </c>
      <c r="P343" s="87"/>
      <c r="Q343" s="87"/>
      <c r="R343" s="89" t="str">
        <f t="shared" si="7"/>
        <v/>
      </c>
      <c r="S343" s="90"/>
      <c r="T343" s="89" t="str">
        <f t="shared" si="8"/>
        <v/>
      </c>
      <c r="U343" s="95"/>
      <c r="V343" s="87"/>
      <c r="W343" s="87"/>
      <c r="X343" s="89" t="str">
        <f t="shared" si="9"/>
        <v/>
      </c>
      <c r="Y343" s="90"/>
      <c r="Z343" s="89" t="str">
        <f t="shared" si="10"/>
        <v/>
      </c>
      <c r="AA343" s="95"/>
      <c r="AB343" s="88" t="str">
        <f t="shared" si="27"/>
        <v/>
      </c>
      <c r="AC343" s="87"/>
      <c r="AD343" s="89" t="str">
        <f t="shared" si="11"/>
        <v/>
      </c>
      <c r="AE343" s="90"/>
      <c r="AF343" s="89" t="str">
        <f t="shared" si="12"/>
        <v/>
      </c>
      <c r="AG343" s="96"/>
      <c r="AH343" s="88" t="str">
        <f t="shared" si="13"/>
        <v/>
      </c>
      <c r="AI343" s="87"/>
      <c r="AJ343" s="89" t="str">
        <f t="shared" si="14"/>
        <v/>
      </c>
      <c r="AK343" s="90"/>
      <c r="AL343" s="89" t="str">
        <f t="shared" si="15"/>
        <v/>
      </c>
      <c r="AM343" s="89"/>
      <c r="AN343" s="93">
        <f t="shared" si="17"/>
        <v>0</v>
      </c>
      <c r="AO343" s="94">
        <f t="shared" si="18"/>
        <v>0</v>
      </c>
      <c r="AP343" s="87"/>
      <c r="AQ343" s="87"/>
      <c r="AR343" s="89" t="str">
        <f t="shared" si="19"/>
        <v/>
      </c>
      <c r="AS343" s="90"/>
      <c r="AT343" s="89" t="str">
        <f t="shared" si="20"/>
        <v/>
      </c>
      <c r="AU343" s="95"/>
      <c r="AV343" s="87"/>
      <c r="AW343" s="87"/>
      <c r="AX343" s="89" t="str">
        <f t="shared" si="21"/>
        <v/>
      </c>
      <c r="AY343" s="90"/>
      <c r="AZ343" s="89" t="str">
        <f t="shared" si="22"/>
        <v/>
      </c>
      <c r="BA343" s="95"/>
      <c r="BB343" s="88" t="str">
        <f t="shared" si="28"/>
        <v/>
      </c>
      <c r="BC343" s="87"/>
      <c r="BD343" s="89" t="str">
        <f t="shared" si="23"/>
        <v/>
      </c>
      <c r="BE343" s="90"/>
      <c r="BF343" s="89" t="str">
        <f t="shared" si="24"/>
        <v/>
      </c>
      <c r="BG343" s="96"/>
    </row>
    <row r="344">
      <c r="A344" s="87"/>
      <c r="B344" s="87"/>
      <c r="C344" s="87"/>
      <c r="D344" s="87"/>
      <c r="E344" s="87"/>
      <c r="F344" s="87"/>
      <c r="G344" s="87"/>
      <c r="H344" s="88" t="str">
        <f t="shared" si="1"/>
        <v/>
      </c>
      <c r="I344" s="87"/>
      <c r="J344" s="89" t="str">
        <f t="shared" si="2"/>
        <v/>
      </c>
      <c r="K344" s="90"/>
      <c r="L344" s="89" t="str">
        <f t="shared" si="3"/>
        <v/>
      </c>
      <c r="M344" s="89"/>
      <c r="N344" s="93">
        <f t="shared" si="5"/>
        <v>0</v>
      </c>
      <c r="O344" s="94">
        <f t="shared" si="6"/>
        <v>0</v>
      </c>
      <c r="P344" s="87"/>
      <c r="Q344" s="87"/>
      <c r="R344" s="89" t="str">
        <f t="shared" si="7"/>
        <v/>
      </c>
      <c r="S344" s="90"/>
      <c r="T344" s="89" t="str">
        <f t="shared" si="8"/>
        <v/>
      </c>
      <c r="U344" s="95"/>
      <c r="V344" s="87"/>
      <c r="W344" s="87"/>
      <c r="X344" s="89" t="str">
        <f t="shared" si="9"/>
        <v/>
      </c>
      <c r="Y344" s="90"/>
      <c r="Z344" s="89" t="str">
        <f t="shared" si="10"/>
        <v/>
      </c>
      <c r="AA344" s="95"/>
      <c r="AB344" s="88" t="str">
        <f t="shared" si="27"/>
        <v/>
      </c>
      <c r="AC344" s="87"/>
      <c r="AD344" s="89" t="str">
        <f t="shared" si="11"/>
        <v/>
      </c>
      <c r="AE344" s="90"/>
      <c r="AF344" s="89" t="str">
        <f t="shared" si="12"/>
        <v/>
      </c>
      <c r="AG344" s="96"/>
      <c r="AH344" s="88" t="str">
        <f t="shared" si="13"/>
        <v/>
      </c>
      <c r="AI344" s="87"/>
      <c r="AJ344" s="89" t="str">
        <f t="shared" si="14"/>
        <v/>
      </c>
      <c r="AK344" s="90"/>
      <c r="AL344" s="89" t="str">
        <f t="shared" si="15"/>
        <v/>
      </c>
      <c r="AM344" s="89"/>
      <c r="AN344" s="93">
        <f t="shared" si="17"/>
        <v>0</v>
      </c>
      <c r="AO344" s="94">
        <f t="shared" si="18"/>
        <v>0</v>
      </c>
      <c r="AP344" s="87"/>
      <c r="AQ344" s="87"/>
      <c r="AR344" s="89" t="str">
        <f t="shared" si="19"/>
        <v/>
      </c>
      <c r="AS344" s="90"/>
      <c r="AT344" s="89" t="str">
        <f t="shared" si="20"/>
        <v/>
      </c>
      <c r="AU344" s="95"/>
      <c r="AV344" s="87"/>
      <c r="AW344" s="87"/>
      <c r="AX344" s="89" t="str">
        <f t="shared" si="21"/>
        <v/>
      </c>
      <c r="AY344" s="90"/>
      <c r="AZ344" s="89" t="str">
        <f t="shared" si="22"/>
        <v/>
      </c>
      <c r="BA344" s="95"/>
      <c r="BB344" s="88" t="str">
        <f t="shared" si="28"/>
        <v/>
      </c>
      <c r="BC344" s="87"/>
      <c r="BD344" s="89" t="str">
        <f t="shared" si="23"/>
        <v/>
      </c>
      <c r="BE344" s="90"/>
      <c r="BF344" s="89" t="str">
        <f t="shared" si="24"/>
        <v/>
      </c>
      <c r="BG344" s="96"/>
    </row>
    <row r="345">
      <c r="A345" s="87"/>
      <c r="B345" s="87"/>
      <c r="C345" s="87"/>
      <c r="D345" s="87"/>
      <c r="E345" s="87"/>
      <c r="F345" s="87"/>
      <c r="G345" s="87"/>
      <c r="H345" s="88" t="str">
        <f t="shared" si="1"/>
        <v/>
      </c>
      <c r="I345" s="87"/>
      <c r="J345" s="89" t="str">
        <f t="shared" si="2"/>
        <v/>
      </c>
      <c r="K345" s="90"/>
      <c r="L345" s="89" t="str">
        <f t="shared" si="3"/>
        <v/>
      </c>
      <c r="M345" s="89"/>
      <c r="N345" s="93">
        <f t="shared" si="5"/>
        <v>0</v>
      </c>
      <c r="O345" s="94">
        <f t="shared" si="6"/>
        <v>0</v>
      </c>
      <c r="P345" s="87"/>
      <c r="Q345" s="87"/>
      <c r="R345" s="89" t="str">
        <f t="shared" si="7"/>
        <v/>
      </c>
      <c r="S345" s="90"/>
      <c r="T345" s="89" t="str">
        <f t="shared" si="8"/>
        <v/>
      </c>
      <c r="U345" s="95"/>
      <c r="V345" s="87"/>
      <c r="W345" s="87"/>
      <c r="X345" s="89" t="str">
        <f t="shared" si="9"/>
        <v/>
      </c>
      <c r="Y345" s="90"/>
      <c r="Z345" s="89" t="str">
        <f t="shared" si="10"/>
        <v/>
      </c>
      <c r="AA345" s="95"/>
      <c r="AB345" s="88" t="str">
        <f t="shared" si="27"/>
        <v/>
      </c>
      <c r="AC345" s="87"/>
      <c r="AD345" s="89" t="str">
        <f t="shared" si="11"/>
        <v/>
      </c>
      <c r="AE345" s="90"/>
      <c r="AF345" s="89" t="str">
        <f t="shared" si="12"/>
        <v/>
      </c>
      <c r="AG345" s="96"/>
      <c r="AH345" s="88" t="str">
        <f t="shared" si="13"/>
        <v/>
      </c>
      <c r="AI345" s="87"/>
      <c r="AJ345" s="89" t="str">
        <f t="shared" si="14"/>
        <v/>
      </c>
      <c r="AK345" s="90"/>
      <c r="AL345" s="89" t="str">
        <f t="shared" si="15"/>
        <v/>
      </c>
      <c r="AM345" s="89"/>
      <c r="AN345" s="93">
        <f t="shared" si="17"/>
        <v>0</v>
      </c>
      <c r="AO345" s="94">
        <f t="shared" si="18"/>
        <v>0</v>
      </c>
      <c r="AP345" s="87"/>
      <c r="AQ345" s="87"/>
      <c r="AR345" s="89" t="str">
        <f t="shared" si="19"/>
        <v/>
      </c>
      <c r="AS345" s="90"/>
      <c r="AT345" s="89" t="str">
        <f t="shared" si="20"/>
        <v/>
      </c>
      <c r="AU345" s="95"/>
      <c r="AV345" s="87"/>
      <c r="AW345" s="87"/>
      <c r="AX345" s="89" t="str">
        <f t="shared" si="21"/>
        <v/>
      </c>
      <c r="AY345" s="90"/>
      <c r="AZ345" s="89" t="str">
        <f t="shared" si="22"/>
        <v/>
      </c>
      <c r="BA345" s="95"/>
      <c r="BB345" s="88" t="str">
        <f t="shared" si="28"/>
        <v/>
      </c>
      <c r="BC345" s="87"/>
      <c r="BD345" s="89" t="str">
        <f t="shared" si="23"/>
        <v/>
      </c>
      <c r="BE345" s="90"/>
      <c r="BF345" s="89" t="str">
        <f t="shared" si="24"/>
        <v/>
      </c>
      <c r="BG345" s="96"/>
    </row>
    <row r="346">
      <c r="A346" s="87"/>
      <c r="B346" s="87"/>
      <c r="C346" s="87"/>
      <c r="D346" s="87"/>
      <c r="E346" s="87"/>
      <c r="F346" s="87"/>
      <c r="G346" s="87"/>
      <c r="H346" s="88" t="str">
        <f t="shared" si="1"/>
        <v/>
      </c>
      <c r="I346" s="87"/>
      <c r="J346" s="89" t="str">
        <f t="shared" si="2"/>
        <v/>
      </c>
      <c r="K346" s="90"/>
      <c r="L346" s="89" t="str">
        <f t="shared" si="3"/>
        <v/>
      </c>
      <c r="M346" s="89"/>
      <c r="N346" s="93">
        <f t="shared" si="5"/>
        <v>0</v>
      </c>
      <c r="O346" s="94">
        <f t="shared" si="6"/>
        <v>0</v>
      </c>
      <c r="P346" s="87"/>
      <c r="Q346" s="87"/>
      <c r="R346" s="89" t="str">
        <f t="shared" si="7"/>
        <v/>
      </c>
      <c r="S346" s="90"/>
      <c r="T346" s="89" t="str">
        <f t="shared" si="8"/>
        <v/>
      </c>
      <c r="U346" s="95"/>
      <c r="V346" s="87"/>
      <c r="W346" s="87"/>
      <c r="X346" s="89" t="str">
        <f t="shared" si="9"/>
        <v/>
      </c>
      <c r="Y346" s="90"/>
      <c r="Z346" s="89" t="str">
        <f t="shared" si="10"/>
        <v/>
      </c>
      <c r="AA346" s="95"/>
      <c r="AB346" s="88" t="str">
        <f t="shared" si="27"/>
        <v/>
      </c>
      <c r="AC346" s="87"/>
      <c r="AD346" s="89" t="str">
        <f t="shared" si="11"/>
        <v/>
      </c>
      <c r="AE346" s="90"/>
      <c r="AF346" s="89" t="str">
        <f t="shared" si="12"/>
        <v/>
      </c>
      <c r="AG346" s="96"/>
      <c r="AH346" s="88" t="str">
        <f t="shared" si="13"/>
        <v/>
      </c>
      <c r="AI346" s="87"/>
      <c r="AJ346" s="89" t="str">
        <f t="shared" si="14"/>
        <v/>
      </c>
      <c r="AK346" s="90"/>
      <c r="AL346" s="89" t="str">
        <f t="shared" si="15"/>
        <v/>
      </c>
      <c r="AM346" s="89"/>
      <c r="AN346" s="93">
        <f t="shared" si="17"/>
        <v>0</v>
      </c>
      <c r="AO346" s="94">
        <f t="shared" si="18"/>
        <v>0</v>
      </c>
      <c r="AP346" s="87"/>
      <c r="AQ346" s="87"/>
      <c r="AR346" s="89" t="str">
        <f t="shared" si="19"/>
        <v/>
      </c>
      <c r="AS346" s="90"/>
      <c r="AT346" s="89" t="str">
        <f t="shared" si="20"/>
        <v/>
      </c>
      <c r="AU346" s="95"/>
      <c r="AV346" s="87"/>
      <c r="AW346" s="87"/>
      <c r="AX346" s="89" t="str">
        <f t="shared" si="21"/>
        <v/>
      </c>
      <c r="AY346" s="90"/>
      <c r="AZ346" s="89" t="str">
        <f t="shared" si="22"/>
        <v/>
      </c>
      <c r="BA346" s="95"/>
      <c r="BB346" s="88" t="str">
        <f t="shared" si="28"/>
        <v/>
      </c>
      <c r="BC346" s="87"/>
      <c r="BD346" s="89" t="str">
        <f t="shared" si="23"/>
        <v/>
      </c>
      <c r="BE346" s="90"/>
      <c r="BF346" s="89" t="str">
        <f t="shared" si="24"/>
        <v/>
      </c>
      <c r="BG346" s="96"/>
    </row>
    <row r="347">
      <c r="A347" s="87"/>
      <c r="B347" s="87"/>
      <c r="C347" s="87"/>
      <c r="D347" s="87"/>
      <c r="E347" s="87"/>
      <c r="F347" s="87"/>
      <c r="G347" s="87"/>
      <c r="H347" s="88" t="str">
        <f t="shared" si="1"/>
        <v/>
      </c>
      <c r="I347" s="87"/>
      <c r="J347" s="89" t="str">
        <f t="shared" si="2"/>
        <v/>
      </c>
      <c r="K347" s="90"/>
      <c r="L347" s="89" t="str">
        <f t="shared" si="3"/>
        <v/>
      </c>
      <c r="M347" s="89"/>
      <c r="N347" s="93">
        <f t="shared" si="5"/>
        <v>0</v>
      </c>
      <c r="O347" s="94">
        <f t="shared" si="6"/>
        <v>0</v>
      </c>
      <c r="P347" s="87"/>
      <c r="Q347" s="87"/>
      <c r="R347" s="89" t="str">
        <f t="shared" si="7"/>
        <v/>
      </c>
      <c r="S347" s="90"/>
      <c r="T347" s="89" t="str">
        <f t="shared" si="8"/>
        <v/>
      </c>
      <c r="U347" s="95"/>
      <c r="V347" s="87"/>
      <c r="W347" s="87"/>
      <c r="X347" s="89" t="str">
        <f t="shared" si="9"/>
        <v/>
      </c>
      <c r="Y347" s="90"/>
      <c r="Z347" s="89" t="str">
        <f t="shared" si="10"/>
        <v/>
      </c>
      <c r="AA347" s="95"/>
      <c r="AB347" s="88" t="str">
        <f t="shared" si="27"/>
        <v/>
      </c>
      <c r="AC347" s="87"/>
      <c r="AD347" s="89" t="str">
        <f t="shared" si="11"/>
        <v/>
      </c>
      <c r="AE347" s="90"/>
      <c r="AF347" s="89" t="str">
        <f t="shared" si="12"/>
        <v/>
      </c>
      <c r="AG347" s="96"/>
      <c r="AH347" s="88" t="str">
        <f t="shared" si="13"/>
        <v/>
      </c>
      <c r="AI347" s="87"/>
      <c r="AJ347" s="89" t="str">
        <f t="shared" si="14"/>
        <v/>
      </c>
      <c r="AK347" s="90"/>
      <c r="AL347" s="89" t="str">
        <f t="shared" si="15"/>
        <v/>
      </c>
      <c r="AM347" s="89"/>
      <c r="AN347" s="93">
        <f t="shared" si="17"/>
        <v>0</v>
      </c>
      <c r="AO347" s="94">
        <f t="shared" si="18"/>
        <v>0</v>
      </c>
      <c r="AP347" s="87"/>
      <c r="AQ347" s="87"/>
      <c r="AR347" s="89" t="str">
        <f t="shared" si="19"/>
        <v/>
      </c>
      <c r="AS347" s="90"/>
      <c r="AT347" s="89" t="str">
        <f t="shared" si="20"/>
        <v/>
      </c>
      <c r="AU347" s="95"/>
      <c r="AV347" s="87"/>
      <c r="AW347" s="87"/>
      <c r="AX347" s="89" t="str">
        <f t="shared" si="21"/>
        <v/>
      </c>
      <c r="AY347" s="90"/>
      <c r="AZ347" s="89" t="str">
        <f t="shared" si="22"/>
        <v/>
      </c>
      <c r="BA347" s="95"/>
      <c r="BB347" s="88" t="str">
        <f t="shared" si="28"/>
        <v/>
      </c>
      <c r="BC347" s="87"/>
      <c r="BD347" s="89" t="str">
        <f t="shared" si="23"/>
        <v/>
      </c>
      <c r="BE347" s="90"/>
      <c r="BF347" s="89" t="str">
        <f t="shared" si="24"/>
        <v/>
      </c>
      <c r="BG347" s="96"/>
    </row>
    <row r="348">
      <c r="A348" s="87"/>
      <c r="B348" s="87"/>
      <c r="C348" s="87"/>
      <c r="D348" s="87"/>
      <c r="E348" s="87"/>
      <c r="F348" s="87"/>
      <c r="G348" s="87"/>
      <c r="H348" s="88" t="str">
        <f t="shared" si="1"/>
        <v/>
      </c>
      <c r="I348" s="87"/>
      <c r="J348" s="89" t="str">
        <f t="shared" si="2"/>
        <v/>
      </c>
      <c r="K348" s="90"/>
      <c r="L348" s="89" t="str">
        <f t="shared" si="3"/>
        <v/>
      </c>
      <c r="M348" s="89"/>
      <c r="N348" s="93">
        <f t="shared" si="5"/>
        <v>0</v>
      </c>
      <c r="O348" s="94">
        <f t="shared" si="6"/>
        <v>0</v>
      </c>
      <c r="P348" s="87"/>
      <c r="Q348" s="87"/>
      <c r="R348" s="89" t="str">
        <f t="shared" si="7"/>
        <v/>
      </c>
      <c r="S348" s="90"/>
      <c r="T348" s="89" t="str">
        <f t="shared" si="8"/>
        <v/>
      </c>
      <c r="U348" s="95"/>
      <c r="V348" s="87"/>
      <c r="W348" s="87"/>
      <c r="X348" s="89" t="str">
        <f t="shared" si="9"/>
        <v/>
      </c>
      <c r="Y348" s="90"/>
      <c r="Z348" s="89" t="str">
        <f t="shared" si="10"/>
        <v/>
      </c>
      <c r="AA348" s="95"/>
      <c r="AB348" s="88" t="str">
        <f t="shared" si="27"/>
        <v/>
      </c>
      <c r="AC348" s="87"/>
      <c r="AD348" s="89" t="str">
        <f t="shared" si="11"/>
        <v/>
      </c>
      <c r="AE348" s="90"/>
      <c r="AF348" s="89" t="str">
        <f t="shared" si="12"/>
        <v/>
      </c>
      <c r="AG348" s="96"/>
      <c r="AH348" s="88" t="str">
        <f t="shared" si="13"/>
        <v/>
      </c>
      <c r="AI348" s="87"/>
      <c r="AJ348" s="89" t="str">
        <f t="shared" si="14"/>
        <v/>
      </c>
      <c r="AK348" s="90"/>
      <c r="AL348" s="89" t="str">
        <f t="shared" si="15"/>
        <v/>
      </c>
      <c r="AM348" s="89"/>
      <c r="AN348" s="93">
        <f t="shared" si="17"/>
        <v>0</v>
      </c>
      <c r="AO348" s="94">
        <f t="shared" si="18"/>
        <v>0</v>
      </c>
      <c r="AP348" s="87"/>
      <c r="AQ348" s="87"/>
      <c r="AR348" s="89" t="str">
        <f t="shared" si="19"/>
        <v/>
      </c>
      <c r="AS348" s="90"/>
      <c r="AT348" s="89" t="str">
        <f t="shared" si="20"/>
        <v/>
      </c>
      <c r="AU348" s="95"/>
      <c r="AV348" s="87"/>
      <c r="AW348" s="87"/>
      <c r="AX348" s="89" t="str">
        <f t="shared" si="21"/>
        <v/>
      </c>
      <c r="AY348" s="90"/>
      <c r="AZ348" s="89" t="str">
        <f t="shared" si="22"/>
        <v/>
      </c>
      <c r="BA348" s="95"/>
      <c r="BB348" s="88" t="str">
        <f t="shared" si="28"/>
        <v/>
      </c>
      <c r="BC348" s="87"/>
      <c r="BD348" s="89" t="str">
        <f t="shared" si="23"/>
        <v/>
      </c>
      <c r="BE348" s="90"/>
      <c r="BF348" s="89" t="str">
        <f t="shared" si="24"/>
        <v/>
      </c>
      <c r="BG348" s="96"/>
    </row>
    <row r="349">
      <c r="A349" s="87"/>
      <c r="B349" s="87"/>
      <c r="C349" s="87"/>
      <c r="D349" s="87"/>
      <c r="E349" s="87"/>
      <c r="F349" s="87"/>
      <c r="G349" s="87"/>
      <c r="H349" s="88" t="str">
        <f t="shared" si="1"/>
        <v/>
      </c>
      <c r="I349" s="87"/>
      <c r="J349" s="89" t="str">
        <f t="shared" si="2"/>
        <v/>
      </c>
      <c r="K349" s="90"/>
      <c r="L349" s="89" t="str">
        <f t="shared" si="3"/>
        <v/>
      </c>
      <c r="M349" s="89"/>
      <c r="N349" s="93">
        <f t="shared" si="5"/>
        <v>0</v>
      </c>
      <c r="O349" s="94">
        <f t="shared" si="6"/>
        <v>0</v>
      </c>
      <c r="P349" s="87"/>
      <c r="Q349" s="87"/>
      <c r="R349" s="89" t="str">
        <f t="shared" si="7"/>
        <v/>
      </c>
      <c r="S349" s="90"/>
      <c r="T349" s="89" t="str">
        <f t="shared" si="8"/>
        <v/>
      </c>
      <c r="U349" s="95"/>
      <c r="V349" s="87"/>
      <c r="W349" s="87"/>
      <c r="X349" s="89" t="str">
        <f t="shared" si="9"/>
        <v/>
      </c>
      <c r="Y349" s="90"/>
      <c r="Z349" s="89" t="str">
        <f t="shared" si="10"/>
        <v/>
      </c>
      <c r="AA349" s="95"/>
      <c r="AB349" s="88" t="str">
        <f t="shared" si="27"/>
        <v/>
      </c>
      <c r="AC349" s="87"/>
      <c r="AD349" s="89" t="str">
        <f t="shared" si="11"/>
        <v/>
      </c>
      <c r="AE349" s="90"/>
      <c r="AF349" s="89" t="str">
        <f t="shared" si="12"/>
        <v/>
      </c>
      <c r="AG349" s="96"/>
      <c r="AH349" s="88" t="str">
        <f t="shared" si="13"/>
        <v/>
      </c>
      <c r="AI349" s="87"/>
      <c r="AJ349" s="89" t="str">
        <f t="shared" si="14"/>
        <v/>
      </c>
      <c r="AK349" s="90"/>
      <c r="AL349" s="89" t="str">
        <f t="shared" si="15"/>
        <v/>
      </c>
      <c r="AM349" s="89"/>
      <c r="AN349" s="93">
        <f t="shared" si="17"/>
        <v>0</v>
      </c>
      <c r="AO349" s="94">
        <f t="shared" si="18"/>
        <v>0</v>
      </c>
      <c r="AP349" s="87"/>
      <c r="AQ349" s="87"/>
      <c r="AR349" s="89" t="str">
        <f t="shared" si="19"/>
        <v/>
      </c>
      <c r="AS349" s="90"/>
      <c r="AT349" s="89" t="str">
        <f t="shared" si="20"/>
        <v/>
      </c>
      <c r="AU349" s="95"/>
      <c r="AV349" s="87"/>
      <c r="AW349" s="87"/>
      <c r="AX349" s="89" t="str">
        <f t="shared" si="21"/>
        <v/>
      </c>
      <c r="AY349" s="90"/>
      <c r="AZ349" s="89" t="str">
        <f t="shared" si="22"/>
        <v/>
      </c>
      <c r="BA349" s="95"/>
      <c r="BB349" s="88" t="str">
        <f t="shared" si="28"/>
        <v/>
      </c>
      <c r="BC349" s="87"/>
      <c r="BD349" s="89" t="str">
        <f t="shared" si="23"/>
        <v/>
      </c>
      <c r="BE349" s="90"/>
      <c r="BF349" s="89" t="str">
        <f t="shared" si="24"/>
        <v/>
      </c>
      <c r="BG349" s="96"/>
    </row>
    <row r="350">
      <c r="A350" s="87"/>
      <c r="B350" s="87"/>
      <c r="C350" s="87"/>
      <c r="D350" s="87"/>
      <c r="E350" s="87"/>
      <c r="F350" s="87"/>
      <c r="G350" s="87"/>
      <c r="H350" s="88" t="str">
        <f t="shared" si="1"/>
        <v/>
      </c>
      <c r="I350" s="87"/>
      <c r="J350" s="89" t="str">
        <f t="shared" si="2"/>
        <v/>
      </c>
      <c r="K350" s="90"/>
      <c r="L350" s="89" t="str">
        <f t="shared" si="3"/>
        <v/>
      </c>
      <c r="M350" s="89"/>
      <c r="N350" s="93">
        <f t="shared" si="5"/>
        <v>0</v>
      </c>
      <c r="O350" s="94">
        <f t="shared" si="6"/>
        <v>0</v>
      </c>
      <c r="P350" s="87"/>
      <c r="Q350" s="87"/>
      <c r="R350" s="89" t="str">
        <f t="shared" si="7"/>
        <v/>
      </c>
      <c r="S350" s="90"/>
      <c r="T350" s="89" t="str">
        <f t="shared" si="8"/>
        <v/>
      </c>
      <c r="U350" s="95"/>
      <c r="V350" s="87"/>
      <c r="W350" s="87"/>
      <c r="X350" s="89" t="str">
        <f t="shared" si="9"/>
        <v/>
      </c>
      <c r="Y350" s="90"/>
      <c r="Z350" s="89" t="str">
        <f t="shared" si="10"/>
        <v/>
      </c>
      <c r="AA350" s="95"/>
      <c r="AB350" s="88" t="str">
        <f t="shared" si="27"/>
        <v/>
      </c>
      <c r="AC350" s="87"/>
      <c r="AD350" s="89" t="str">
        <f t="shared" si="11"/>
        <v/>
      </c>
      <c r="AE350" s="90"/>
      <c r="AF350" s="89" t="str">
        <f t="shared" si="12"/>
        <v/>
      </c>
      <c r="AG350" s="96"/>
      <c r="AH350" s="88" t="str">
        <f t="shared" si="13"/>
        <v/>
      </c>
      <c r="AI350" s="87"/>
      <c r="AJ350" s="89" t="str">
        <f t="shared" si="14"/>
        <v/>
      </c>
      <c r="AK350" s="90"/>
      <c r="AL350" s="89" t="str">
        <f t="shared" si="15"/>
        <v/>
      </c>
      <c r="AM350" s="89"/>
      <c r="AN350" s="93">
        <f t="shared" si="17"/>
        <v>0</v>
      </c>
      <c r="AO350" s="94">
        <f t="shared" si="18"/>
        <v>0</v>
      </c>
      <c r="AP350" s="87"/>
      <c r="AQ350" s="87"/>
      <c r="AR350" s="89" t="str">
        <f t="shared" si="19"/>
        <v/>
      </c>
      <c r="AS350" s="90"/>
      <c r="AT350" s="89" t="str">
        <f t="shared" si="20"/>
        <v/>
      </c>
      <c r="AU350" s="95"/>
      <c r="AV350" s="87"/>
      <c r="AW350" s="87"/>
      <c r="AX350" s="89" t="str">
        <f t="shared" si="21"/>
        <v/>
      </c>
      <c r="AY350" s="90"/>
      <c r="AZ350" s="89" t="str">
        <f t="shared" si="22"/>
        <v/>
      </c>
      <c r="BA350" s="95"/>
      <c r="BB350" s="88" t="str">
        <f t="shared" si="28"/>
        <v/>
      </c>
      <c r="BC350" s="87"/>
      <c r="BD350" s="89" t="str">
        <f t="shared" si="23"/>
        <v/>
      </c>
      <c r="BE350" s="90"/>
      <c r="BF350" s="89" t="str">
        <f t="shared" si="24"/>
        <v/>
      </c>
      <c r="BG350" s="96"/>
    </row>
    <row r="351">
      <c r="A351" s="87"/>
      <c r="B351" s="87"/>
      <c r="C351" s="87"/>
      <c r="D351" s="87"/>
      <c r="E351" s="87"/>
      <c r="F351" s="87"/>
      <c r="G351" s="87"/>
      <c r="H351" s="88" t="str">
        <f t="shared" si="1"/>
        <v/>
      </c>
      <c r="I351" s="87"/>
      <c r="J351" s="89" t="str">
        <f t="shared" si="2"/>
        <v/>
      </c>
      <c r="K351" s="90"/>
      <c r="L351" s="89" t="str">
        <f t="shared" si="3"/>
        <v/>
      </c>
      <c r="M351" s="89"/>
      <c r="N351" s="93">
        <f t="shared" si="5"/>
        <v>0</v>
      </c>
      <c r="O351" s="94">
        <f t="shared" si="6"/>
        <v>0</v>
      </c>
      <c r="P351" s="87"/>
      <c r="Q351" s="87"/>
      <c r="R351" s="89" t="str">
        <f t="shared" si="7"/>
        <v/>
      </c>
      <c r="S351" s="90"/>
      <c r="T351" s="89" t="str">
        <f t="shared" si="8"/>
        <v/>
      </c>
      <c r="U351" s="95"/>
      <c r="V351" s="87"/>
      <c r="W351" s="87"/>
      <c r="X351" s="89" t="str">
        <f t="shared" si="9"/>
        <v/>
      </c>
      <c r="Y351" s="90"/>
      <c r="Z351" s="89" t="str">
        <f t="shared" si="10"/>
        <v/>
      </c>
      <c r="AA351" s="95"/>
      <c r="AB351" s="88" t="str">
        <f t="shared" si="27"/>
        <v/>
      </c>
      <c r="AC351" s="87"/>
      <c r="AD351" s="89" t="str">
        <f t="shared" si="11"/>
        <v/>
      </c>
      <c r="AE351" s="90"/>
      <c r="AF351" s="89" t="str">
        <f t="shared" si="12"/>
        <v/>
      </c>
      <c r="AG351" s="96"/>
      <c r="AH351" s="88" t="str">
        <f t="shared" si="13"/>
        <v/>
      </c>
      <c r="AI351" s="87"/>
      <c r="AJ351" s="89" t="str">
        <f t="shared" si="14"/>
        <v/>
      </c>
      <c r="AK351" s="90"/>
      <c r="AL351" s="89" t="str">
        <f t="shared" si="15"/>
        <v/>
      </c>
      <c r="AM351" s="89"/>
      <c r="AN351" s="93">
        <f t="shared" si="17"/>
        <v>0</v>
      </c>
      <c r="AO351" s="94">
        <f t="shared" si="18"/>
        <v>0</v>
      </c>
      <c r="AP351" s="87"/>
      <c r="AQ351" s="87"/>
      <c r="AR351" s="89" t="str">
        <f t="shared" si="19"/>
        <v/>
      </c>
      <c r="AS351" s="90"/>
      <c r="AT351" s="89" t="str">
        <f t="shared" si="20"/>
        <v/>
      </c>
      <c r="AU351" s="95"/>
      <c r="AV351" s="87"/>
      <c r="AW351" s="87"/>
      <c r="AX351" s="89" t="str">
        <f t="shared" si="21"/>
        <v/>
      </c>
      <c r="AY351" s="90"/>
      <c r="AZ351" s="89" t="str">
        <f t="shared" si="22"/>
        <v/>
      </c>
      <c r="BA351" s="95"/>
      <c r="BB351" s="88" t="str">
        <f t="shared" si="28"/>
        <v/>
      </c>
      <c r="BC351" s="87"/>
      <c r="BD351" s="89" t="str">
        <f t="shared" si="23"/>
        <v/>
      </c>
      <c r="BE351" s="90"/>
      <c r="BF351" s="89" t="str">
        <f t="shared" si="24"/>
        <v/>
      </c>
      <c r="BG351" s="96"/>
    </row>
    <row r="352">
      <c r="A352" s="87"/>
      <c r="B352" s="87"/>
      <c r="C352" s="87"/>
      <c r="D352" s="87"/>
      <c r="E352" s="87"/>
      <c r="F352" s="87"/>
      <c r="G352" s="87"/>
      <c r="H352" s="88" t="str">
        <f t="shared" si="1"/>
        <v/>
      </c>
      <c r="I352" s="87"/>
      <c r="J352" s="89" t="str">
        <f t="shared" si="2"/>
        <v/>
      </c>
      <c r="K352" s="90"/>
      <c r="L352" s="89" t="str">
        <f t="shared" si="3"/>
        <v/>
      </c>
      <c r="M352" s="89"/>
      <c r="N352" s="93">
        <f t="shared" si="5"/>
        <v>0</v>
      </c>
      <c r="O352" s="94">
        <f t="shared" si="6"/>
        <v>0</v>
      </c>
      <c r="P352" s="87"/>
      <c r="Q352" s="87"/>
      <c r="R352" s="89" t="str">
        <f t="shared" si="7"/>
        <v/>
      </c>
      <c r="S352" s="90"/>
      <c r="T352" s="89" t="str">
        <f t="shared" si="8"/>
        <v/>
      </c>
      <c r="U352" s="95"/>
      <c r="V352" s="87"/>
      <c r="W352" s="87"/>
      <c r="X352" s="89" t="str">
        <f t="shared" si="9"/>
        <v/>
      </c>
      <c r="Y352" s="90"/>
      <c r="Z352" s="89" t="str">
        <f t="shared" si="10"/>
        <v/>
      </c>
      <c r="AA352" s="95"/>
      <c r="AB352" s="88" t="str">
        <f t="shared" si="27"/>
        <v/>
      </c>
      <c r="AC352" s="87"/>
      <c r="AD352" s="89" t="str">
        <f t="shared" si="11"/>
        <v/>
      </c>
      <c r="AE352" s="90"/>
      <c r="AF352" s="89" t="str">
        <f t="shared" si="12"/>
        <v/>
      </c>
      <c r="AG352" s="96"/>
      <c r="AH352" s="88" t="str">
        <f t="shared" si="13"/>
        <v/>
      </c>
      <c r="AI352" s="87"/>
      <c r="AJ352" s="89" t="str">
        <f t="shared" si="14"/>
        <v/>
      </c>
      <c r="AK352" s="90"/>
      <c r="AL352" s="89" t="str">
        <f t="shared" si="15"/>
        <v/>
      </c>
      <c r="AM352" s="89"/>
      <c r="AN352" s="93">
        <f t="shared" si="17"/>
        <v>0</v>
      </c>
      <c r="AO352" s="94">
        <f t="shared" si="18"/>
        <v>0</v>
      </c>
      <c r="AP352" s="87"/>
      <c r="AQ352" s="87"/>
      <c r="AR352" s="89" t="str">
        <f t="shared" si="19"/>
        <v/>
      </c>
      <c r="AS352" s="90"/>
      <c r="AT352" s="89" t="str">
        <f t="shared" si="20"/>
        <v/>
      </c>
      <c r="AU352" s="95"/>
      <c r="AV352" s="87"/>
      <c r="AW352" s="87"/>
      <c r="AX352" s="89" t="str">
        <f t="shared" si="21"/>
        <v/>
      </c>
      <c r="AY352" s="90"/>
      <c r="AZ352" s="89" t="str">
        <f t="shared" si="22"/>
        <v/>
      </c>
      <c r="BA352" s="95"/>
      <c r="BB352" s="88" t="str">
        <f t="shared" si="28"/>
        <v/>
      </c>
      <c r="BC352" s="87"/>
      <c r="BD352" s="89" t="str">
        <f t="shared" si="23"/>
        <v/>
      </c>
      <c r="BE352" s="90"/>
      <c r="BF352" s="89" t="str">
        <f t="shared" si="24"/>
        <v/>
      </c>
      <c r="BG352" s="96"/>
    </row>
    <row r="353">
      <c r="A353" s="87"/>
      <c r="B353" s="87"/>
      <c r="C353" s="87"/>
      <c r="D353" s="87"/>
      <c r="E353" s="87"/>
      <c r="F353" s="87"/>
      <c r="G353" s="87"/>
      <c r="H353" s="88" t="str">
        <f t="shared" si="1"/>
        <v/>
      </c>
      <c r="I353" s="87"/>
      <c r="J353" s="89" t="str">
        <f t="shared" si="2"/>
        <v/>
      </c>
      <c r="K353" s="90"/>
      <c r="L353" s="89" t="str">
        <f t="shared" si="3"/>
        <v/>
      </c>
      <c r="M353" s="89"/>
      <c r="N353" s="93">
        <f t="shared" si="5"/>
        <v>0</v>
      </c>
      <c r="O353" s="94">
        <f t="shared" si="6"/>
        <v>0</v>
      </c>
      <c r="P353" s="87"/>
      <c r="Q353" s="87"/>
      <c r="R353" s="89" t="str">
        <f t="shared" si="7"/>
        <v/>
      </c>
      <c r="S353" s="90"/>
      <c r="T353" s="89" t="str">
        <f t="shared" si="8"/>
        <v/>
      </c>
      <c r="U353" s="95"/>
      <c r="V353" s="87"/>
      <c r="W353" s="87"/>
      <c r="X353" s="89" t="str">
        <f t="shared" si="9"/>
        <v/>
      </c>
      <c r="Y353" s="90"/>
      <c r="Z353" s="89" t="str">
        <f t="shared" si="10"/>
        <v/>
      </c>
      <c r="AA353" s="95"/>
      <c r="AB353" s="88" t="str">
        <f t="shared" si="27"/>
        <v/>
      </c>
      <c r="AC353" s="87"/>
      <c r="AD353" s="89" t="str">
        <f t="shared" si="11"/>
        <v/>
      </c>
      <c r="AE353" s="90"/>
      <c r="AF353" s="89" t="str">
        <f t="shared" si="12"/>
        <v/>
      </c>
      <c r="AG353" s="96"/>
      <c r="AH353" s="88" t="str">
        <f t="shared" si="13"/>
        <v/>
      </c>
      <c r="AI353" s="87"/>
      <c r="AJ353" s="89" t="str">
        <f t="shared" si="14"/>
        <v/>
      </c>
      <c r="AK353" s="90"/>
      <c r="AL353" s="89" t="str">
        <f t="shared" si="15"/>
        <v/>
      </c>
      <c r="AM353" s="89"/>
      <c r="AN353" s="93">
        <f t="shared" si="17"/>
        <v>0</v>
      </c>
      <c r="AO353" s="94">
        <f t="shared" si="18"/>
        <v>0</v>
      </c>
      <c r="AP353" s="87"/>
      <c r="AQ353" s="87"/>
      <c r="AR353" s="89" t="str">
        <f t="shared" si="19"/>
        <v/>
      </c>
      <c r="AS353" s="90"/>
      <c r="AT353" s="89" t="str">
        <f t="shared" si="20"/>
        <v/>
      </c>
      <c r="AU353" s="95"/>
      <c r="AV353" s="87"/>
      <c r="AW353" s="87"/>
      <c r="AX353" s="89" t="str">
        <f t="shared" si="21"/>
        <v/>
      </c>
      <c r="AY353" s="90"/>
      <c r="AZ353" s="89" t="str">
        <f t="shared" si="22"/>
        <v/>
      </c>
      <c r="BA353" s="95"/>
      <c r="BB353" s="88" t="str">
        <f t="shared" si="28"/>
        <v/>
      </c>
      <c r="BC353" s="87"/>
      <c r="BD353" s="89" t="str">
        <f t="shared" si="23"/>
        <v/>
      </c>
      <c r="BE353" s="90"/>
      <c r="BF353" s="89" t="str">
        <f t="shared" si="24"/>
        <v/>
      </c>
      <c r="BG353" s="96"/>
    </row>
    <row r="354">
      <c r="A354" s="87"/>
      <c r="B354" s="87"/>
      <c r="C354" s="87"/>
      <c r="D354" s="87"/>
      <c r="E354" s="87"/>
      <c r="F354" s="87"/>
      <c r="G354" s="87"/>
      <c r="H354" s="88" t="str">
        <f t="shared" si="1"/>
        <v/>
      </c>
      <c r="I354" s="87"/>
      <c r="J354" s="89" t="str">
        <f t="shared" si="2"/>
        <v/>
      </c>
      <c r="K354" s="90"/>
      <c r="L354" s="89" t="str">
        <f t="shared" si="3"/>
        <v/>
      </c>
      <c r="M354" s="89"/>
      <c r="N354" s="93">
        <f t="shared" si="5"/>
        <v>0</v>
      </c>
      <c r="O354" s="94">
        <f t="shared" si="6"/>
        <v>0</v>
      </c>
      <c r="P354" s="87"/>
      <c r="Q354" s="87"/>
      <c r="R354" s="89" t="str">
        <f t="shared" si="7"/>
        <v/>
      </c>
      <c r="S354" s="90"/>
      <c r="T354" s="89" t="str">
        <f t="shared" si="8"/>
        <v/>
      </c>
      <c r="U354" s="95"/>
      <c r="V354" s="87"/>
      <c r="W354" s="87"/>
      <c r="X354" s="89" t="str">
        <f t="shared" si="9"/>
        <v/>
      </c>
      <c r="Y354" s="90"/>
      <c r="Z354" s="89" t="str">
        <f t="shared" si="10"/>
        <v/>
      </c>
      <c r="AA354" s="95"/>
      <c r="AB354" s="88" t="str">
        <f t="shared" si="27"/>
        <v/>
      </c>
      <c r="AC354" s="87"/>
      <c r="AD354" s="89" t="str">
        <f t="shared" si="11"/>
        <v/>
      </c>
      <c r="AE354" s="90"/>
      <c r="AF354" s="89" t="str">
        <f t="shared" si="12"/>
        <v/>
      </c>
      <c r="AG354" s="96"/>
      <c r="AH354" s="88" t="str">
        <f t="shared" si="13"/>
        <v/>
      </c>
      <c r="AI354" s="87"/>
      <c r="AJ354" s="89" t="str">
        <f t="shared" si="14"/>
        <v/>
      </c>
      <c r="AK354" s="90"/>
      <c r="AL354" s="89" t="str">
        <f t="shared" si="15"/>
        <v/>
      </c>
      <c r="AM354" s="89"/>
      <c r="AN354" s="93">
        <f t="shared" si="17"/>
        <v>0</v>
      </c>
      <c r="AO354" s="94">
        <f t="shared" si="18"/>
        <v>0</v>
      </c>
      <c r="AP354" s="87"/>
      <c r="AQ354" s="87"/>
      <c r="AR354" s="89" t="str">
        <f t="shared" si="19"/>
        <v/>
      </c>
      <c r="AS354" s="90"/>
      <c r="AT354" s="89" t="str">
        <f t="shared" si="20"/>
        <v/>
      </c>
      <c r="AU354" s="95"/>
      <c r="AV354" s="87"/>
      <c r="AW354" s="87"/>
      <c r="AX354" s="89" t="str">
        <f t="shared" si="21"/>
        <v/>
      </c>
      <c r="AY354" s="90"/>
      <c r="AZ354" s="89" t="str">
        <f t="shared" si="22"/>
        <v/>
      </c>
      <c r="BA354" s="95"/>
      <c r="BB354" s="88" t="str">
        <f t="shared" si="28"/>
        <v/>
      </c>
      <c r="BC354" s="87"/>
      <c r="BD354" s="89" t="str">
        <f t="shared" si="23"/>
        <v/>
      </c>
      <c r="BE354" s="90"/>
      <c r="BF354" s="89" t="str">
        <f t="shared" si="24"/>
        <v/>
      </c>
      <c r="BG354" s="96"/>
    </row>
    <row r="355">
      <c r="A355" s="87"/>
      <c r="B355" s="87"/>
      <c r="C355" s="87"/>
      <c r="D355" s="87"/>
      <c r="E355" s="87"/>
      <c r="F355" s="87"/>
      <c r="G355" s="87"/>
      <c r="H355" s="88" t="str">
        <f t="shared" si="1"/>
        <v/>
      </c>
      <c r="I355" s="87"/>
      <c r="J355" s="89" t="str">
        <f t="shared" si="2"/>
        <v/>
      </c>
      <c r="K355" s="90"/>
      <c r="L355" s="89" t="str">
        <f t="shared" si="3"/>
        <v/>
      </c>
      <c r="M355" s="89"/>
      <c r="N355" s="93">
        <f t="shared" si="5"/>
        <v>0</v>
      </c>
      <c r="O355" s="94">
        <f t="shared" si="6"/>
        <v>0</v>
      </c>
      <c r="P355" s="87"/>
      <c r="Q355" s="87"/>
      <c r="R355" s="89" t="str">
        <f t="shared" si="7"/>
        <v/>
      </c>
      <c r="S355" s="90"/>
      <c r="T355" s="89" t="str">
        <f t="shared" si="8"/>
        <v/>
      </c>
      <c r="U355" s="95"/>
      <c r="V355" s="87"/>
      <c r="W355" s="87"/>
      <c r="X355" s="89" t="str">
        <f t="shared" si="9"/>
        <v/>
      </c>
      <c r="Y355" s="90"/>
      <c r="Z355" s="89" t="str">
        <f t="shared" si="10"/>
        <v/>
      </c>
      <c r="AA355" s="95"/>
      <c r="AB355" s="88" t="str">
        <f t="shared" si="27"/>
        <v/>
      </c>
      <c r="AC355" s="87"/>
      <c r="AD355" s="89" t="str">
        <f t="shared" si="11"/>
        <v/>
      </c>
      <c r="AE355" s="90"/>
      <c r="AF355" s="89" t="str">
        <f t="shared" si="12"/>
        <v/>
      </c>
      <c r="AG355" s="96"/>
      <c r="AH355" s="88" t="str">
        <f t="shared" si="13"/>
        <v/>
      </c>
      <c r="AI355" s="87"/>
      <c r="AJ355" s="89" t="str">
        <f t="shared" si="14"/>
        <v/>
      </c>
      <c r="AK355" s="90"/>
      <c r="AL355" s="89" t="str">
        <f t="shared" si="15"/>
        <v/>
      </c>
      <c r="AM355" s="89"/>
      <c r="AN355" s="93">
        <f t="shared" si="17"/>
        <v>0</v>
      </c>
      <c r="AO355" s="94">
        <f t="shared" si="18"/>
        <v>0</v>
      </c>
      <c r="AP355" s="87"/>
      <c r="AQ355" s="87"/>
      <c r="AR355" s="89" t="str">
        <f t="shared" si="19"/>
        <v/>
      </c>
      <c r="AS355" s="90"/>
      <c r="AT355" s="89" t="str">
        <f t="shared" si="20"/>
        <v/>
      </c>
      <c r="AU355" s="95"/>
      <c r="AV355" s="87"/>
      <c r="AW355" s="87"/>
      <c r="AX355" s="89" t="str">
        <f t="shared" si="21"/>
        <v/>
      </c>
      <c r="AY355" s="90"/>
      <c r="AZ355" s="89" t="str">
        <f t="shared" si="22"/>
        <v/>
      </c>
      <c r="BA355" s="95"/>
      <c r="BB355" s="88" t="str">
        <f t="shared" si="28"/>
        <v/>
      </c>
      <c r="BC355" s="87"/>
      <c r="BD355" s="89" t="str">
        <f t="shared" si="23"/>
        <v/>
      </c>
      <c r="BE355" s="90"/>
      <c r="BF355" s="89" t="str">
        <f t="shared" si="24"/>
        <v/>
      </c>
      <c r="BG355" s="96"/>
    </row>
    <row r="356">
      <c r="A356" s="87"/>
      <c r="B356" s="87"/>
      <c r="C356" s="87"/>
      <c r="D356" s="87"/>
      <c r="E356" s="87"/>
      <c r="F356" s="87"/>
      <c r="G356" s="87"/>
      <c r="H356" s="88" t="str">
        <f t="shared" si="1"/>
        <v/>
      </c>
      <c r="I356" s="87"/>
      <c r="J356" s="89" t="str">
        <f t="shared" si="2"/>
        <v/>
      </c>
      <c r="K356" s="90"/>
      <c r="L356" s="89" t="str">
        <f t="shared" si="3"/>
        <v/>
      </c>
      <c r="M356" s="89"/>
      <c r="N356" s="93">
        <f t="shared" si="5"/>
        <v>0</v>
      </c>
      <c r="O356" s="94">
        <f t="shared" si="6"/>
        <v>0</v>
      </c>
      <c r="P356" s="87"/>
      <c r="Q356" s="87"/>
      <c r="R356" s="89" t="str">
        <f t="shared" si="7"/>
        <v/>
      </c>
      <c r="S356" s="90"/>
      <c r="T356" s="89" t="str">
        <f t="shared" si="8"/>
        <v/>
      </c>
      <c r="U356" s="95"/>
      <c r="V356" s="87"/>
      <c r="W356" s="87"/>
      <c r="X356" s="89" t="str">
        <f t="shared" si="9"/>
        <v/>
      </c>
      <c r="Y356" s="90"/>
      <c r="Z356" s="89" t="str">
        <f t="shared" si="10"/>
        <v/>
      </c>
      <c r="AA356" s="95"/>
      <c r="AB356" s="88" t="str">
        <f t="shared" si="27"/>
        <v/>
      </c>
      <c r="AC356" s="87"/>
      <c r="AD356" s="89" t="str">
        <f t="shared" si="11"/>
        <v/>
      </c>
      <c r="AE356" s="90"/>
      <c r="AF356" s="89" t="str">
        <f t="shared" si="12"/>
        <v/>
      </c>
      <c r="AG356" s="96"/>
      <c r="AH356" s="88" t="str">
        <f t="shared" si="13"/>
        <v/>
      </c>
      <c r="AI356" s="87"/>
      <c r="AJ356" s="89" t="str">
        <f t="shared" si="14"/>
        <v/>
      </c>
      <c r="AK356" s="90"/>
      <c r="AL356" s="89" t="str">
        <f t="shared" si="15"/>
        <v/>
      </c>
      <c r="AM356" s="89"/>
      <c r="AN356" s="93">
        <f t="shared" si="17"/>
        <v>0</v>
      </c>
      <c r="AO356" s="94">
        <f t="shared" si="18"/>
        <v>0</v>
      </c>
      <c r="AP356" s="87"/>
      <c r="AQ356" s="87"/>
      <c r="AR356" s="89" t="str">
        <f t="shared" si="19"/>
        <v/>
      </c>
      <c r="AS356" s="90"/>
      <c r="AT356" s="89" t="str">
        <f t="shared" si="20"/>
        <v/>
      </c>
      <c r="AU356" s="95"/>
      <c r="AV356" s="87"/>
      <c r="AW356" s="87"/>
      <c r="AX356" s="89" t="str">
        <f t="shared" si="21"/>
        <v/>
      </c>
      <c r="AY356" s="90"/>
      <c r="AZ356" s="89" t="str">
        <f t="shared" si="22"/>
        <v/>
      </c>
      <c r="BA356" s="95"/>
      <c r="BB356" s="88" t="str">
        <f t="shared" si="28"/>
        <v/>
      </c>
      <c r="BC356" s="87"/>
      <c r="BD356" s="89" t="str">
        <f t="shared" si="23"/>
        <v/>
      </c>
      <c r="BE356" s="90"/>
      <c r="BF356" s="89" t="str">
        <f t="shared" si="24"/>
        <v/>
      </c>
      <c r="BG356" s="96"/>
    </row>
    <row r="357">
      <c r="A357" s="87"/>
      <c r="B357" s="87"/>
      <c r="C357" s="87"/>
      <c r="D357" s="87"/>
      <c r="E357" s="87"/>
      <c r="F357" s="87"/>
      <c r="G357" s="87"/>
      <c r="H357" s="88" t="str">
        <f t="shared" si="1"/>
        <v/>
      </c>
      <c r="I357" s="87"/>
      <c r="J357" s="89" t="str">
        <f t="shared" si="2"/>
        <v/>
      </c>
      <c r="K357" s="90"/>
      <c r="L357" s="89" t="str">
        <f t="shared" si="3"/>
        <v/>
      </c>
      <c r="M357" s="89"/>
      <c r="N357" s="93">
        <f t="shared" si="5"/>
        <v>0</v>
      </c>
      <c r="O357" s="94">
        <f t="shared" si="6"/>
        <v>0</v>
      </c>
      <c r="P357" s="87"/>
      <c r="Q357" s="87"/>
      <c r="R357" s="89" t="str">
        <f t="shared" si="7"/>
        <v/>
      </c>
      <c r="S357" s="90"/>
      <c r="T357" s="89" t="str">
        <f t="shared" si="8"/>
        <v/>
      </c>
      <c r="U357" s="95"/>
      <c r="V357" s="87"/>
      <c r="W357" s="87"/>
      <c r="X357" s="89" t="str">
        <f t="shared" si="9"/>
        <v/>
      </c>
      <c r="Y357" s="90"/>
      <c r="Z357" s="89" t="str">
        <f t="shared" si="10"/>
        <v/>
      </c>
      <c r="AA357" s="95"/>
      <c r="AB357" s="88" t="str">
        <f t="shared" si="27"/>
        <v/>
      </c>
      <c r="AC357" s="87"/>
      <c r="AD357" s="89" t="str">
        <f t="shared" si="11"/>
        <v/>
      </c>
      <c r="AE357" s="90"/>
      <c r="AF357" s="89" t="str">
        <f t="shared" si="12"/>
        <v/>
      </c>
      <c r="AG357" s="96"/>
      <c r="AH357" s="88" t="str">
        <f t="shared" si="13"/>
        <v/>
      </c>
      <c r="AI357" s="87"/>
      <c r="AJ357" s="89" t="str">
        <f t="shared" si="14"/>
        <v/>
      </c>
      <c r="AK357" s="90"/>
      <c r="AL357" s="89" t="str">
        <f t="shared" si="15"/>
        <v/>
      </c>
      <c r="AM357" s="89"/>
      <c r="AN357" s="93">
        <f t="shared" si="17"/>
        <v>0</v>
      </c>
      <c r="AO357" s="94">
        <f t="shared" si="18"/>
        <v>0</v>
      </c>
      <c r="AP357" s="87"/>
      <c r="AQ357" s="87"/>
      <c r="AR357" s="89" t="str">
        <f t="shared" si="19"/>
        <v/>
      </c>
      <c r="AS357" s="90"/>
      <c r="AT357" s="89" t="str">
        <f t="shared" si="20"/>
        <v/>
      </c>
      <c r="AU357" s="95"/>
      <c r="AV357" s="87"/>
      <c r="AW357" s="87"/>
      <c r="AX357" s="89" t="str">
        <f t="shared" si="21"/>
        <v/>
      </c>
      <c r="AY357" s="90"/>
      <c r="AZ357" s="89" t="str">
        <f t="shared" si="22"/>
        <v/>
      </c>
      <c r="BA357" s="95"/>
      <c r="BB357" s="88" t="str">
        <f t="shared" si="28"/>
        <v/>
      </c>
      <c r="BC357" s="87"/>
      <c r="BD357" s="89" t="str">
        <f t="shared" si="23"/>
        <v/>
      </c>
      <c r="BE357" s="90"/>
      <c r="BF357" s="89" t="str">
        <f t="shared" si="24"/>
        <v/>
      </c>
      <c r="BG357" s="96"/>
    </row>
    <row r="358">
      <c r="A358" s="87"/>
      <c r="B358" s="87"/>
      <c r="C358" s="87"/>
      <c r="D358" s="87"/>
      <c r="E358" s="87"/>
      <c r="F358" s="87"/>
      <c r="G358" s="87"/>
      <c r="H358" s="88" t="str">
        <f t="shared" si="1"/>
        <v/>
      </c>
      <c r="I358" s="87"/>
      <c r="J358" s="89" t="str">
        <f t="shared" si="2"/>
        <v/>
      </c>
      <c r="K358" s="90"/>
      <c r="L358" s="89" t="str">
        <f t="shared" si="3"/>
        <v/>
      </c>
      <c r="M358" s="89"/>
      <c r="N358" s="93">
        <f t="shared" si="5"/>
        <v>0</v>
      </c>
      <c r="O358" s="94">
        <f t="shared" si="6"/>
        <v>0</v>
      </c>
      <c r="P358" s="87"/>
      <c r="Q358" s="87"/>
      <c r="R358" s="89" t="str">
        <f t="shared" si="7"/>
        <v/>
      </c>
      <c r="S358" s="90"/>
      <c r="T358" s="89" t="str">
        <f t="shared" si="8"/>
        <v/>
      </c>
      <c r="U358" s="95"/>
      <c r="V358" s="87"/>
      <c r="W358" s="87"/>
      <c r="X358" s="89" t="str">
        <f t="shared" si="9"/>
        <v/>
      </c>
      <c r="Y358" s="90"/>
      <c r="Z358" s="89" t="str">
        <f t="shared" si="10"/>
        <v/>
      </c>
      <c r="AA358" s="95"/>
      <c r="AB358" s="88" t="str">
        <f t="shared" si="27"/>
        <v/>
      </c>
      <c r="AC358" s="87"/>
      <c r="AD358" s="89" t="str">
        <f t="shared" si="11"/>
        <v/>
      </c>
      <c r="AE358" s="90"/>
      <c r="AF358" s="89" t="str">
        <f t="shared" si="12"/>
        <v/>
      </c>
      <c r="AG358" s="96"/>
      <c r="AH358" s="88" t="str">
        <f t="shared" si="13"/>
        <v/>
      </c>
      <c r="AI358" s="87"/>
      <c r="AJ358" s="89" t="str">
        <f t="shared" si="14"/>
        <v/>
      </c>
      <c r="AK358" s="90"/>
      <c r="AL358" s="89" t="str">
        <f t="shared" si="15"/>
        <v/>
      </c>
      <c r="AM358" s="89"/>
      <c r="AN358" s="93">
        <f t="shared" si="17"/>
        <v>0</v>
      </c>
      <c r="AO358" s="94">
        <f t="shared" si="18"/>
        <v>0</v>
      </c>
      <c r="AP358" s="87"/>
      <c r="AQ358" s="87"/>
      <c r="AR358" s="89" t="str">
        <f t="shared" si="19"/>
        <v/>
      </c>
      <c r="AS358" s="90"/>
      <c r="AT358" s="89" t="str">
        <f t="shared" si="20"/>
        <v/>
      </c>
      <c r="AU358" s="95"/>
      <c r="AV358" s="87"/>
      <c r="AW358" s="87"/>
      <c r="AX358" s="89" t="str">
        <f t="shared" si="21"/>
        <v/>
      </c>
      <c r="AY358" s="90"/>
      <c r="AZ358" s="89" t="str">
        <f t="shared" si="22"/>
        <v/>
      </c>
      <c r="BA358" s="95"/>
      <c r="BB358" s="88" t="str">
        <f t="shared" si="28"/>
        <v/>
      </c>
      <c r="BC358" s="87"/>
      <c r="BD358" s="89" t="str">
        <f t="shared" si="23"/>
        <v/>
      </c>
      <c r="BE358" s="90"/>
      <c r="BF358" s="89" t="str">
        <f t="shared" si="24"/>
        <v/>
      </c>
      <c r="BG358" s="96"/>
    </row>
    <row r="359">
      <c r="A359" s="87"/>
      <c r="B359" s="87"/>
      <c r="C359" s="87"/>
      <c r="D359" s="87"/>
      <c r="E359" s="87"/>
      <c r="F359" s="87"/>
      <c r="G359" s="87"/>
      <c r="H359" s="88" t="str">
        <f t="shared" si="1"/>
        <v/>
      </c>
      <c r="I359" s="87"/>
      <c r="J359" s="89" t="str">
        <f t="shared" si="2"/>
        <v/>
      </c>
      <c r="K359" s="90"/>
      <c r="L359" s="89" t="str">
        <f t="shared" si="3"/>
        <v/>
      </c>
      <c r="M359" s="89"/>
      <c r="N359" s="93">
        <f t="shared" si="5"/>
        <v>0</v>
      </c>
      <c r="O359" s="94">
        <f t="shared" si="6"/>
        <v>0</v>
      </c>
      <c r="P359" s="87"/>
      <c r="Q359" s="87"/>
      <c r="R359" s="89" t="str">
        <f t="shared" si="7"/>
        <v/>
      </c>
      <c r="S359" s="90"/>
      <c r="T359" s="89" t="str">
        <f t="shared" si="8"/>
        <v/>
      </c>
      <c r="U359" s="95"/>
      <c r="V359" s="87"/>
      <c r="W359" s="87"/>
      <c r="X359" s="89" t="str">
        <f t="shared" si="9"/>
        <v/>
      </c>
      <c r="Y359" s="90"/>
      <c r="Z359" s="89" t="str">
        <f t="shared" si="10"/>
        <v/>
      </c>
      <c r="AA359" s="95"/>
      <c r="AB359" s="88" t="str">
        <f t="shared" si="27"/>
        <v/>
      </c>
      <c r="AC359" s="87"/>
      <c r="AD359" s="89" t="str">
        <f t="shared" si="11"/>
        <v/>
      </c>
      <c r="AE359" s="90"/>
      <c r="AF359" s="89" t="str">
        <f t="shared" si="12"/>
        <v/>
      </c>
      <c r="AG359" s="96"/>
      <c r="AH359" s="88" t="str">
        <f t="shared" si="13"/>
        <v/>
      </c>
      <c r="AI359" s="87"/>
      <c r="AJ359" s="89" t="str">
        <f t="shared" si="14"/>
        <v/>
      </c>
      <c r="AK359" s="90"/>
      <c r="AL359" s="89" t="str">
        <f t="shared" si="15"/>
        <v/>
      </c>
      <c r="AM359" s="89"/>
      <c r="AN359" s="93">
        <f t="shared" si="17"/>
        <v>0</v>
      </c>
      <c r="AO359" s="94">
        <f t="shared" si="18"/>
        <v>0</v>
      </c>
      <c r="AP359" s="87"/>
      <c r="AQ359" s="87"/>
      <c r="AR359" s="89" t="str">
        <f t="shared" si="19"/>
        <v/>
      </c>
      <c r="AS359" s="90"/>
      <c r="AT359" s="89" t="str">
        <f t="shared" si="20"/>
        <v/>
      </c>
      <c r="AU359" s="95"/>
      <c r="AV359" s="87"/>
      <c r="AW359" s="87"/>
      <c r="AX359" s="89" t="str">
        <f t="shared" si="21"/>
        <v/>
      </c>
      <c r="AY359" s="90"/>
      <c r="AZ359" s="89" t="str">
        <f t="shared" si="22"/>
        <v/>
      </c>
      <c r="BA359" s="95"/>
      <c r="BB359" s="88" t="str">
        <f t="shared" si="28"/>
        <v/>
      </c>
      <c r="BC359" s="87"/>
      <c r="BD359" s="89" t="str">
        <f t="shared" si="23"/>
        <v/>
      </c>
      <c r="BE359" s="90"/>
      <c r="BF359" s="89" t="str">
        <f t="shared" si="24"/>
        <v/>
      </c>
      <c r="BG359" s="96"/>
    </row>
    <row r="360">
      <c r="A360" s="87"/>
      <c r="B360" s="87"/>
      <c r="C360" s="87"/>
      <c r="D360" s="87"/>
      <c r="E360" s="87"/>
      <c r="F360" s="87"/>
      <c r="G360" s="87"/>
      <c r="H360" s="88" t="str">
        <f t="shared" si="1"/>
        <v/>
      </c>
      <c r="I360" s="87"/>
      <c r="J360" s="89" t="str">
        <f t="shared" si="2"/>
        <v/>
      </c>
      <c r="K360" s="90"/>
      <c r="L360" s="89" t="str">
        <f t="shared" si="3"/>
        <v/>
      </c>
      <c r="M360" s="89"/>
      <c r="N360" s="93">
        <f t="shared" si="5"/>
        <v>0</v>
      </c>
      <c r="O360" s="94">
        <f t="shared" si="6"/>
        <v>0</v>
      </c>
      <c r="P360" s="87"/>
      <c r="Q360" s="87"/>
      <c r="R360" s="89" t="str">
        <f t="shared" si="7"/>
        <v/>
      </c>
      <c r="S360" s="90"/>
      <c r="T360" s="89" t="str">
        <f t="shared" si="8"/>
        <v/>
      </c>
      <c r="U360" s="95"/>
      <c r="V360" s="87"/>
      <c r="W360" s="87"/>
      <c r="X360" s="89" t="str">
        <f t="shared" si="9"/>
        <v/>
      </c>
      <c r="Y360" s="90"/>
      <c r="Z360" s="89" t="str">
        <f t="shared" si="10"/>
        <v/>
      </c>
      <c r="AA360" s="95"/>
      <c r="AB360" s="88" t="str">
        <f t="shared" si="27"/>
        <v/>
      </c>
      <c r="AC360" s="87"/>
      <c r="AD360" s="89" t="str">
        <f t="shared" si="11"/>
        <v/>
      </c>
      <c r="AE360" s="90"/>
      <c r="AF360" s="89" t="str">
        <f t="shared" si="12"/>
        <v/>
      </c>
      <c r="AG360" s="96"/>
      <c r="AH360" s="88" t="str">
        <f t="shared" si="13"/>
        <v/>
      </c>
      <c r="AI360" s="87"/>
      <c r="AJ360" s="89" t="str">
        <f t="shared" si="14"/>
        <v/>
      </c>
      <c r="AK360" s="90"/>
      <c r="AL360" s="89" t="str">
        <f t="shared" si="15"/>
        <v/>
      </c>
      <c r="AM360" s="89"/>
      <c r="AN360" s="93">
        <f t="shared" si="17"/>
        <v>0</v>
      </c>
      <c r="AO360" s="94">
        <f t="shared" si="18"/>
        <v>0</v>
      </c>
      <c r="AP360" s="87"/>
      <c r="AQ360" s="87"/>
      <c r="AR360" s="89" t="str">
        <f t="shared" si="19"/>
        <v/>
      </c>
      <c r="AS360" s="90"/>
      <c r="AT360" s="89" t="str">
        <f t="shared" si="20"/>
        <v/>
      </c>
      <c r="AU360" s="95"/>
      <c r="AV360" s="87"/>
      <c r="AW360" s="87"/>
      <c r="AX360" s="89" t="str">
        <f t="shared" si="21"/>
        <v/>
      </c>
      <c r="AY360" s="90"/>
      <c r="AZ360" s="89" t="str">
        <f t="shared" si="22"/>
        <v/>
      </c>
      <c r="BA360" s="95"/>
      <c r="BB360" s="88" t="str">
        <f t="shared" si="28"/>
        <v/>
      </c>
      <c r="BC360" s="87"/>
      <c r="BD360" s="89" t="str">
        <f t="shared" si="23"/>
        <v/>
      </c>
      <c r="BE360" s="90"/>
      <c r="BF360" s="89" t="str">
        <f t="shared" si="24"/>
        <v/>
      </c>
      <c r="BG360" s="96"/>
    </row>
    <row r="361">
      <c r="A361" s="87"/>
      <c r="B361" s="87"/>
      <c r="C361" s="87"/>
      <c r="D361" s="87"/>
      <c r="E361" s="87"/>
      <c r="F361" s="87"/>
      <c r="G361" s="87"/>
      <c r="H361" s="88" t="str">
        <f t="shared" si="1"/>
        <v/>
      </c>
      <c r="I361" s="87"/>
      <c r="J361" s="89" t="str">
        <f t="shared" si="2"/>
        <v/>
      </c>
      <c r="K361" s="90"/>
      <c r="L361" s="89" t="str">
        <f t="shared" si="3"/>
        <v/>
      </c>
      <c r="M361" s="89"/>
      <c r="N361" s="93">
        <f t="shared" si="5"/>
        <v>0</v>
      </c>
      <c r="O361" s="94">
        <f t="shared" si="6"/>
        <v>0</v>
      </c>
      <c r="P361" s="87"/>
      <c r="Q361" s="87"/>
      <c r="R361" s="89" t="str">
        <f t="shared" si="7"/>
        <v/>
      </c>
      <c r="S361" s="90"/>
      <c r="T361" s="89" t="str">
        <f t="shared" si="8"/>
        <v/>
      </c>
      <c r="U361" s="95"/>
      <c r="V361" s="87"/>
      <c r="W361" s="87"/>
      <c r="X361" s="89" t="str">
        <f t="shared" si="9"/>
        <v/>
      </c>
      <c r="Y361" s="90"/>
      <c r="Z361" s="89" t="str">
        <f t="shared" si="10"/>
        <v/>
      </c>
      <c r="AA361" s="95"/>
      <c r="AB361" s="88" t="str">
        <f t="shared" si="27"/>
        <v/>
      </c>
      <c r="AC361" s="87"/>
      <c r="AD361" s="89" t="str">
        <f t="shared" si="11"/>
        <v/>
      </c>
      <c r="AE361" s="90"/>
      <c r="AF361" s="89" t="str">
        <f t="shared" si="12"/>
        <v/>
      </c>
      <c r="AG361" s="96"/>
      <c r="AH361" s="88" t="str">
        <f t="shared" si="13"/>
        <v/>
      </c>
      <c r="AI361" s="87"/>
      <c r="AJ361" s="89" t="str">
        <f t="shared" si="14"/>
        <v/>
      </c>
      <c r="AK361" s="90"/>
      <c r="AL361" s="89" t="str">
        <f t="shared" si="15"/>
        <v/>
      </c>
      <c r="AM361" s="89"/>
      <c r="AN361" s="93">
        <f t="shared" si="17"/>
        <v>0</v>
      </c>
      <c r="AO361" s="94">
        <f t="shared" si="18"/>
        <v>0</v>
      </c>
      <c r="AP361" s="87"/>
      <c r="AQ361" s="87"/>
      <c r="AR361" s="89" t="str">
        <f t="shared" si="19"/>
        <v/>
      </c>
      <c r="AS361" s="90"/>
      <c r="AT361" s="89" t="str">
        <f t="shared" si="20"/>
        <v/>
      </c>
      <c r="AU361" s="95"/>
      <c r="AV361" s="87"/>
      <c r="AW361" s="87"/>
      <c r="AX361" s="89" t="str">
        <f t="shared" si="21"/>
        <v/>
      </c>
      <c r="AY361" s="90"/>
      <c r="AZ361" s="89" t="str">
        <f t="shared" si="22"/>
        <v/>
      </c>
      <c r="BA361" s="95"/>
      <c r="BB361" s="88" t="str">
        <f t="shared" si="28"/>
        <v/>
      </c>
      <c r="BC361" s="87"/>
      <c r="BD361" s="89" t="str">
        <f t="shared" si="23"/>
        <v/>
      </c>
      <c r="BE361" s="90"/>
      <c r="BF361" s="89" t="str">
        <f t="shared" si="24"/>
        <v/>
      </c>
      <c r="BG361" s="96"/>
    </row>
    <row r="362">
      <c r="A362" s="87"/>
      <c r="B362" s="87"/>
      <c r="C362" s="87"/>
      <c r="D362" s="87"/>
      <c r="E362" s="87"/>
      <c r="F362" s="87"/>
      <c r="G362" s="87"/>
      <c r="H362" s="88" t="str">
        <f t="shared" si="1"/>
        <v/>
      </c>
      <c r="I362" s="87"/>
      <c r="J362" s="89" t="str">
        <f t="shared" si="2"/>
        <v/>
      </c>
      <c r="K362" s="90"/>
      <c r="L362" s="89" t="str">
        <f t="shared" si="3"/>
        <v/>
      </c>
      <c r="M362" s="89"/>
      <c r="N362" s="93">
        <f t="shared" si="5"/>
        <v>0</v>
      </c>
      <c r="O362" s="94">
        <f t="shared" si="6"/>
        <v>0</v>
      </c>
      <c r="P362" s="87"/>
      <c r="Q362" s="87"/>
      <c r="R362" s="89" t="str">
        <f t="shared" si="7"/>
        <v/>
      </c>
      <c r="S362" s="90"/>
      <c r="T362" s="89" t="str">
        <f t="shared" si="8"/>
        <v/>
      </c>
      <c r="U362" s="95"/>
      <c r="V362" s="87"/>
      <c r="W362" s="87"/>
      <c r="X362" s="89" t="str">
        <f t="shared" si="9"/>
        <v/>
      </c>
      <c r="Y362" s="90"/>
      <c r="Z362" s="89" t="str">
        <f t="shared" si="10"/>
        <v/>
      </c>
      <c r="AA362" s="95"/>
      <c r="AB362" s="88" t="str">
        <f t="shared" si="27"/>
        <v/>
      </c>
      <c r="AC362" s="87"/>
      <c r="AD362" s="89" t="str">
        <f t="shared" si="11"/>
        <v/>
      </c>
      <c r="AE362" s="90"/>
      <c r="AF362" s="89" t="str">
        <f t="shared" si="12"/>
        <v/>
      </c>
      <c r="AG362" s="96"/>
      <c r="AH362" s="88" t="str">
        <f t="shared" si="13"/>
        <v/>
      </c>
      <c r="AI362" s="87"/>
      <c r="AJ362" s="89" t="str">
        <f t="shared" si="14"/>
        <v/>
      </c>
      <c r="AK362" s="90"/>
      <c r="AL362" s="89" t="str">
        <f t="shared" si="15"/>
        <v/>
      </c>
      <c r="AM362" s="89"/>
      <c r="AN362" s="93">
        <f t="shared" si="17"/>
        <v>0</v>
      </c>
      <c r="AO362" s="94">
        <f t="shared" si="18"/>
        <v>0</v>
      </c>
      <c r="AP362" s="87"/>
      <c r="AQ362" s="87"/>
      <c r="AR362" s="89" t="str">
        <f t="shared" si="19"/>
        <v/>
      </c>
      <c r="AS362" s="90"/>
      <c r="AT362" s="89" t="str">
        <f t="shared" si="20"/>
        <v/>
      </c>
      <c r="AU362" s="95"/>
      <c r="AV362" s="87"/>
      <c r="AW362" s="87"/>
      <c r="AX362" s="89" t="str">
        <f t="shared" si="21"/>
        <v/>
      </c>
      <c r="AY362" s="90"/>
      <c r="AZ362" s="89" t="str">
        <f t="shared" si="22"/>
        <v/>
      </c>
      <c r="BA362" s="95"/>
      <c r="BB362" s="88" t="str">
        <f t="shared" si="28"/>
        <v/>
      </c>
      <c r="BC362" s="87"/>
      <c r="BD362" s="89" t="str">
        <f t="shared" si="23"/>
        <v/>
      </c>
      <c r="BE362" s="90"/>
      <c r="BF362" s="89" t="str">
        <f t="shared" si="24"/>
        <v/>
      </c>
      <c r="BG362" s="96"/>
    </row>
    <row r="363">
      <c r="A363" s="87"/>
      <c r="B363" s="87"/>
      <c r="C363" s="87"/>
      <c r="D363" s="87"/>
      <c r="E363" s="87"/>
      <c r="F363" s="87"/>
      <c r="G363" s="87"/>
      <c r="H363" s="88" t="str">
        <f t="shared" si="1"/>
        <v/>
      </c>
      <c r="I363" s="87"/>
      <c r="J363" s="89" t="str">
        <f t="shared" si="2"/>
        <v/>
      </c>
      <c r="K363" s="90"/>
      <c r="L363" s="89" t="str">
        <f t="shared" si="3"/>
        <v/>
      </c>
      <c r="M363" s="89"/>
      <c r="N363" s="93">
        <f t="shared" si="5"/>
        <v>0</v>
      </c>
      <c r="O363" s="94">
        <f t="shared" si="6"/>
        <v>0</v>
      </c>
      <c r="P363" s="87"/>
      <c r="Q363" s="87"/>
      <c r="R363" s="89" t="str">
        <f t="shared" si="7"/>
        <v/>
      </c>
      <c r="S363" s="90"/>
      <c r="T363" s="89" t="str">
        <f t="shared" si="8"/>
        <v/>
      </c>
      <c r="U363" s="95"/>
      <c r="V363" s="87"/>
      <c r="W363" s="87"/>
      <c r="X363" s="89" t="str">
        <f t="shared" si="9"/>
        <v/>
      </c>
      <c r="Y363" s="90"/>
      <c r="Z363" s="89" t="str">
        <f t="shared" si="10"/>
        <v/>
      </c>
      <c r="AA363" s="95"/>
      <c r="AB363" s="88" t="str">
        <f t="shared" si="27"/>
        <v/>
      </c>
      <c r="AC363" s="87"/>
      <c r="AD363" s="89" t="str">
        <f t="shared" si="11"/>
        <v/>
      </c>
      <c r="AE363" s="90"/>
      <c r="AF363" s="89" t="str">
        <f t="shared" si="12"/>
        <v/>
      </c>
      <c r="AG363" s="96"/>
      <c r="AH363" s="88" t="str">
        <f t="shared" si="13"/>
        <v/>
      </c>
      <c r="AI363" s="87"/>
      <c r="AJ363" s="89" t="str">
        <f t="shared" si="14"/>
        <v/>
      </c>
      <c r="AK363" s="90"/>
      <c r="AL363" s="89" t="str">
        <f t="shared" si="15"/>
        <v/>
      </c>
      <c r="AM363" s="89"/>
      <c r="AN363" s="93">
        <f t="shared" si="17"/>
        <v>0</v>
      </c>
      <c r="AO363" s="94">
        <f t="shared" si="18"/>
        <v>0</v>
      </c>
      <c r="AP363" s="87"/>
      <c r="AQ363" s="87"/>
      <c r="AR363" s="89" t="str">
        <f t="shared" si="19"/>
        <v/>
      </c>
      <c r="AS363" s="90"/>
      <c r="AT363" s="89" t="str">
        <f t="shared" si="20"/>
        <v/>
      </c>
      <c r="AU363" s="95"/>
      <c r="AV363" s="87"/>
      <c r="AW363" s="87"/>
      <c r="AX363" s="89" t="str">
        <f t="shared" si="21"/>
        <v/>
      </c>
      <c r="AY363" s="90"/>
      <c r="AZ363" s="89" t="str">
        <f t="shared" si="22"/>
        <v/>
      </c>
      <c r="BA363" s="95"/>
      <c r="BB363" s="88" t="str">
        <f t="shared" si="28"/>
        <v/>
      </c>
      <c r="BC363" s="87"/>
      <c r="BD363" s="89" t="str">
        <f t="shared" si="23"/>
        <v/>
      </c>
      <c r="BE363" s="90"/>
      <c r="BF363" s="89" t="str">
        <f t="shared" si="24"/>
        <v/>
      </c>
      <c r="BG363" s="96"/>
    </row>
    <row r="364">
      <c r="A364" s="87"/>
      <c r="B364" s="87"/>
      <c r="C364" s="87"/>
      <c r="D364" s="87"/>
      <c r="E364" s="87"/>
      <c r="F364" s="87"/>
      <c r="G364" s="87"/>
      <c r="H364" s="88" t="str">
        <f t="shared" si="1"/>
        <v/>
      </c>
      <c r="I364" s="87"/>
      <c r="J364" s="89" t="str">
        <f t="shared" si="2"/>
        <v/>
      </c>
      <c r="K364" s="90"/>
      <c r="L364" s="89" t="str">
        <f t="shared" si="3"/>
        <v/>
      </c>
      <c r="M364" s="89"/>
      <c r="N364" s="93">
        <f t="shared" si="5"/>
        <v>0</v>
      </c>
      <c r="O364" s="94">
        <f t="shared" si="6"/>
        <v>0</v>
      </c>
      <c r="P364" s="87"/>
      <c r="Q364" s="87"/>
      <c r="R364" s="89" t="str">
        <f t="shared" si="7"/>
        <v/>
      </c>
      <c r="S364" s="90"/>
      <c r="T364" s="89" t="str">
        <f t="shared" si="8"/>
        <v/>
      </c>
      <c r="U364" s="95"/>
      <c r="V364" s="87"/>
      <c r="W364" s="87"/>
      <c r="X364" s="89" t="str">
        <f t="shared" si="9"/>
        <v/>
      </c>
      <c r="Y364" s="90"/>
      <c r="Z364" s="89" t="str">
        <f t="shared" si="10"/>
        <v/>
      </c>
      <c r="AA364" s="95"/>
      <c r="AB364" s="88" t="str">
        <f t="shared" si="27"/>
        <v/>
      </c>
      <c r="AC364" s="87"/>
      <c r="AD364" s="89" t="str">
        <f t="shared" si="11"/>
        <v/>
      </c>
      <c r="AE364" s="90"/>
      <c r="AF364" s="89" t="str">
        <f t="shared" si="12"/>
        <v/>
      </c>
      <c r="AG364" s="96"/>
      <c r="AH364" s="88" t="str">
        <f t="shared" si="13"/>
        <v/>
      </c>
      <c r="AI364" s="87"/>
      <c r="AJ364" s="89" t="str">
        <f t="shared" si="14"/>
        <v/>
      </c>
      <c r="AK364" s="90"/>
      <c r="AL364" s="89" t="str">
        <f t="shared" si="15"/>
        <v/>
      </c>
      <c r="AM364" s="89"/>
      <c r="AN364" s="93">
        <f t="shared" si="17"/>
        <v>0</v>
      </c>
      <c r="AO364" s="94">
        <f t="shared" si="18"/>
        <v>0</v>
      </c>
      <c r="AP364" s="87"/>
      <c r="AQ364" s="87"/>
      <c r="AR364" s="89" t="str">
        <f t="shared" si="19"/>
        <v/>
      </c>
      <c r="AS364" s="90"/>
      <c r="AT364" s="89" t="str">
        <f t="shared" si="20"/>
        <v/>
      </c>
      <c r="AU364" s="95"/>
      <c r="AV364" s="87"/>
      <c r="AW364" s="87"/>
      <c r="AX364" s="89" t="str">
        <f t="shared" si="21"/>
        <v/>
      </c>
      <c r="AY364" s="90"/>
      <c r="AZ364" s="89" t="str">
        <f t="shared" si="22"/>
        <v/>
      </c>
      <c r="BA364" s="95"/>
      <c r="BB364" s="88" t="str">
        <f t="shared" si="28"/>
        <v/>
      </c>
      <c r="BC364" s="87"/>
      <c r="BD364" s="89" t="str">
        <f t="shared" si="23"/>
        <v/>
      </c>
      <c r="BE364" s="90"/>
      <c r="BF364" s="89" t="str">
        <f t="shared" si="24"/>
        <v/>
      </c>
      <c r="BG364" s="96"/>
    </row>
    <row r="365">
      <c r="A365" s="87"/>
      <c r="B365" s="87"/>
      <c r="C365" s="87"/>
      <c r="D365" s="87"/>
      <c r="E365" s="87"/>
      <c r="F365" s="87"/>
      <c r="G365" s="87"/>
      <c r="H365" s="88" t="str">
        <f t="shared" si="1"/>
        <v/>
      </c>
      <c r="I365" s="87"/>
      <c r="J365" s="89" t="str">
        <f t="shared" si="2"/>
        <v/>
      </c>
      <c r="K365" s="90"/>
      <c r="L365" s="89" t="str">
        <f t="shared" si="3"/>
        <v/>
      </c>
      <c r="M365" s="89"/>
      <c r="N365" s="93">
        <f t="shared" si="5"/>
        <v>0</v>
      </c>
      <c r="O365" s="94">
        <f t="shared" si="6"/>
        <v>0</v>
      </c>
      <c r="P365" s="87"/>
      <c r="Q365" s="87"/>
      <c r="R365" s="89" t="str">
        <f t="shared" si="7"/>
        <v/>
      </c>
      <c r="S365" s="90"/>
      <c r="T365" s="89" t="str">
        <f t="shared" si="8"/>
        <v/>
      </c>
      <c r="U365" s="95"/>
      <c r="V365" s="87"/>
      <c r="W365" s="87"/>
      <c r="X365" s="89" t="str">
        <f t="shared" si="9"/>
        <v/>
      </c>
      <c r="Y365" s="90"/>
      <c r="Z365" s="89" t="str">
        <f t="shared" si="10"/>
        <v/>
      </c>
      <c r="AA365" s="95"/>
      <c r="AB365" s="88" t="str">
        <f t="shared" si="27"/>
        <v/>
      </c>
      <c r="AC365" s="87"/>
      <c r="AD365" s="89" t="str">
        <f t="shared" si="11"/>
        <v/>
      </c>
      <c r="AE365" s="90"/>
      <c r="AF365" s="89" t="str">
        <f t="shared" si="12"/>
        <v/>
      </c>
      <c r="AG365" s="96"/>
      <c r="AH365" s="88" t="str">
        <f t="shared" si="13"/>
        <v/>
      </c>
      <c r="AI365" s="87"/>
      <c r="AJ365" s="89" t="str">
        <f t="shared" si="14"/>
        <v/>
      </c>
      <c r="AK365" s="90"/>
      <c r="AL365" s="89" t="str">
        <f t="shared" si="15"/>
        <v/>
      </c>
      <c r="AM365" s="89"/>
      <c r="AN365" s="93">
        <f t="shared" si="17"/>
        <v>0</v>
      </c>
      <c r="AO365" s="94">
        <f t="shared" si="18"/>
        <v>0</v>
      </c>
      <c r="AP365" s="87"/>
      <c r="AQ365" s="87"/>
      <c r="AR365" s="89" t="str">
        <f t="shared" si="19"/>
        <v/>
      </c>
      <c r="AS365" s="90"/>
      <c r="AT365" s="89" t="str">
        <f t="shared" si="20"/>
        <v/>
      </c>
      <c r="AU365" s="95"/>
      <c r="AV365" s="87"/>
      <c r="AW365" s="87"/>
      <c r="AX365" s="89" t="str">
        <f t="shared" si="21"/>
        <v/>
      </c>
      <c r="AY365" s="90"/>
      <c r="AZ365" s="89" t="str">
        <f t="shared" si="22"/>
        <v/>
      </c>
      <c r="BA365" s="95"/>
      <c r="BB365" s="88" t="str">
        <f t="shared" si="28"/>
        <v/>
      </c>
      <c r="BC365" s="87"/>
      <c r="BD365" s="89" t="str">
        <f t="shared" si="23"/>
        <v/>
      </c>
      <c r="BE365" s="90"/>
      <c r="BF365" s="89" t="str">
        <f t="shared" si="24"/>
        <v/>
      </c>
      <c r="BG365" s="96"/>
    </row>
    <row r="366">
      <c r="A366" s="87"/>
      <c r="B366" s="87"/>
      <c r="C366" s="87"/>
      <c r="D366" s="87"/>
      <c r="E366" s="87"/>
      <c r="F366" s="87"/>
      <c r="G366" s="87"/>
      <c r="H366" s="88" t="str">
        <f t="shared" si="1"/>
        <v/>
      </c>
      <c r="I366" s="87"/>
      <c r="J366" s="89" t="str">
        <f t="shared" si="2"/>
        <v/>
      </c>
      <c r="K366" s="90"/>
      <c r="L366" s="89" t="str">
        <f t="shared" si="3"/>
        <v/>
      </c>
      <c r="M366" s="89"/>
      <c r="N366" s="93">
        <f t="shared" si="5"/>
        <v>0</v>
      </c>
      <c r="O366" s="94">
        <f t="shared" si="6"/>
        <v>0</v>
      </c>
      <c r="P366" s="87"/>
      <c r="Q366" s="87"/>
      <c r="R366" s="89" t="str">
        <f t="shared" si="7"/>
        <v/>
      </c>
      <c r="S366" s="90"/>
      <c r="T366" s="89" t="str">
        <f t="shared" si="8"/>
        <v/>
      </c>
      <c r="U366" s="95"/>
      <c r="V366" s="87"/>
      <c r="W366" s="87"/>
      <c r="X366" s="89" t="str">
        <f t="shared" si="9"/>
        <v/>
      </c>
      <c r="Y366" s="90"/>
      <c r="Z366" s="89" t="str">
        <f t="shared" si="10"/>
        <v/>
      </c>
      <c r="AA366" s="95"/>
      <c r="AB366" s="88" t="str">
        <f t="shared" si="27"/>
        <v/>
      </c>
      <c r="AC366" s="87"/>
      <c r="AD366" s="89" t="str">
        <f t="shared" si="11"/>
        <v/>
      </c>
      <c r="AE366" s="90"/>
      <c r="AF366" s="89" t="str">
        <f t="shared" si="12"/>
        <v/>
      </c>
      <c r="AG366" s="96"/>
      <c r="AH366" s="88" t="str">
        <f t="shared" si="13"/>
        <v/>
      </c>
      <c r="AI366" s="87"/>
      <c r="AJ366" s="89" t="str">
        <f t="shared" si="14"/>
        <v/>
      </c>
      <c r="AK366" s="90"/>
      <c r="AL366" s="89" t="str">
        <f t="shared" si="15"/>
        <v/>
      </c>
      <c r="AM366" s="89"/>
      <c r="AN366" s="93">
        <f t="shared" si="17"/>
        <v>0</v>
      </c>
      <c r="AO366" s="94">
        <f t="shared" si="18"/>
        <v>0</v>
      </c>
      <c r="AP366" s="87"/>
      <c r="AQ366" s="87"/>
      <c r="AR366" s="89" t="str">
        <f t="shared" si="19"/>
        <v/>
      </c>
      <c r="AS366" s="90"/>
      <c r="AT366" s="89" t="str">
        <f t="shared" si="20"/>
        <v/>
      </c>
      <c r="AU366" s="95"/>
      <c r="AV366" s="87"/>
      <c r="AW366" s="87"/>
      <c r="AX366" s="89" t="str">
        <f t="shared" si="21"/>
        <v/>
      </c>
      <c r="AY366" s="90"/>
      <c r="AZ366" s="89" t="str">
        <f t="shared" si="22"/>
        <v/>
      </c>
      <c r="BA366" s="95"/>
      <c r="BB366" s="88" t="str">
        <f t="shared" si="28"/>
        <v/>
      </c>
      <c r="BC366" s="87"/>
      <c r="BD366" s="89" t="str">
        <f t="shared" si="23"/>
        <v/>
      </c>
      <c r="BE366" s="90"/>
      <c r="BF366" s="89" t="str">
        <f t="shared" si="24"/>
        <v/>
      </c>
      <c r="BG366" s="96"/>
    </row>
    <row r="367">
      <c r="A367" s="87"/>
      <c r="B367" s="87"/>
      <c r="C367" s="87"/>
      <c r="D367" s="87"/>
      <c r="E367" s="87"/>
      <c r="F367" s="87"/>
      <c r="G367" s="87"/>
      <c r="H367" s="88" t="str">
        <f t="shared" si="1"/>
        <v/>
      </c>
      <c r="I367" s="87"/>
      <c r="J367" s="89" t="str">
        <f t="shared" si="2"/>
        <v/>
      </c>
      <c r="K367" s="90"/>
      <c r="L367" s="89" t="str">
        <f t="shared" si="3"/>
        <v/>
      </c>
      <c r="M367" s="89"/>
      <c r="N367" s="93">
        <f t="shared" si="5"/>
        <v>0</v>
      </c>
      <c r="O367" s="94">
        <f t="shared" si="6"/>
        <v>0</v>
      </c>
      <c r="P367" s="87"/>
      <c r="Q367" s="87"/>
      <c r="R367" s="89" t="str">
        <f t="shared" si="7"/>
        <v/>
      </c>
      <c r="S367" s="90"/>
      <c r="T367" s="89" t="str">
        <f t="shared" si="8"/>
        <v/>
      </c>
      <c r="U367" s="95"/>
      <c r="V367" s="87"/>
      <c r="W367" s="87"/>
      <c r="X367" s="89" t="str">
        <f t="shared" si="9"/>
        <v/>
      </c>
      <c r="Y367" s="90"/>
      <c r="Z367" s="89" t="str">
        <f t="shared" si="10"/>
        <v/>
      </c>
      <c r="AA367" s="95"/>
      <c r="AB367" s="88" t="str">
        <f t="shared" si="27"/>
        <v/>
      </c>
      <c r="AC367" s="87"/>
      <c r="AD367" s="89" t="str">
        <f t="shared" si="11"/>
        <v/>
      </c>
      <c r="AE367" s="90"/>
      <c r="AF367" s="89" t="str">
        <f t="shared" si="12"/>
        <v/>
      </c>
      <c r="AG367" s="96"/>
      <c r="AH367" s="88" t="str">
        <f t="shared" si="13"/>
        <v/>
      </c>
      <c r="AI367" s="87"/>
      <c r="AJ367" s="89" t="str">
        <f t="shared" si="14"/>
        <v/>
      </c>
      <c r="AK367" s="90"/>
      <c r="AL367" s="89" t="str">
        <f t="shared" si="15"/>
        <v/>
      </c>
      <c r="AM367" s="89"/>
      <c r="AN367" s="93">
        <f t="shared" si="17"/>
        <v>0</v>
      </c>
      <c r="AO367" s="94">
        <f t="shared" si="18"/>
        <v>0</v>
      </c>
      <c r="AP367" s="87"/>
      <c r="AQ367" s="87"/>
      <c r="AR367" s="89" t="str">
        <f t="shared" si="19"/>
        <v/>
      </c>
      <c r="AS367" s="90"/>
      <c r="AT367" s="89" t="str">
        <f t="shared" si="20"/>
        <v/>
      </c>
      <c r="AU367" s="95"/>
      <c r="AV367" s="87"/>
      <c r="AW367" s="87"/>
      <c r="AX367" s="89" t="str">
        <f t="shared" si="21"/>
        <v/>
      </c>
      <c r="AY367" s="90"/>
      <c r="AZ367" s="89" t="str">
        <f t="shared" si="22"/>
        <v/>
      </c>
      <c r="BA367" s="95"/>
      <c r="BB367" s="88" t="str">
        <f t="shared" si="28"/>
        <v/>
      </c>
      <c r="BC367" s="87"/>
      <c r="BD367" s="89" t="str">
        <f t="shared" si="23"/>
        <v/>
      </c>
      <c r="BE367" s="90"/>
      <c r="BF367" s="89" t="str">
        <f t="shared" si="24"/>
        <v/>
      </c>
      <c r="BG367" s="96"/>
    </row>
    <row r="368">
      <c r="A368" s="87"/>
      <c r="B368" s="87"/>
      <c r="C368" s="87"/>
      <c r="D368" s="87"/>
      <c r="E368" s="87"/>
      <c r="F368" s="87"/>
      <c r="G368" s="87"/>
      <c r="H368" s="88" t="str">
        <f t="shared" si="1"/>
        <v/>
      </c>
      <c r="I368" s="87"/>
      <c r="J368" s="89" t="str">
        <f t="shared" si="2"/>
        <v/>
      </c>
      <c r="K368" s="90"/>
      <c r="L368" s="89" t="str">
        <f t="shared" si="3"/>
        <v/>
      </c>
      <c r="M368" s="89"/>
      <c r="N368" s="93">
        <f t="shared" si="5"/>
        <v>0</v>
      </c>
      <c r="O368" s="94">
        <f t="shared" si="6"/>
        <v>0</v>
      </c>
      <c r="P368" s="87"/>
      <c r="Q368" s="87"/>
      <c r="R368" s="89" t="str">
        <f t="shared" si="7"/>
        <v/>
      </c>
      <c r="S368" s="90"/>
      <c r="T368" s="89" t="str">
        <f t="shared" si="8"/>
        <v/>
      </c>
      <c r="U368" s="95"/>
      <c r="V368" s="87"/>
      <c r="W368" s="87"/>
      <c r="X368" s="89" t="str">
        <f t="shared" si="9"/>
        <v/>
      </c>
      <c r="Y368" s="90"/>
      <c r="Z368" s="89" t="str">
        <f t="shared" si="10"/>
        <v/>
      </c>
      <c r="AA368" s="95"/>
      <c r="AB368" s="88" t="str">
        <f t="shared" si="27"/>
        <v/>
      </c>
      <c r="AC368" s="87"/>
      <c r="AD368" s="89" t="str">
        <f t="shared" si="11"/>
        <v/>
      </c>
      <c r="AE368" s="90"/>
      <c r="AF368" s="89" t="str">
        <f t="shared" si="12"/>
        <v/>
      </c>
      <c r="AG368" s="96"/>
      <c r="AH368" s="88" t="str">
        <f t="shared" si="13"/>
        <v/>
      </c>
      <c r="AI368" s="87"/>
      <c r="AJ368" s="89" t="str">
        <f t="shared" si="14"/>
        <v/>
      </c>
      <c r="AK368" s="90"/>
      <c r="AL368" s="89" t="str">
        <f t="shared" si="15"/>
        <v/>
      </c>
      <c r="AM368" s="89"/>
      <c r="AN368" s="93">
        <f t="shared" si="17"/>
        <v>0</v>
      </c>
      <c r="AO368" s="94">
        <f t="shared" si="18"/>
        <v>0</v>
      </c>
      <c r="AP368" s="87"/>
      <c r="AQ368" s="87"/>
      <c r="AR368" s="89" t="str">
        <f t="shared" si="19"/>
        <v/>
      </c>
      <c r="AS368" s="90"/>
      <c r="AT368" s="89" t="str">
        <f t="shared" si="20"/>
        <v/>
      </c>
      <c r="AU368" s="95"/>
      <c r="AV368" s="87"/>
      <c r="AW368" s="87"/>
      <c r="AX368" s="89" t="str">
        <f t="shared" si="21"/>
        <v/>
      </c>
      <c r="AY368" s="90"/>
      <c r="AZ368" s="89" t="str">
        <f t="shared" si="22"/>
        <v/>
      </c>
      <c r="BA368" s="95"/>
      <c r="BB368" s="88" t="str">
        <f t="shared" si="28"/>
        <v/>
      </c>
      <c r="BC368" s="87"/>
      <c r="BD368" s="89" t="str">
        <f t="shared" si="23"/>
        <v/>
      </c>
      <c r="BE368" s="90"/>
      <c r="BF368" s="89" t="str">
        <f t="shared" si="24"/>
        <v/>
      </c>
      <c r="BG368" s="96"/>
    </row>
    <row r="369">
      <c r="A369" s="87"/>
      <c r="B369" s="87"/>
      <c r="C369" s="87"/>
      <c r="D369" s="87"/>
      <c r="E369" s="87"/>
      <c r="F369" s="87"/>
      <c r="G369" s="87"/>
      <c r="H369" s="88" t="str">
        <f t="shared" si="1"/>
        <v/>
      </c>
      <c r="I369" s="87"/>
      <c r="J369" s="89" t="str">
        <f t="shared" si="2"/>
        <v/>
      </c>
      <c r="K369" s="90"/>
      <c r="L369" s="89" t="str">
        <f t="shared" si="3"/>
        <v/>
      </c>
      <c r="M369" s="89"/>
      <c r="N369" s="93">
        <f t="shared" si="5"/>
        <v>0</v>
      </c>
      <c r="O369" s="94">
        <f t="shared" si="6"/>
        <v>0</v>
      </c>
      <c r="P369" s="87"/>
      <c r="Q369" s="87"/>
      <c r="R369" s="89" t="str">
        <f t="shared" si="7"/>
        <v/>
      </c>
      <c r="S369" s="90"/>
      <c r="T369" s="89" t="str">
        <f t="shared" si="8"/>
        <v/>
      </c>
      <c r="U369" s="95"/>
      <c r="V369" s="87"/>
      <c r="W369" s="87"/>
      <c r="X369" s="89" t="str">
        <f t="shared" si="9"/>
        <v/>
      </c>
      <c r="Y369" s="90"/>
      <c r="Z369" s="89" t="str">
        <f t="shared" si="10"/>
        <v/>
      </c>
      <c r="AA369" s="95"/>
      <c r="AB369" s="88" t="str">
        <f t="shared" si="27"/>
        <v/>
      </c>
      <c r="AC369" s="87"/>
      <c r="AD369" s="89" t="str">
        <f t="shared" si="11"/>
        <v/>
      </c>
      <c r="AE369" s="90"/>
      <c r="AF369" s="89" t="str">
        <f t="shared" si="12"/>
        <v/>
      </c>
      <c r="AG369" s="96"/>
      <c r="AH369" s="88" t="str">
        <f t="shared" si="13"/>
        <v/>
      </c>
      <c r="AI369" s="87"/>
      <c r="AJ369" s="89" t="str">
        <f t="shared" si="14"/>
        <v/>
      </c>
      <c r="AK369" s="90"/>
      <c r="AL369" s="89" t="str">
        <f t="shared" si="15"/>
        <v/>
      </c>
      <c r="AM369" s="89"/>
      <c r="AN369" s="93">
        <f t="shared" si="17"/>
        <v>0</v>
      </c>
      <c r="AO369" s="94">
        <f t="shared" si="18"/>
        <v>0</v>
      </c>
      <c r="AP369" s="87"/>
      <c r="AQ369" s="87"/>
      <c r="AR369" s="89" t="str">
        <f t="shared" si="19"/>
        <v/>
      </c>
      <c r="AS369" s="90"/>
      <c r="AT369" s="89" t="str">
        <f t="shared" si="20"/>
        <v/>
      </c>
      <c r="AU369" s="95"/>
      <c r="AV369" s="87"/>
      <c r="AW369" s="87"/>
      <c r="AX369" s="89" t="str">
        <f t="shared" si="21"/>
        <v/>
      </c>
      <c r="AY369" s="90"/>
      <c r="AZ369" s="89" t="str">
        <f t="shared" si="22"/>
        <v/>
      </c>
      <c r="BA369" s="95"/>
      <c r="BB369" s="88" t="str">
        <f t="shared" si="28"/>
        <v/>
      </c>
      <c r="BC369" s="87"/>
      <c r="BD369" s="89" t="str">
        <f t="shared" si="23"/>
        <v/>
      </c>
      <c r="BE369" s="90"/>
      <c r="BF369" s="89" t="str">
        <f t="shared" si="24"/>
        <v/>
      </c>
      <c r="BG369" s="96"/>
    </row>
    <row r="370">
      <c r="A370" s="87"/>
      <c r="B370" s="87"/>
      <c r="C370" s="87"/>
      <c r="D370" s="87"/>
      <c r="E370" s="87"/>
      <c r="F370" s="87"/>
      <c r="G370" s="87"/>
      <c r="H370" s="88" t="str">
        <f t="shared" si="1"/>
        <v/>
      </c>
      <c r="I370" s="87"/>
      <c r="J370" s="89" t="str">
        <f t="shared" si="2"/>
        <v/>
      </c>
      <c r="K370" s="90"/>
      <c r="L370" s="89" t="str">
        <f t="shared" si="3"/>
        <v/>
      </c>
      <c r="M370" s="89"/>
      <c r="N370" s="93">
        <f t="shared" si="5"/>
        <v>0</v>
      </c>
      <c r="O370" s="94">
        <f t="shared" si="6"/>
        <v>0</v>
      </c>
      <c r="P370" s="87"/>
      <c r="Q370" s="87"/>
      <c r="R370" s="89" t="str">
        <f t="shared" si="7"/>
        <v/>
      </c>
      <c r="S370" s="90"/>
      <c r="T370" s="89" t="str">
        <f t="shared" si="8"/>
        <v/>
      </c>
      <c r="U370" s="95"/>
      <c r="V370" s="87"/>
      <c r="W370" s="87"/>
      <c r="X370" s="89" t="str">
        <f t="shared" si="9"/>
        <v/>
      </c>
      <c r="Y370" s="90"/>
      <c r="Z370" s="89" t="str">
        <f t="shared" si="10"/>
        <v/>
      </c>
      <c r="AA370" s="95"/>
      <c r="AB370" s="88" t="str">
        <f t="shared" si="27"/>
        <v/>
      </c>
      <c r="AC370" s="87"/>
      <c r="AD370" s="89" t="str">
        <f t="shared" si="11"/>
        <v/>
      </c>
      <c r="AE370" s="90"/>
      <c r="AF370" s="89" t="str">
        <f t="shared" si="12"/>
        <v/>
      </c>
      <c r="AG370" s="96"/>
      <c r="AH370" s="88" t="str">
        <f t="shared" si="13"/>
        <v/>
      </c>
      <c r="AI370" s="87"/>
      <c r="AJ370" s="89" t="str">
        <f t="shared" si="14"/>
        <v/>
      </c>
      <c r="AK370" s="90"/>
      <c r="AL370" s="89" t="str">
        <f t="shared" si="15"/>
        <v/>
      </c>
      <c r="AM370" s="89"/>
      <c r="AN370" s="93">
        <f t="shared" si="17"/>
        <v>0</v>
      </c>
      <c r="AO370" s="94">
        <f t="shared" si="18"/>
        <v>0</v>
      </c>
      <c r="AP370" s="87"/>
      <c r="AQ370" s="87"/>
      <c r="AR370" s="89" t="str">
        <f t="shared" si="19"/>
        <v/>
      </c>
      <c r="AS370" s="90"/>
      <c r="AT370" s="89" t="str">
        <f t="shared" si="20"/>
        <v/>
      </c>
      <c r="AU370" s="95"/>
      <c r="AV370" s="87"/>
      <c r="AW370" s="87"/>
      <c r="AX370" s="89" t="str">
        <f t="shared" si="21"/>
        <v/>
      </c>
      <c r="AY370" s="90"/>
      <c r="AZ370" s="89" t="str">
        <f t="shared" si="22"/>
        <v/>
      </c>
      <c r="BA370" s="95"/>
      <c r="BB370" s="88" t="str">
        <f t="shared" si="28"/>
        <v/>
      </c>
      <c r="BC370" s="87"/>
      <c r="BD370" s="89" t="str">
        <f t="shared" si="23"/>
        <v/>
      </c>
      <c r="BE370" s="90"/>
      <c r="BF370" s="89" t="str">
        <f t="shared" si="24"/>
        <v/>
      </c>
      <c r="BG370" s="96"/>
    </row>
    <row r="371">
      <c r="A371" s="87"/>
      <c r="B371" s="87"/>
      <c r="C371" s="87"/>
      <c r="D371" s="87"/>
      <c r="E371" s="87"/>
      <c r="F371" s="87"/>
      <c r="G371" s="87"/>
      <c r="H371" s="88" t="str">
        <f t="shared" si="1"/>
        <v/>
      </c>
      <c r="I371" s="87"/>
      <c r="J371" s="89" t="str">
        <f t="shared" si="2"/>
        <v/>
      </c>
      <c r="K371" s="90"/>
      <c r="L371" s="89" t="str">
        <f t="shared" si="3"/>
        <v/>
      </c>
      <c r="M371" s="89"/>
      <c r="N371" s="93">
        <f t="shared" si="5"/>
        <v>0</v>
      </c>
      <c r="O371" s="94">
        <f t="shared" si="6"/>
        <v>0</v>
      </c>
      <c r="P371" s="87"/>
      <c r="Q371" s="87"/>
      <c r="R371" s="89" t="str">
        <f t="shared" si="7"/>
        <v/>
      </c>
      <c r="S371" s="90"/>
      <c r="T371" s="89" t="str">
        <f t="shared" si="8"/>
        <v/>
      </c>
      <c r="U371" s="95"/>
      <c r="V371" s="87"/>
      <c r="W371" s="87"/>
      <c r="X371" s="89" t="str">
        <f t="shared" si="9"/>
        <v/>
      </c>
      <c r="Y371" s="90"/>
      <c r="Z371" s="89" t="str">
        <f t="shared" si="10"/>
        <v/>
      </c>
      <c r="AA371" s="95"/>
      <c r="AB371" s="88" t="str">
        <f t="shared" si="27"/>
        <v/>
      </c>
      <c r="AC371" s="87"/>
      <c r="AD371" s="89" t="str">
        <f t="shared" si="11"/>
        <v/>
      </c>
      <c r="AE371" s="90"/>
      <c r="AF371" s="89" t="str">
        <f t="shared" si="12"/>
        <v/>
      </c>
      <c r="AG371" s="96"/>
      <c r="AH371" s="88" t="str">
        <f t="shared" si="13"/>
        <v/>
      </c>
      <c r="AI371" s="87"/>
      <c r="AJ371" s="89" t="str">
        <f t="shared" si="14"/>
        <v/>
      </c>
      <c r="AK371" s="90"/>
      <c r="AL371" s="89" t="str">
        <f t="shared" si="15"/>
        <v/>
      </c>
      <c r="AM371" s="89"/>
      <c r="AN371" s="93">
        <f t="shared" si="17"/>
        <v>0</v>
      </c>
      <c r="AO371" s="94">
        <f t="shared" si="18"/>
        <v>0</v>
      </c>
      <c r="AP371" s="87"/>
      <c r="AQ371" s="87"/>
      <c r="AR371" s="89" t="str">
        <f t="shared" si="19"/>
        <v/>
      </c>
      <c r="AS371" s="90"/>
      <c r="AT371" s="89" t="str">
        <f t="shared" si="20"/>
        <v/>
      </c>
      <c r="AU371" s="95"/>
      <c r="AV371" s="87"/>
      <c r="AW371" s="87"/>
      <c r="AX371" s="89" t="str">
        <f t="shared" si="21"/>
        <v/>
      </c>
      <c r="AY371" s="90"/>
      <c r="AZ371" s="89" t="str">
        <f t="shared" si="22"/>
        <v/>
      </c>
      <c r="BA371" s="95"/>
      <c r="BB371" s="88" t="str">
        <f t="shared" si="28"/>
        <v/>
      </c>
      <c r="BC371" s="87"/>
      <c r="BD371" s="89" t="str">
        <f t="shared" si="23"/>
        <v/>
      </c>
      <c r="BE371" s="90"/>
      <c r="BF371" s="89" t="str">
        <f t="shared" si="24"/>
        <v/>
      </c>
      <c r="BG371" s="96"/>
    </row>
    <row r="372">
      <c r="A372" s="87"/>
      <c r="B372" s="87"/>
      <c r="C372" s="87"/>
      <c r="D372" s="87"/>
      <c r="E372" s="87"/>
      <c r="F372" s="87"/>
      <c r="G372" s="87"/>
      <c r="H372" s="88" t="str">
        <f t="shared" si="1"/>
        <v/>
      </c>
      <c r="I372" s="87"/>
      <c r="J372" s="89" t="str">
        <f t="shared" si="2"/>
        <v/>
      </c>
      <c r="K372" s="90"/>
      <c r="L372" s="89" t="str">
        <f t="shared" si="3"/>
        <v/>
      </c>
      <c r="M372" s="89"/>
      <c r="N372" s="93">
        <f t="shared" si="5"/>
        <v>0</v>
      </c>
      <c r="O372" s="94">
        <f t="shared" si="6"/>
        <v>0</v>
      </c>
      <c r="P372" s="87"/>
      <c r="Q372" s="87"/>
      <c r="R372" s="89" t="str">
        <f t="shared" si="7"/>
        <v/>
      </c>
      <c r="S372" s="90"/>
      <c r="T372" s="89" t="str">
        <f t="shared" si="8"/>
        <v/>
      </c>
      <c r="U372" s="95"/>
      <c r="V372" s="87"/>
      <c r="W372" s="87"/>
      <c r="X372" s="89" t="str">
        <f t="shared" si="9"/>
        <v/>
      </c>
      <c r="Y372" s="90"/>
      <c r="Z372" s="89" t="str">
        <f t="shared" si="10"/>
        <v/>
      </c>
      <c r="AA372" s="95"/>
      <c r="AB372" s="88" t="str">
        <f t="shared" si="27"/>
        <v/>
      </c>
      <c r="AC372" s="87"/>
      <c r="AD372" s="89" t="str">
        <f t="shared" si="11"/>
        <v/>
      </c>
      <c r="AE372" s="90"/>
      <c r="AF372" s="89" t="str">
        <f t="shared" si="12"/>
        <v/>
      </c>
      <c r="AG372" s="96"/>
      <c r="AH372" s="88" t="str">
        <f t="shared" si="13"/>
        <v/>
      </c>
      <c r="AI372" s="87"/>
      <c r="AJ372" s="89" t="str">
        <f t="shared" si="14"/>
        <v/>
      </c>
      <c r="AK372" s="90"/>
      <c r="AL372" s="89" t="str">
        <f t="shared" si="15"/>
        <v/>
      </c>
      <c r="AM372" s="89"/>
      <c r="AN372" s="93">
        <f t="shared" si="17"/>
        <v>0</v>
      </c>
      <c r="AO372" s="94">
        <f t="shared" si="18"/>
        <v>0</v>
      </c>
      <c r="AP372" s="87"/>
      <c r="AQ372" s="87"/>
      <c r="AR372" s="89" t="str">
        <f t="shared" si="19"/>
        <v/>
      </c>
      <c r="AS372" s="90"/>
      <c r="AT372" s="89" t="str">
        <f t="shared" si="20"/>
        <v/>
      </c>
      <c r="AU372" s="95"/>
      <c r="AV372" s="87"/>
      <c r="AW372" s="87"/>
      <c r="AX372" s="89" t="str">
        <f t="shared" si="21"/>
        <v/>
      </c>
      <c r="AY372" s="90"/>
      <c r="AZ372" s="89" t="str">
        <f t="shared" si="22"/>
        <v/>
      </c>
      <c r="BA372" s="95"/>
      <c r="BB372" s="88" t="str">
        <f t="shared" si="28"/>
        <v/>
      </c>
      <c r="BC372" s="87"/>
      <c r="BD372" s="89" t="str">
        <f t="shared" si="23"/>
        <v/>
      </c>
      <c r="BE372" s="90"/>
      <c r="BF372" s="89" t="str">
        <f t="shared" si="24"/>
        <v/>
      </c>
      <c r="BG372" s="96"/>
    </row>
    <row r="373">
      <c r="A373" s="87"/>
      <c r="B373" s="87"/>
      <c r="C373" s="87"/>
      <c r="D373" s="87"/>
      <c r="E373" s="87"/>
      <c r="F373" s="87"/>
      <c r="G373" s="87"/>
      <c r="H373" s="88" t="str">
        <f t="shared" si="1"/>
        <v/>
      </c>
      <c r="I373" s="87"/>
      <c r="J373" s="89" t="str">
        <f t="shared" si="2"/>
        <v/>
      </c>
      <c r="K373" s="90"/>
      <c r="L373" s="89" t="str">
        <f t="shared" si="3"/>
        <v/>
      </c>
      <c r="M373" s="89"/>
      <c r="N373" s="93">
        <f t="shared" si="5"/>
        <v>0</v>
      </c>
      <c r="O373" s="94">
        <f t="shared" si="6"/>
        <v>0</v>
      </c>
      <c r="P373" s="87"/>
      <c r="Q373" s="87"/>
      <c r="R373" s="89" t="str">
        <f t="shared" si="7"/>
        <v/>
      </c>
      <c r="S373" s="90"/>
      <c r="T373" s="89" t="str">
        <f t="shared" si="8"/>
        <v/>
      </c>
      <c r="U373" s="95"/>
      <c r="V373" s="87"/>
      <c r="W373" s="87"/>
      <c r="X373" s="89" t="str">
        <f t="shared" si="9"/>
        <v/>
      </c>
      <c r="Y373" s="90"/>
      <c r="Z373" s="89" t="str">
        <f t="shared" si="10"/>
        <v/>
      </c>
      <c r="AA373" s="95"/>
      <c r="AB373" s="88" t="str">
        <f t="shared" si="27"/>
        <v/>
      </c>
      <c r="AC373" s="87"/>
      <c r="AD373" s="89" t="str">
        <f t="shared" si="11"/>
        <v/>
      </c>
      <c r="AE373" s="90"/>
      <c r="AF373" s="89" t="str">
        <f t="shared" si="12"/>
        <v/>
      </c>
      <c r="AG373" s="96"/>
      <c r="AH373" s="88" t="str">
        <f t="shared" si="13"/>
        <v/>
      </c>
      <c r="AI373" s="87"/>
      <c r="AJ373" s="89" t="str">
        <f t="shared" si="14"/>
        <v/>
      </c>
      <c r="AK373" s="90"/>
      <c r="AL373" s="89" t="str">
        <f t="shared" si="15"/>
        <v/>
      </c>
      <c r="AM373" s="89"/>
      <c r="AN373" s="93">
        <f t="shared" si="17"/>
        <v>0</v>
      </c>
      <c r="AO373" s="94">
        <f t="shared" si="18"/>
        <v>0</v>
      </c>
      <c r="AP373" s="87"/>
      <c r="AQ373" s="87"/>
      <c r="AR373" s="89" t="str">
        <f t="shared" si="19"/>
        <v/>
      </c>
      <c r="AS373" s="90"/>
      <c r="AT373" s="89" t="str">
        <f t="shared" si="20"/>
        <v/>
      </c>
      <c r="AU373" s="95"/>
      <c r="AV373" s="87"/>
      <c r="AW373" s="87"/>
      <c r="AX373" s="89" t="str">
        <f t="shared" si="21"/>
        <v/>
      </c>
      <c r="AY373" s="90"/>
      <c r="AZ373" s="89" t="str">
        <f t="shared" si="22"/>
        <v/>
      </c>
      <c r="BA373" s="95"/>
      <c r="BB373" s="88" t="str">
        <f t="shared" si="28"/>
        <v/>
      </c>
      <c r="BC373" s="87"/>
      <c r="BD373" s="89" t="str">
        <f t="shared" si="23"/>
        <v/>
      </c>
      <c r="BE373" s="90"/>
      <c r="BF373" s="89" t="str">
        <f t="shared" si="24"/>
        <v/>
      </c>
      <c r="BG373" s="96"/>
    </row>
    <row r="374">
      <c r="A374" s="87"/>
      <c r="B374" s="87"/>
      <c r="C374" s="87"/>
      <c r="D374" s="87"/>
      <c r="E374" s="87"/>
      <c r="F374" s="87"/>
      <c r="G374" s="87"/>
      <c r="H374" s="88" t="str">
        <f t="shared" si="1"/>
        <v/>
      </c>
      <c r="I374" s="87"/>
      <c r="J374" s="89" t="str">
        <f t="shared" si="2"/>
        <v/>
      </c>
      <c r="K374" s="90"/>
      <c r="L374" s="89" t="str">
        <f t="shared" si="3"/>
        <v/>
      </c>
      <c r="M374" s="89"/>
      <c r="N374" s="93">
        <f t="shared" si="5"/>
        <v>0</v>
      </c>
      <c r="O374" s="94">
        <f t="shared" si="6"/>
        <v>0</v>
      </c>
      <c r="P374" s="87"/>
      <c r="Q374" s="87"/>
      <c r="R374" s="89" t="str">
        <f t="shared" si="7"/>
        <v/>
      </c>
      <c r="S374" s="90"/>
      <c r="T374" s="89" t="str">
        <f t="shared" si="8"/>
        <v/>
      </c>
      <c r="U374" s="95"/>
      <c r="V374" s="87"/>
      <c r="W374" s="87"/>
      <c r="X374" s="89" t="str">
        <f t="shared" si="9"/>
        <v/>
      </c>
      <c r="Y374" s="90"/>
      <c r="Z374" s="89" t="str">
        <f t="shared" si="10"/>
        <v/>
      </c>
      <c r="AA374" s="95"/>
      <c r="AB374" s="88" t="str">
        <f t="shared" si="27"/>
        <v/>
      </c>
      <c r="AC374" s="87"/>
      <c r="AD374" s="89" t="str">
        <f t="shared" si="11"/>
        <v/>
      </c>
      <c r="AE374" s="90"/>
      <c r="AF374" s="89" t="str">
        <f t="shared" si="12"/>
        <v/>
      </c>
      <c r="AG374" s="96"/>
      <c r="AH374" s="88" t="str">
        <f t="shared" si="13"/>
        <v/>
      </c>
      <c r="AI374" s="87"/>
      <c r="AJ374" s="89" t="str">
        <f t="shared" si="14"/>
        <v/>
      </c>
      <c r="AK374" s="90"/>
      <c r="AL374" s="89" t="str">
        <f t="shared" si="15"/>
        <v/>
      </c>
      <c r="AM374" s="89"/>
      <c r="AN374" s="93">
        <f t="shared" si="17"/>
        <v>0</v>
      </c>
      <c r="AO374" s="94">
        <f t="shared" si="18"/>
        <v>0</v>
      </c>
      <c r="AP374" s="87"/>
      <c r="AQ374" s="87"/>
      <c r="AR374" s="89" t="str">
        <f t="shared" si="19"/>
        <v/>
      </c>
      <c r="AS374" s="90"/>
      <c r="AT374" s="89" t="str">
        <f t="shared" si="20"/>
        <v/>
      </c>
      <c r="AU374" s="95"/>
      <c r="AV374" s="87"/>
      <c r="AW374" s="87"/>
      <c r="AX374" s="89" t="str">
        <f t="shared" si="21"/>
        <v/>
      </c>
      <c r="AY374" s="90"/>
      <c r="AZ374" s="89" t="str">
        <f t="shared" si="22"/>
        <v/>
      </c>
      <c r="BA374" s="95"/>
      <c r="BB374" s="88" t="str">
        <f t="shared" si="28"/>
        <v/>
      </c>
      <c r="BC374" s="87"/>
      <c r="BD374" s="89" t="str">
        <f t="shared" si="23"/>
        <v/>
      </c>
      <c r="BE374" s="90"/>
      <c r="BF374" s="89" t="str">
        <f t="shared" si="24"/>
        <v/>
      </c>
      <c r="BG374" s="96"/>
    </row>
    <row r="375">
      <c r="A375" s="87"/>
      <c r="B375" s="87"/>
      <c r="C375" s="87"/>
      <c r="D375" s="87"/>
      <c r="E375" s="87"/>
      <c r="F375" s="87"/>
      <c r="G375" s="87"/>
      <c r="H375" s="88" t="str">
        <f t="shared" si="1"/>
        <v/>
      </c>
      <c r="I375" s="87"/>
      <c r="J375" s="89" t="str">
        <f t="shared" si="2"/>
        <v/>
      </c>
      <c r="K375" s="90"/>
      <c r="L375" s="89" t="str">
        <f t="shared" si="3"/>
        <v/>
      </c>
      <c r="M375" s="89"/>
      <c r="N375" s="93">
        <f t="shared" si="5"/>
        <v>0</v>
      </c>
      <c r="O375" s="94">
        <f t="shared" si="6"/>
        <v>0</v>
      </c>
      <c r="P375" s="87"/>
      <c r="Q375" s="87"/>
      <c r="R375" s="89" t="str">
        <f t="shared" si="7"/>
        <v/>
      </c>
      <c r="S375" s="90"/>
      <c r="T375" s="89" t="str">
        <f t="shared" si="8"/>
        <v/>
      </c>
      <c r="U375" s="95"/>
      <c r="V375" s="87"/>
      <c r="W375" s="87"/>
      <c r="X375" s="89" t="str">
        <f t="shared" si="9"/>
        <v/>
      </c>
      <c r="Y375" s="90"/>
      <c r="Z375" s="89" t="str">
        <f t="shared" si="10"/>
        <v/>
      </c>
      <c r="AA375" s="95"/>
      <c r="AB375" s="88" t="str">
        <f t="shared" si="27"/>
        <v/>
      </c>
      <c r="AC375" s="87"/>
      <c r="AD375" s="89" t="str">
        <f t="shared" si="11"/>
        <v/>
      </c>
      <c r="AE375" s="90"/>
      <c r="AF375" s="89" t="str">
        <f t="shared" si="12"/>
        <v/>
      </c>
      <c r="AG375" s="96"/>
      <c r="AH375" s="88" t="str">
        <f t="shared" si="13"/>
        <v/>
      </c>
      <c r="AI375" s="87"/>
      <c r="AJ375" s="89" t="str">
        <f t="shared" si="14"/>
        <v/>
      </c>
      <c r="AK375" s="90"/>
      <c r="AL375" s="89" t="str">
        <f t="shared" si="15"/>
        <v/>
      </c>
      <c r="AM375" s="89"/>
      <c r="AN375" s="93">
        <f t="shared" si="17"/>
        <v>0</v>
      </c>
      <c r="AO375" s="94">
        <f t="shared" si="18"/>
        <v>0</v>
      </c>
      <c r="AP375" s="87"/>
      <c r="AQ375" s="87"/>
      <c r="AR375" s="89" t="str">
        <f t="shared" si="19"/>
        <v/>
      </c>
      <c r="AS375" s="90"/>
      <c r="AT375" s="89" t="str">
        <f t="shared" si="20"/>
        <v/>
      </c>
      <c r="AU375" s="95"/>
      <c r="AV375" s="87"/>
      <c r="AW375" s="87"/>
      <c r="AX375" s="89" t="str">
        <f t="shared" si="21"/>
        <v/>
      </c>
      <c r="AY375" s="90"/>
      <c r="AZ375" s="89" t="str">
        <f t="shared" si="22"/>
        <v/>
      </c>
      <c r="BA375" s="95"/>
      <c r="BB375" s="88" t="str">
        <f t="shared" si="28"/>
        <v/>
      </c>
      <c r="BC375" s="87"/>
      <c r="BD375" s="89" t="str">
        <f t="shared" si="23"/>
        <v/>
      </c>
      <c r="BE375" s="90"/>
      <c r="BF375" s="89" t="str">
        <f t="shared" si="24"/>
        <v/>
      </c>
      <c r="BG375" s="96"/>
    </row>
    <row r="376">
      <c r="A376" s="87"/>
      <c r="B376" s="87"/>
      <c r="C376" s="87"/>
      <c r="D376" s="87"/>
      <c r="E376" s="87"/>
      <c r="F376" s="87"/>
      <c r="G376" s="87"/>
      <c r="H376" s="88" t="str">
        <f t="shared" si="1"/>
        <v/>
      </c>
      <c r="I376" s="87"/>
      <c r="J376" s="89" t="str">
        <f t="shared" si="2"/>
        <v/>
      </c>
      <c r="K376" s="90"/>
      <c r="L376" s="89" t="str">
        <f t="shared" si="3"/>
        <v/>
      </c>
      <c r="M376" s="89"/>
      <c r="N376" s="93">
        <f t="shared" si="5"/>
        <v>0</v>
      </c>
      <c r="O376" s="94">
        <f t="shared" si="6"/>
        <v>0</v>
      </c>
      <c r="P376" s="87"/>
      <c r="Q376" s="87"/>
      <c r="R376" s="89" t="str">
        <f t="shared" si="7"/>
        <v/>
      </c>
      <c r="S376" s="90"/>
      <c r="T376" s="89" t="str">
        <f t="shared" si="8"/>
        <v/>
      </c>
      <c r="U376" s="95"/>
      <c r="V376" s="87"/>
      <c r="W376" s="87"/>
      <c r="X376" s="89" t="str">
        <f t="shared" si="9"/>
        <v/>
      </c>
      <c r="Y376" s="90"/>
      <c r="Z376" s="89" t="str">
        <f t="shared" si="10"/>
        <v/>
      </c>
      <c r="AA376" s="95"/>
      <c r="AB376" s="88" t="str">
        <f t="shared" si="27"/>
        <v/>
      </c>
      <c r="AC376" s="87"/>
      <c r="AD376" s="89" t="str">
        <f t="shared" si="11"/>
        <v/>
      </c>
      <c r="AE376" s="90"/>
      <c r="AF376" s="89" t="str">
        <f t="shared" si="12"/>
        <v/>
      </c>
      <c r="AG376" s="96"/>
      <c r="AH376" s="88" t="str">
        <f t="shared" si="13"/>
        <v/>
      </c>
      <c r="AI376" s="87"/>
      <c r="AJ376" s="89" t="str">
        <f t="shared" si="14"/>
        <v/>
      </c>
      <c r="AK376" s="90"/>
      <c r="AL376" s="89" t="str">
        <f t="shared" si="15"/>
        <v/>
      </c>
      <c r="AM376" s="89"/>
      <c r="AN376" s="93">
        <f t="shared" si="17"/>
        <v>0</v>
      </c>
      <c r="AO376" s="94">
        <f t="shared" si="18"/>
        <v>0</v>
      </c>
      <c r="AP376" s="87"/>
      <c r="AQ376" s="87"/>
      <c r="AR376" s="89" t="str">
        <f t="shared" si="19"/>
        <v/>
      </c>
      <c r="AS376" s="90"/>
      <c r="AT376" s="89" t="str">
        <f t="shared" si="20"/>
        <v/>
      </c>
      <c r="AU376" s="95"/>
      <c r="AV376" s="87"/>
      <c r="AW376" s="87"/>
      <c r="AX376" s="89" t="str">
        <f t="shared" si="21"/>
        <v/>
      </c>
      <c r="AY376" s="90"/>
      <c r="AZ376" s="89" t="str">
        <f t="shared" si="22"/>
        <v/>
      </c>
      <c r="BA376" s="95"/>
      <c r="BB376" s="88" t="str">
        <f t="shared" si="28"/>
        <v/>
      </c>
      <c r="BC376" s="87"/>
      <c r="BD376" s="89" t="str">
        <f t="shared" si="23"/>
        <v/>
      </c>
      <c r="BE376" s="90"/>
      <c r="BF376" s="89" t="str">
        <f t="shared" si="24"/>
        <v/>
      </c>
      <c r="BG376" s="96"/>
    </row>
    <row r="377">
      <c r="A377" s="87"/>
      <c r="B377" s="87"/>
      <c r="C377" s="87"/>
      <c r="D377" s="87"/>
      <c r="E377" s="87"/>
      <c r="F377" s="87"/>
      <c r="G377" s="87"/>
      <c r="H377" s="88" t="str">
        <f t="shared" si="1"/>
        <v/>
      </c>
      <c r="I377" s="87"/>
      <c r="J377" s="89" t="str">
        <f t="shared" si="2"/>
        <v/>
      </c>
      <c r="K377" s="90"/>
      <c r="L377" s="89" t="str">
        <f t="shared" si="3"/>
        <v/>
      </c>
      <c r="M377" s="89"/>
      <c r="N377" s="93">
        <f t="shared" si="5"/>
        <v>0</v>
      </c>
      <c r="O377" s="94">
        <f t="shared" si="6"/>
        <v>0</v>
      </c>
      <c r="P377" s="87"/>
      <c r="Q377" s="87"/>
      <c r="R377" s="89" t="str">
        <f t="shared" si="7"/>
        <v/>
      </c>
      <c r="S377" s="90"/>
      <c r="T377" s="89" t="str">
        <f t="shared" si="8"/>
        <v/>
      </c>
      <c r="U377" s="95"/>
      <c r="V377" s="87"/>
      <c r="W377" s="87"/>
      <c r="X377" s="89" t="str">
        <f t="shared" si="9"/>
        <v/>
      </c>
      <c r="Y377" s="90"/>
      <c r="Z377" s="89" t="str">
        <f t="shared" si="10"/>
        <v/>
      </c>
      <c r="AA377" s="95"/>
      <c r="AB377" s="88" t="str">
        <f t="shared" si="27"/>
        <v/>
      </c>
      <c r="AC377" s="87"/>
      <c r="AD377" s="89" t="str">
        <f t="shared" si="11"/>
        <v/>
      </c>
      <c r="AE377" s="90"/>
      <c r="AF377" s="89" t="str">
        <f t="shared" si="12"/>
        <v/>
      </c>
      <c r="AG377" s="96"/>
      <c r="AH377" s="88" t="str">
        <f t="shared" si="13"/>
        <v/>
      </c>
      <c r="AI377" s="87"/>
      <c r="AJ377" s="89" t="str">
        <f t="shared" si="14"/>
        <v/>
      </c>
      <c r="AK377" s="90"/>
      <c r="AL377" s="89" t="str">
        <f t="shared" si="15"/>
        <v/>
      </c>
      <c r="AM377" s="89"/>
      <c r="AN377" s="93">
        <f t="shared" si="17"/>
        <v>0</v>
      </c>
      <c r="AO377" s="94">
        <f t="shared" si="18"/>
        <v>0</v>
      </c>
      <c r="AP377" s="87"/>
      <c r="AQ377" s="87"/>
      <c r="AR377" s="89" t="str">
        <f t="shared" si="19"/>
        <v/>
      </c>
      <c r="AS377" s="90"/>
      <c r="AT377" s="89" t="str">
        <f t="shared" si="20"/>
        <v/>
      </c>
      <c r="AU377" s="95"/>
      <c r="AV377" s="87"/>
      <c r="AW377" s="87"/>
      <c r="AX377" s="89" t="str">
        <f t="shared" si="21"/>
        <v/>
      </c>
      <c r="AY377" s="90"/>
      <c r="AZ377" s="89" t="str">
        <f t="shared" si="22"/>
        <v/>
      </c>
      <c r="BA377" s="95"/>
      <c r="BB377" s="88" t="str">
        <f t="shared" si="28"/>
        <v/>
      </c>
      <c r="BC377" s="87"/>
      <c r="BD377" s="89" t="str">
        <f t="shared" si="23"/>
        <v/>
      </c>
      <c r="BE377" s="90"/>
      <c r="BF377" s="89" t="str">
        <f t="shared" si="24"/>
        <v/>
      </c>
      <c r="BG377" s="96"/>
    </row>
    <row r="378">
      <c r="A378" s="87"/>
      <c r="B378" s="87"/>
      <c r="C378" s="87"/>
      <c r="D378" s="87"/>
      <c r="E378" s="87"/>
      <c r="F378" s="87"/>
      <c r="G378" s="87"/>
      <c r="H378" s="88" t="str">
        <f t="shared" si="1"/>
        <v/>
      </c>
      <c r="I378" s="87"/>
      <c r="J378" s="89" t="str">
        <f t="shared" si="2"/>
        <v/>
      </c>
      <c r="K378" s="90"/>
      <c r="L378" s="89" t="str">
        <f t="shared" si="3"/>
        <v/>
      </c>
      <c r="M378" s="89"/>
      <c r="N378" s="93">
        <f t="shared" si="5"/>
        <v>0</v>
      </c>
      <c r="O378" s="94">
        <f t="shared" si="6"/>
        <v>0</v>
      </c>
      <c r="P378" s="87"/>
      <c r="Q378" s="87"/>
      <c r="R378" s="89" t="str">
        <f t="shared" si="7"/>
        <v/>
      </c>
      <c r="S378" s="90"/>
      <c r="T378" s="89" t="str">
        <f t="shared" si="8"/>
        <v/>
      </c>
      <c r="U378" s="95"/>
      <c r="V378" s="87"/>
      <c r="W378" s="87"/>
      <c r="X378" s="89" t="str">
        <f t="shared" si="9"/>
        <v/>
      </c>
      <c r="Y378" s="90"/>
      <c r="Z378" s="89" t="str">
        <f t="shared" si="10"/>
        <v/>
      </c>
      <c r="AA378" s="95"/>
      <c r="AB378" s="88" t="str">
        <f t="shared" si="27"/>
        <v/>
      </c>
      <c r="AC378" s="87"/>
      <c r="AD378" s="89" t="str">
        <f t="shared" si="11"/>
        <v/>
      </c>
      <c r="AE378" s="90"/>
      <c r="AF378" s="89" t="str">
        <f t="shared" si="12"/>
        <v/>
      </c>
      <c r="AG378" s="96"/>
      <c r="AH378" s="88" t="str">
        <f t="shared" si="13"/>
        <v/>
      </c>
      <c r="AI378" s="87"/>
      <c r="AJ378" s="89" t="str">
        <f t="shared" si="14"/>
        <v/>
      </c>
      <c r="AK378" s="90"/>
      <c r="AL378" s="89" t="str">
        <f t="shared" si="15"/>
        <v/>
      </c>
      <c r="AM378" s="89"/>
      <c r="AN378" s="93">
        <f t="shared" si="17"/>
        <v>0</v>
      </c>
      <c r="AO378" s="94">
        <f t="shared" si="18"/>
        <v>0</v>
      </c>
      <c r="AP378" s="87"/>
      <c r="AQ378" s="87"/>
      <c r="AR378" s="89" t="str">
        <f t="shared" si="19"/>
        <v/>
      </c>
      <c r="AS378" s="90"/>
      <c r="AT378" s="89" t="str">
        <f t="shared" si="20"/>
        <v/>
      </c>
      <c r="AU378" s="95"/>
      <c r="AV378" s="87"/>
      <c r="AW378" s="87"/>
      <c r="AX378" s="89" t="str">
        <f t="shared" si="21"/>
        <v/>
      </c>
      <c r="AY378" s="90"/>
      <c r="AZ378" s="89" t="str">
        <f t="shared" si="22"/>
        <v/>
      </c>
      <c r="BA378" s="95"/>
      <c r="BB378" s="88" t="str">
        <f t="shared" si="28"/>
        <v/>
      </c>
      <c r="BC378" s="87"/>
      <c r="BD378" s="89" t="str">
        <f t="shared" si="23"/>
        <v/>
      </c>
      <c r="BE378" s="90"/>
      <c r="BF378" s="89" t="str">
        <f t="shared" si="24"/>
        <v/>
      </c>
      <c r="BG378" s="96"/>
    </row>
    <row r="379">
      <c r="A379" s="87"/>
      <c r="B379" s="87"/>
      <c r="C379" s="87"/>
      <c r="D379" s="87"/>
      <c r="E379" s="87"/>
      <c r="F379" s="87"/>
      <c r="G379" s="87"/>
      <c r="H379" s="88" t="str">
        <f t="shared" si="1"/>
        <v/>
      </c>
      <c r="I379" s="87"/>
      <c r="J379" s="89" t="str">
        <f t="shared" si="2"/>
        <v/>
      </c>
      <c r="K379" s="90"/>
      <c r="L379" s="89" t="str">
        <f t="shared" si="3"/>
        <v/>
      </c>
      <c r="M379" s="89"/>
      <c r="N379" s="93">
        <f t="shared" si="5"/>
        <v>0</v>
      </c>
      <c r="O379" s="94">
        <f t="shared" si="6"/>
        <v>0</v>
      </c>
      <c r="P379" s="87"/>
      <c r="Q379" s="87"/>
      <c r="R379" s="89" t="str">
        <f t="shared" si="7"/>
        <v/>
      </c>
      <c r="S379" s="90"/>
      <c r="T379" s="89" t="str">
        <f t="shared" si="8"/>
        <v/>
      </c>
      <c r="U379" s="95"/>
      <c r="V379" s="87"/>
      <c r="W379" s="87"/>
      <c r="X379" s="89" t="str">
        <f t="shared" si="9"/>
        <v/>
      </c>
      <c r="Y379" s="90"/>
      <c r="Z379" s="89" t="str">
        <f t="shared" si="10"/>
        <v/>
      </c>
      <c r="AA379" s="95"/>
      <c r="AB379" s="88" t="str">
        <f t="shared" si="27"/>
        <v/>
      </c>
      <c r="AC379" s="87"/>
      <c r="AD379" s="89" t="str">
        <f t="shared" si="11"/>
        <v/>
      </c>
      <c r="AE379" s="90"/>
      <c r="AF379" s="89" t="str">
        <f t="shared" si="12"/>
        <v/>
      </c>
      <c r="AG379" s="96"/>
      <c r="AH379" s="88" t="str">
        <f t="shared" si="13"/>
        <v/>
      </c>
      <c r="AI379" s="87"/>
      <c r="AJ379" s="89" t="str">
        <f t="shared" si="14"/>
        <v/>
      </c>
      <c r="AK379" s="90"/>
      <c r="AL379" s="89" t="str">
        <f t="shared" si="15"/>
        <v/>
      </c>
      <c r="AM379" s="89"/>
      <c r="AN379" s="93">
        <f t="shared" si="17"/>
        <v>0</v>
      </c>
      <c r="AO379" s="94">
        <f t="shared" si="18"/>
        <v>0</v>
      </c>
      <c r="AP379" s="87"/>
      <c r="AQ379" s="87"/>
      <c r="AR379" s="89" t="str">
        <f t="shared" si="19"/>
        <v/>
      </c>
      <c r="AS379" s="90"/>
      <c r="AT379" s="89" t="str">
        <f t="shared" si="20"/>
        <v/>
      </c>
      <c r="AU379" s="95"/>
      <c r="AV379" s="87"/>
      <c r="AW379" s="87"/>
      <c r="AX379" s="89" t="str">
        <f t="shared" si="21"/>
        <v/>
      </c>
      <c r="AY379" s="90"/>
      <c r="AZ379" s="89" t="str">
        <f t="shared" si="22"/>
        <v/>
      </c>
      <c r="BA379" s="95"/>
      <c r="BB379" s="88" t="str">
        <f t="shared" si="28"/>
        <v/>
      </c>
      <c r="BC379" s="87"/>
      <c r="BD379" s="89" t="str">
        <f t="shared" si="23"/>
        <v/>
      </c>
      <c r="BE379" s="90"/>
      <c r="BF379" s="89" t="str">
        <f t="shared" si="24"/>
        <v/>
      </c>
      <c r="BG379" s="96"/>
    </row>
    <row r="380">
      <c r="A380" s="87"/>
      <c r="B380" s="87"/>
      <c r="C380" s="87"/>
      <c r="D380" s="87"/>
      <c r="E380" s="87"/>
      <c r="F380" s="87"/>
      <c r="G380" s="87"/>
      <c r="H380" s="88" t="str">
        <f t="shared" si="1"/>
        <v/>
      </c>
      <c r="I380" s="87"/>
      <c r="J380" s="89" t="str">
        <f t="shared" si="2"/>
        <v/>
      </c>
      <c r="K380" s="90"/>
      <c r="L380" s="89" t="str">
        <f t="shared" si="3"/>
        <v/>
      </c>
      <c r="M380" s="89"/>
      <c r="N380" s="93">
        <f t="shared" si="5"/>
        <v>0</v>
      </c>
      <c r="O380" s="94">
        <f t="shared" si="6"/>
        <v>0</v>
      </c>
      <c r="P380" s="87"/>
      <c r="Q380" s="87"/>
      <c r="R380" s="89" t="str">
        <f t="shared" si="7"/>
        <v/>
      </c>
      <c r="S380" s="90"/>
      <c r="T380" s="89" t="str">
        <f t="shared" si="8"/>
        <v/>
      </c>
      <c r="U380" s="95"/>
      <c r="V380" s="87"/>
      <c r="W380" s="87"/>
      <c r="X380" s="89" t="str">
        <f t="shared" si="9"/>
        <v/>
      </c>
      <c r="Y380" s="90"/>
      <c r="Z380" s="89" t="str">
        <f t="shared" si="10"/>
        <v/>
      </c>
      <c r="AA380" s="95"/>
      <c r="AB380" s="88" t="str">
        <f t="shared" si="27"/>
        <v/>
      </c>
      <c r="AC380" s="87"/>
      <c r="AD380" s="89" t="str">
        <f t="shared" si="11"/>
        <v/>
      </c>
      <c r="AE380" s="90"/>
      <c r="AF380" s="89" t="str">
        <f t="shared" si="12"/>
        <v/>
      </c>
      <c r="AG380" s="96"/>
      <c r="AH380" s="88" t="str">
        <f t="shared" si="13"/>
        <v/>
      </c>
      <c r="AI380" s="87"/>
      <c r="AJ380" s="89" t="str">
        <f t="shared" si="14"/>
        <v/>
      </c>
      <c r="AK380" s="90"/>
      <c r="AL380" s="89" t="str">
        <f t="shared" si="15"/>
        <v/>
      </c>
      <c r="AM380" s="89"/>
      <c r="AN380" s="93">
        <f t="shared" si="17"/>
        <v>0</v>
      </c>
      <c r="AO380" s="94">
        <f t="shared" si="18"/>
        <v>0</v>
      </c>
      <c r="AP380" s="87"/>
      <c r="AQ380" s="87"/>
      <c r="AR380" s="89" t="str">
        <f t="shared" si="19"/>
        <v/>
      </c>
      <c r="AS380" s="90"/>
      <c r="AT380" s="89" t="str">
        <f t="shared" si="20"/>
        <v/>
      </c>
      <c r="AU380" s="95"/>
      <c r="AV380" s="87"/>
      <c r="AW380" s="87"/>
      <c r="AX380" s="89" t="str">
        <f t="shared" si="21"/>
        <v/>
      </c>
      <c r="AY380" s="90"/>
      <c r="AZ380" s="89" t="str">
        <f t="shared" si="22"/>
        <v/>
      </c>
      <c r="BA380" s="95"/>
      <c r="BB380" s="88" t="str">
        <f t="shared" si="28"/>
        <v/>
      </c>
      <c r="BC380" s="87"/>
      <c r="BD380" s="89" t="str">
        <f t="shared" si="23"/>
        <v/>
      </c>
      <c r="BE380" s="90"/>
      <c r="BF380" s="89" t="str">
        <f t="shared" si="24"/>
        <v/>
      </c>
      <c r="BG380" s="96"/>
    </row>
    <row r="381">
      <c r="A381" s="87"/>
      <c r="B381" s="87"/>
      <c r="C381" s="87"/>
      <c r="D381" s="87"/>
      <c r="E381" s="87"/>
      <c r="F381" s="87"/>
      <c r="G381" s="87"/>
      <c r="H381" s="88" t="str">
        <f t="shared" si="1"/>
        <v/>
      </c>
      <c r="I381" s="87"/>
      <c r="J381" s="89" t="str">
        <f t="shared" si="2"/>
        <v/>
      </c>
      <c r="K381" s="90"/>
      <c r="L381" s="89" t="str">
        <f t="shared" si="3"/>
        <v/>
      </c>
      <c r="M381" s="89"/>
      <c r="N381" s="93">
        <f t="shared" si="5"/>
        <v>0</v>
      </c>
      <c r="O381" s="94">
        <f t="shared" si="6"/>
        <v>0</v>
      </c>
      <c r="P381" s="87"/>
      <c r="Q381" s="87"/>
      <c r="R381" s="89" t="str">
        <f t="shared" si="7"/>
        <v/>
      </c>
      <c r="S381" s="90"/>
      <c r="T381" s="89" t="str">
        <f t="shared" si="8"/>
        <v/>
      </c>
      <c r="U381" s="95"/>
      <c r="V381" s="87"/>
      <c r="W381" s="87"/>
      <c r="X381" s="89" t="str">
        <f t="shared" si="9"/>
        <v/>
      </c>
      <c r="Y381" s="90"/>
      <c r="Z381" s="89" t="str">
        <f t="shared" si="10"/>
        <v/>
      </c>
      <c r="AA381" s="95"/>
      <c r="AB381" s="88" t="str">
        <f t="shared" si="27"/>
        <v/>
      </c>
      <c r="AC381" s="87"/>
      <c r="AD381" s="89" t="str">
        <f t="shared" si="11"/>
        <v/>
      </c>
      <c r="AE381" s="90"/>
      <c r="AF381" s="89" t="str">
        <f t="shared" si="12"/>
        <v/>
      </c>
      <c r="AG381" s="96"/>
      <c r="AH381" s="88" t="str">
        <f t="shared" si="13"/>
        <v/>
      </c>
      <c r="AI381" s="87"/>
      <c r="AJ381" s="89" t="str">
        <f t="shared" si="14"/>
        <v/>
      </c>
      <c r="AK381" s="90"/>
      <c r="AL381" s="89" t="str">
        <f t="shared" si="15"/>
        <v/>
      </c>
      <c r="AM381" s="89"/>
      <c r="AN381" s="93">
        <f t="shared" si="17"/>
        <v>0</v>
      </c>
      <c r="AO381" s="94">
        <f t="shared" si="18"/>
        <v>0</v>
      </c>
      <c r="AP381" s="87"/>
      <c r="AQ381" s="87"/>
      <c r="AR381" s="89" t="str">
        <f t="shared" si="19"/>
        <v/>
      </c>
      <c r="AS381" s="90"/>
      <c r="AT381" s="89" t="str">
        <f t="shared" si="20"/>
        <v/>
      </c>
      <c r="AU381" s="95"/>
      <c r="AV381" s="87"/>
      <c r="AW381" s="87"/>
      <c r="AX381" s="89" t="str">
        <f t="shared" si="21"/>
        <v/>
      </c>
      <c r="AY381" s="90"/>
      <c r="AZ381" s="89" t="str">
        <f t="shared" si="22"/>
        <v/>
      </c>
      <c r="BA381" s="95"/>
      <c r="BB381" s="88" t="str">
        <f t="shared" si="28"/>
        <v/>
      </c>
      <c r="BC381" s="87"/>
      <c r="BD381" s="89" t="str">
        <f t="shared" si="23"/>
        <v/>
      </c>
      <c r="BE381" s="90"/>
      <c r="BF381" s="89" t="str">
        <f t="shared" si="24"/>
        <v/>
      </c>
      <c r="BG381" s="96"/>
    </row>
    <row r="382">
      <c r="A382" s="87"/>
      <c r="B382" s="87"/>
      <c r="C382" s="87"/>
      <c r="D382" s="87"/>
      <c r="E382" s="87"/>
      <c r="F382" s="87"/>
      <c r="G382" s="87"/>
      <c r="H382" s="88" t="str">
        <f t="shared" si="1"/>
        <v/>
      </c>
      <c r="I382" s="87"/>
      <c r="J382" s="89" t="str">
        <f t="shared" si="2"/>
        <v/>
      </c>
      <c r="K382" s="90"/>
      <c r="L382" s="89" t="str">
        <f t="shared" si="3"/>
        <v/>
      </c>
      <c r="M382" s="89"/>
      <c r="N382" s="93">
        <f t="shared" si="5"/>
        <v>0</v>
      </c>
      <c r="O382" s="94">
        <f t="shared" si="6"/>
        <v>0</v>
      </c>
      <c r="P382" s="87"/>
      <c r="Q382" s="87"/>
      <c r="R382" s="89" t="str">
        <f t="shared" si="7"/>
        <v/>
      </c>
      <c r="S382" s="90"/>
      <c r="T382" s="89" t="str">
        <f t="shared" si="8"/>
        <v/>
      </c>
      <c r="U382" s="95"/>
      <c r="V382" s="87"/>
      <c r="W382" s="87"/>
      <c r="X382" s="89" t="str">
        <f t="shared" si="9"/>
        <v/>
      </c>
      <c r="Y382" s="90"/>
      <c r="Z382" s="89" t="str">
        <f t="shared" si="10"/>
        <v/>
      </c>
      <c r="AA382" s="95"/>
      <c r="AB382" s="88" t="str">
        <f t="shared" si="27"/>
        <v/>
      </c>
      <c r="AC382" s="87"/>
      <c r="AD382" s="89" t="str">
        <f t="shared" si="11"/>
        <v/>
      </c>
      <c r="AE382" s="90"/>
      <c r="AF382" s="89" t="str">
        <f t="shared" si="12"/>
        <v/>
      </c>
      <c r="AG382" s="96"/>
      <c r="AH382" s="88" t="str">
        <f t="shared" si="13"/>
        <v/>
      </c>
      <c r="AI382" s="87"/>
      <c r="AJ382" s="89" t="str">
        <f t="shared" si="14"/>
        <v/>
      </c>
      <c r="AK382" s="90"/>
      <c r="AL382" s="89" t="str">
        <f t="shared" si="15"/>
        <v/>
      </c>
      <c r="AM382" s="89"/>
      <c r="AN382" s="93">
        <f t="shared" si="17"/>
        <v>0</v>
      </c>
      <c r="AO382" s="94">
        <f t="shared" si="18"/>
        <v>0</v>
      </c>
      <c r="AP382" s="87"/>
      <c r="AQ382" s="87"/>
      <c r="AR382" s="89" t="str">
        <f t="shared" si="19"/>
        <v/>
      </c>
      <c r="AS382" s="90"/>
      <c r="AT382" s="89" t="str">
        <f t="shared" si="20"/>
        <v/>
      </c>
      <c r="AU382" s="95"/>
      <c r="AV382" s="87"/>
      <c r="AW382" s="87"/>
      <c r="AX382" s="89" t="str">
        <f t="shared" si="21"/>
        <v/>
      </c>
      <c r="AY382" s="90"/>
      <c r="AZ382" s="89" t="str">
        <f t="shared" si="22"/>
        <v/>
      </c>
      <c r="BA382" s="95"/>
      <c r="BB382" s="88" t="str">
        <f t="shared" si="28"/>
        <v/>
      </c>
      <c r="BC382" s="87"/>
      <c r="BD382" s="89" t="str">
        <f t="shared" si="23"/>
        <v/>
      </c>
      <c r="BE382" s="90"/>
      <c r="BF382" s="89" t="str">
        <f t="shared" si="24"/>
        <v/>
      </c>
      <c r="BG382" s="96"/>
    </row>
    <row r="383">
      <c r="A383" s="87"/>
      <c r="B383" s="87"/>
      <c r="C383" s="87"/>
      <c r="D383" s="87"/>
      <c r="E383" s="87"/>
      <c r="F383" s="87"/>
      <c r="G383" s="87"/>
      <c r="H383" s="88" t="str">
        <f t="shared" si="1"/>
        <v/>
      </c>
      <c r="I383" s="87"/>
      <c r="J383" s="89" t="str">
        <f t="shared" si="2"/>
        <v/>
      </c>
      <c r="K383" s="90"/>
      <c r="L383" s="89" t="str">
        <f t="shared" si="3"/>
        <v/>
      </c>
      <c r="M383" s="89"/>
      <c r="N383" s="93">
        <f t="shared" si="5"/>
        <v>0</v>
      </c>
      <c r="O383" s="94">
        <f t="shared" si="6"/>
        <v>0</v>
      </c>
      <c r="P383" s="87"/>
      <c r="Q383" s="87"/>
      <c r="R383" s="89" t="str">
        <f t="shared" si="7"/>
        <v/>
      </c>
      <c r="S383" s="90"/>
      <c r="T383" s="89" t="str">
        <f t="shared" si="8"/>
        <v/>
      </c>
      <c r="U383" s="95"/>
      <c r="V383" s="87"/>
      <c r="W383" s="87"/>
      <c r="X383" s="89" t="str">
        <f t="shared" si="9"/>
        <v/>
      </c>
      <c r="Y383" s="90"/>
      <c r="Z383" s="89" t="str">
        <f t="shared" si="10"/>
        <v/>
      </c>
      <c r="AA383" s="95"/>
      <c r="AB383" s="88" t="str">
        <f t="shared" si="27"/>
        <v/>
      </c>
      <c r="AC383" s="87"/>
      <c r="AD383" s="89" t="str">
        <f t="shared" si="11"/>
        <v/>
      </c>
      <c r="AE383" s="90"/>
      <c r="AF383" s="89" t="str">
        <f t="shared" si="12"/>
        <v/>
      </c>
      <c r="AG383" s="96"/>
      <c r="AH383" s="88" t="str">
        <f t="shared" si="13"/>
        <v/>
      </c>
      <c r="AI383" s="87"/>
      <c r="AJ383" s="89" t="str">
        <f t="shared" si="14"/>
        <v/>
      </c>
      <c r="AK383" s="90"/>
      <c r="AL383" s="89" t="str">
        <f t="shared" si="15"/>
        <v/>
      </c>
      <c r="AM383" s="89"/>
      <c r="AN383" s="93">
        <f t="shared" si="17"/>
        <v>0</v>
      </c>
      <c r="AO383" s="94">
        <f t="shared" si="18"/>
        <v>0</v>
      </c>
      <c r="AP383" s="87"/>
      <c r="AQ383" s="87"/>
      <c r="AR383" s="89" t="str">
        <f t="shared" si="19"/>
        <v/>
      </c>
      <c r="AS383" s="90"/>
      <c r="AT383" s="89" t="str">
        <f t="shared" si="20"/>
        <v/>
      </c>
      <c r="AU383" s="95"/>
      <c r="AV383" s="87"/>
      <c r="AW383" s="87"/>
      <c r="AX383" s="89" t="str">
        <f t="shared" si="21"/>
        <v/>
      </c>
      <c r="AY383" s="90"/>
      <c r="AZ383" s="89" t="str">
        <f t="shared" si="22"/>
        <v/>
      </c>
      <c r="BA383" s="95"/>
      <c r="BB383" s="88" t="str">
        <f t="shared" si="28"/>
        <v/>
      </c>
      <c r="BC383" s="87"/>
      <c r="BD383" s="89" t="str">
        <f t="shared" si="23"/>
        <v/>
      </c>
      <c r="BE383" s="90"/>
      <c r="BF383" s="89" t="str">
        <f t="shared" si="24"/>
        <v/>
      </c>
      <c r="BG383" s="96"/>
    </row>
    <row r="384">
      <c r="A384" s="87"/>
      <c r="B384" s="87"/>
      <c r="C384" s="87"/>
      <c r="D384" s="87"/>
      <c r="E384" s="87"/>
      <c r="F384" s="87"/>
      <c r="G384" s="87"/>
      <c r="H384" s="88" t="str">
        <f t="shared" si="1"/>
        <v/>
      </c>
      <c r="I384" s="87"/>
      <c r="J384" s="89" t="str">
        <f t="shared" si="2"/>
        <v/>
      </c>
      <c r="K384" s="90"/>
      <c r="L384" s="89" t="str">
        <f t="shared" si="3"/>
        <v/>
      </c>
      <c r="M384" s="89"/>
      <c r="N384" s="93">
        <f t="shared" si="5"/>
        <v>0</v>
      </c>
      <c r="O384" s="94">
        <f t="shared" si="6"/>
        <v>0</v>
      </c>
      <c r="P384" s="87"/>
      <c r="Q384" s="87"/>
      <c r="R384" s="89" t="str">
        <f t="shared" si="7"/>
        <v/>
      </c>
      <c r="S384" s="90"/>
      <c r="T384" s="89" t="str">
        <f t="shared" si="8"/>
        <v/>
      </c>
      <c r="U384" s="95"/>
      <c r="V384" s="87"/>
      <c r="W384" s="87"/>
      <c r="X384" s="89" t="str">
        <f t="shared" si="9"/>
        <v/>
      </c>
      <c r="Y384" s="90"/>
      <c r="Z384" s="89" t="str">
        <f t="shared" si="10"/>
        <v/>
      </c>
      <c r="AA384" s="95"/>
      <c r="AB384" s="88" t="str">
        <f t="shared" si="27"/>
        <v/>
      </c>
      <c r="AC384" s="87"/>
      <c r="AD384" s="89" t="str">
        <f t="shared" si="11"/>
        <v/>
      </c>
      <c r="AE384" s="90"/>
      <c r="AF384" s="89" t="str">
        <f t="shared" si="12"/>
        <v/>
      </c>
      <c r="AG384" s="96"/>
      <c r="AH384" s="88" t="str">
        <f t="shared" si="13"/>
        <v/>
      </c>
      <c r="AI384" s="87"/>
      <c r="AJ384" s="89" t="str">
        <f t="shared" si="14"/>
        <v/>
      </c>
      <c r="AK384" s="90"/>
      <c r="AL384" s="89" t="str">
        <f t="shared" si="15"/>
        <v/>
      </c>
      <c r="AM384" s="89"/>
      <c r="AN384" s="93">
        <f t="shared" si="17"/>
        <v>0</v>
      </c>
      <c r="AO384" s="94">
        <f t="shared" si="18"/>
        <v>0</v>
      </c>
      <c r="AP384" s="87"/>
      <c r="AQ384" s="87"/>
      <c r="AR384" s="89" t="str">
        <f t="shared" si="19"/>
        <v/>
      </c>
      <c r="AS384" s="90"/>
      <c r="AT384" s="89" t="str">
        <f t="shared" si="20"/>
        <v/>
      </c>
      <c r="AU384" s="95"/>
      <c r="AV384" s="87"/>
      <c r="AW384" s="87"/>
      <c r="AX384" s="89" t="str">
        <f t="shared" si="21"/>
        <v/>
      </c>
      <c r="AY384" s="90"/>
      <c r="AZ384" s="89" t="str">
        <f t="shared" si="22"/>
        <v/>
      </c>
      <c r="BA384" s="95"/>
      <c r="BB384" s="88" t="str">
        <f t="shared" si="28"/>
        <v/>
      </c>
      <c r="BC384" s="87"/>
      <c r="BD384" s="89" t="str">
        <f t="shared" si="23"/>
        <v/>
      </c>
      <c r="BE384" s="90"/>
      <c r="BF384" s="89" t="str">
        <f t="shared" si="24"/>
        <v/>
      </c>
      <c r="BG384" s="96"/>
    </row>
    <row r="385">
      <c r="A385" s="87"/>
      <c r="B385" s="87"/>
      <c r="C385" s="87"/>
      <c r="D385" s="87"/>
      <c r="E385" s="87"/>
      <c r="F385" s="87"/>
      <c r="G385" s="87"/>
      <c r="H385" s="88" t="str">
        <f t="shared" si="1"/>
        <v/>
      </c>
      <c r="I385" s="87"/>
      <c r="J385" s="89" t="str">
        <f t="shared" si="2"/>
        <v/>
      </c>
      <c r="K385" s="90"/>
      <c r="L385" s="89" t="str">
        <f t="shared" si="3"/>
        <v/>
      </c>
      <c r="M385" s="89"/>
      <c r="N385" s="93">
        <f t="shared" si="5"/>
        <v>0</v>
      </c>
      <c r="O385" s="94">
        <f t="shared" si="6"/>
        <v>0</v>
      </c>
      <c r="P385" s="87"/>
      <c r="Q385" s="87"/>
      <c r="R385" s="89" t="str">
        <f t="shared" si="7"/>
        <v/>
      </c>
      <c r="S385" s="90"/>
      <c r="T385" s="89" t="str">
        <f t="shared" si="8"/>
        <v/>
      </c>
      <c r="U385" s="95"/>
      <c r="V385" s="87"/>
      <c r="W385" s="87"/>
      <c r="X385" s="89" t="str">
        <f t="shared" si="9"/>
        <v/>
      </c>
      <c r="Y385" s="90"/>
      <c r="Z385" s="89" t="str">
        <f t="shared" si="10"/>
        <v/>
      </c>
      <c r="AA385" s="95"/>
      <c r="AB385" s="88" t="str">
        <f t="shared" si="27"/>
        <v/>
      </c>
      <c r="AC385" s="87"/>
      <c r="AD385" s="89" t="str">
        <f t="shared" si="11"/>
        <v/>
      </c>
      <c r="AE385" s="90"/>
      <c r="AF385" s="89" t="str">
        <f t="shared" si="12"/>
        <v/>
      </c>
      <c r="AG385" s="96"/>
      <c r="AH385" s="88" t="str">
        <f t="shared" si="13"/>
        <v/>
      </c>
      <c r="AI385" s="87"/>
      <c r="AJ385" s="89" t="str">
        <f t="shared" si="14"/>
        <v/>
      </c>
      <c r="AK385" s="90"/>
      <c r="AL385" s="89" t="str">
        <f t="shared" si="15"/>
        <v/>
      </c>
      <c r="AM385" s="89"/>
      <c r="AN385" s="93">
        <f t="shared" si="17"/>
        <v>0</v>
      </c>
      <c r="AO385" s="94">
        <f t="shared" si="18"/>
        <v>0</v>
      </c>
      <c r="AP385" s="87"/>
      <c r="AQ385" s="87"/>
      <c r="AR385" s="89" t="str">
        <f t="shared" si="19"/>
        <v/>
      </c>
      <c r="AS385" s="90"/>
      <c r="AT385" s="89" t="str">
        <f t="shared" si="20"/>
        <v/>
      </c>
      <c r="AU385" s="95"/>
      <c r="AV385" s="87"/>
      <c r="AW385" s="87"/>
      <c r="AX385" s="89" t="str">
        <f t="shared" si="21"/>
        <v/>
      </c>
      <c r="AY385" s="90"/>
      <c r="AZ385" s="89" t="str">
        <f t="shared" si="22"/>
        <v/>
      </c>
      <c r="BA385" s="95"/>
      <c r="BB385" s="88" t="str">
        <f t="shared" si="28"/>
        <v/>
      </c>
      <c r="BC385" s="87"/>
      <c r="BD385" s="89" t="str">
        <f t="shared" si="23"/>
        <v/>
      </c>
      <c r="BE385" s="90"/>
      <c r="BF385" s="89" t="str">
        <f t="shared" si="24"/>
        <v/>
      </c>
      <c r="BG385" s="96"/>
    </row>
    <row r="386">
      <c r="A386" s="87"/>
      <c r="B386" s="87"/>
      <c r="C386" s="87"/>
      <c r="D386" s="87"/>
      <c r="E386" s="87"/>
      <c r="F386" s="87"/>
      <c r="G386" s="87"/>
      <c r="H386" s="88" t="str">
        <f t="shared" si="1"/>
        <v/>
      </c>
      <c r="I386" s="87"/>
      <c r="J386" s="89" t="str">
        <f t="shared" si="2"/>
        <v/>
      </c>
      <c r="K386" s="90"/>
      <c r="L386" s="89" t="str">
        <f t="shared" si="3"/>
        <v/>
      </c>
      <c r="M386" s="89"/>
      <c r="N386" s="93">
        <f t="shared" si="5"/>
        <v>0</v>
      </c>
      <c r="O386" s="94">
        <f t="shared" si="6"/>
        <v>0</v>
      </c>
      <c r="P386" s="87"/>
      <c r="Q386" s="87"/>
      <c r="R386" s="89" t="str">
        <f t="shared" si="7"/>
        <v/>
      </c>
      <c r="S386" s="90"/>
      <c r="T386" s="89" t="str">
        <f t="shared" si="8"/>
        <v/>
      </c>
      <c r="U386" s="95"/>
      <c r="V386" s="87"/>
      <c r="W386" s="87"/>
      <c r="X386" s="89" t="str">
        <f t="shared" si="9"/>
        <v/>
      </c>
      <c r="Y386" s="90"/>
      <c r="Z386" s="89" t="str">
        <f t="shared" si="10"/>
        <v/>
      </c>
      <c r="AA386" s="95"/>
      <c r="AB386" s="88" t="str">
        <f t="shared" si="27"/>
        <v/>
      </c>
      <c r="AC386" s="87"/>
      <c r="AD386" s="89" t="str">
        <f t="shared" si="11"/>
        <v/>
      </c>
      <c r="AE386" s="90"/>
      <c r="AF386" s="89" t="str">
        <f t="shared" si="12"/>
        <v/>
      </c>
      <c r="AG386" s="96"/>
      <c r="AH386" s="88" t="str">
        <f t="shared" si="13"/>
        <v/>
      </c>
      <c r="AI386" s="87"/>
      <c r="AJ386" s="89" t="str">
        <f t="shared" si="14"/>
        <v/>
      </c>
      <c r="AK386" s="90"/>
      <c r="AL386" s="89" t="str">
        <f t="shared" si="15"/>
        <v/>
      </c>
      <c r="AM386" s="89"/>
      <c r="AN386" s="93">
        <f t="shared" si="17"/>
        <v>0</v>
      </c>
      <c r="AO386" s="94">
        <f t="shared" si="18"/>
        <v>0</v>
      </c>
      <c r="AP386" s="87"/>
      <c r="AQ386" s="87"/>
      <c r="AR386" s="89" t="str">
        <f t="shared" si="19"/>
        <v/>
      </c>
      <c r="AS386" s="90"/>
      <c r="AT386" s="89" t="str">
        <f t="shared" si="20"/>
        <v/>
      </c>
      <c r="AU386" s="95"/>
      <c r="AV386" s="87"/>
      <c r="AW386" s="87"/>
      <c r="AX386" s="89" t="str">
        <f t="shared" si="21"/>
        <v/>
      </c>
      <c r="AY386" s="90"/>
      <c r="AZ386" s="89" t="str">
        <f t="shared" si="22"/>
        <v/>
      </c>
      <c r="BA386" s="95"/>
      <c r="BB386" s="88" t="str">
        <f t="shared" si="28"/>
        <v/>
      </c>
      <c r="BC386" s="87"/>
      <c r="BD386" s="89" t="str">
        <f t="shared" si="23"/>
        <v/>
      </c>
      <c r="BE386" s="90"/>
      <c r="BF386" s="89" t="str">
        <f t="shared" si="24"/>
        <v/>
      </c>
      <c r="BG386" s="96"/>
    </row>
    <row r="387">
      <c r="A387" s="87"/>
      <c r="B387" s="87"/>
      <c r="C387" s="87"/>
      <c r="D387" s="87"/>
      <c r="E387" s="87"/>
      <c r="F387" s="87"/>
      <c r="G387" s="87"/>
      <c r="H387" s="88" t="str">
        <f t="shared" si="1"/>
        <v/>
      </c>
      <c r="I387" s="87"/>
      <c r="J387" s="89" t="str">
        <f t="shared" si="2"/>
        <v/>
      </c>
      <c r="K387" s="90"/>
      <c r="L387" s="89" t="str">
        <f t="shared" si="3"/>
        <v/>
      </c>
      <c r="M387" s="89"/>
      <c r="N387" s="93">
        <f t="shared" si="5"/>
        <v>0</v>
      </c>
      <c r="O387" s="94">
        <f t="shared" si="6"/>
        <v>0</v>
      </c>
      <c r="P387" s="87"/>
      <c r="Q387" s="87"/>
      <c r="R387" s="89" t="str">
        <f t="shared" si="7"/>
        <v/>
      </c>
      <c r="S387" s="90"/>
      <c r="T387" s="89" t="str">
        <f t="shared" si="8"/>
        <v/>
      </c>
      <c r="U387" s="95"/>
      <c r="V387" s="87"/>
      <c r="W387" s="87"/>
      <c r="X387" s="89" t="str">
        <f t="shared" si="9"/>
        <v/>
      </c>
      <c r="Y387" s="90"/>
      <c r="Z387" s="89" t="str">
        <f t="shared" si="10"/>
        <v/>
      </c>
      <c r="AA387" s="95"/>
      <c r="AB387" s="88" t="str">
        <f t="shared" si="27"/>
        <v/>
      </c>
      <c r="AC387" s="87"/>
      <c r="AD387" s="89" t="str">
        <f t="shared" si="11"/>
        <v/>
      </c>
      <c r="AE387" s="90"/>
      <c r="AF387" s="89" t="str">
        <f t="shared" si="12"/>
        <v/>
      </c>
      <c r="AG387" s="96"/>
      <c r="AH387" s="88" t="str">
        <f t="shared" si="13"/>
        <v/>
      </c>
      <c r="AI387" s="87"/>
      <c r="AJ387" s="89" t="str">
        <f t="shared" si="14"/>
        <v/>
      </c>
      <c r="AK387" s="90"/>
      <c r="AL387" s="89" t="str">
        <f t="shared" si="15"/>
        <v/>
      </c>
      <c r="AM387" s="89"/>
      <c r="AN387" s="93">
        <f t="shared" si="17"/>
        <v>0</v>
      </c>
      <c r="AO387" s="94">
        <f t="shared" si="18"/>
        <v>0</v>
      </c>
      <c r="AP387" s="87"/>
      <c r="AQ387" s="87"/>
      <c r="AR387" s="89" t="str">
        <f t="shared" si="19"/>
        <v/>
      </c>
      <c r="AS387" s="90"/>
      <c r="AT387" s="89" t="str">
        <f t="shared" si="20"/>
        <v/>
      </c>
      <c r="AU387" s="95"/>
      <c r="AV387" s="87"/>
      <c r="AW387" s="87"/>
      <c r="AX387" s="89" t="str">
        <f t="shared" si="21"/>
        <v/>
      </c>
      <c r="AY387" s="90"/>
      <c r="AZ387" s="89" t="str">
        <f t="shared" si="22"/>
        <v/>
      </c>
      <c r="BA387" s="95"/>
      <c r="BB387" s="88" t="str">
        <f t="shared" si="28"/>
        <v/>
      </c>
      <c r="BC387" s="87"/>
      <c r="BD387" s="89" t="str">
        <f t="shared" si="23"/>
        <v/>
      </c>
      <c r="BE387" s="90"/>
      <c r="BF387" s="89" t="str">
        <f t="shared" si="24"/>
        <v/>
      </c>
      <c r="BG387" s="96"/>
    </row>
    <row r="388">
      <c r="A388" s="87"/>
      <c r="B388" s="87"/>
      <c r="C388" s="87"/>
      <c r="D388" s="87"/>
      <c r="E388" s="87"/>
      <c r="F388" s="87"/>
      <c r="G388" s="87"/>
      <c r="H388" s="88" t="str">
        <f t="shared" si="1"/>
        <v/>
      </c>
      <c r="I388" s="87"/>
      <c r="J388" s="89" t="str">
        <f t="shared" si="2"/>
        <v/>
      </c>
      <c r="K388" s="90"/>
      <c r="L388" s="89" t="str">
        <f t="shared" si="3"/>
        <v/>
      </c>
      <c r="M388" s="89"/>
      <c r="N388" s="93">
        <f t="shared" si="5"/>
        <v>0</v>
      </c>
      <c r="O388" s="94">
        <f t="shared" si="6"/>
        <v>0</v>
      </c>
      <c r="P388" s="87"/>
      <c r="Q388" s="87"/>
      <c r="R388" s="89" t="str">
        <f t="shared" si="7"/>
        <v/>
      </c>
      <c r="S388" s="90"/>
      <c r="T388" s="89" t="str">
        <f t="shared" si="8"/>
        <v/>
      </c>
      <c r="U388" s="95"/>
      <c r="V388" s="87"/>
      <c r="W388" s="87"/>
      <c r="X388" s="89" t="str">
        <f t="shared" si="9"/>
        <v/>
      </c>
      <c r="Y388" s="90"/>
      <c r="Z388" s="89" t="str">
        <f t="shared" si="10"/>
        <v/>
      </c>
      <c r="AA388" s="95"/>
      <c r="AB388" s="88" t="str">
        <f t="shared" si="27"/>
        <v/>
      </c>
      <c r="AC388" s="87"/>
      <c r="AD388" s="89" t="str">
        <f t="shared" si="11"/>
        <v/>
      </c>
      <c r="AE388" s="90"/>
      <c r="AF388" s="89" t="str">
        <f t="shared" si="12"/>
        <v/>
      </c>
      <c r="AG388" s="96"/>
      <c r="AH388" s="88" t="str">
        <f t="shared" si="13"/>
        <v/>
      </c>
      <c r="AI388" s="87"/>
      <c r="AJ388" s="89" t="str">
        <f t="shared" si="14"/>
        <v/>
      </c>
      <c r="AK388" s="90"/>
      <c r="AL388" s="89" t="str">
        <f t="shared" si="15"/>
        <v/>
      </c>
      <c r="AM388" s="89"/>
      <c r="AN388" s="93">
        <f t="shared" si="17"/>
        <v>0</v>
      </c>
      <c r="AO388" s="94">
        <f t="shared" si="18"/>
        <v>0</v>
      </c>
      <c r="AP388" s="87"/>
      <c r="AQ388" s="87"/>
      <c r="AR388" s="89" t="str">
        <f t="shared" si="19"/>
        <v/>
      </c>
      <c r="AS388" s="90"/>
      <c r="AT388" s="89" t="str">
        <f t="shared" si="20"/>
        <v/>
      </c>
      <c r="AU388" s="95"/>
      <c r="AV388" s="87"/>
      <c r="AW388" s="87"/>
      <c r="AX388" s="89" t="str">
        <f t="shared" si="21"/>
        <v/>
      </c>
      <c r="AY388" s="90"/>
      <c r="AZ388" s="89" t="str">
        <f t="shared" si="22"/>
        <v/>
      </c>
      <c r="BA388" s="95"/>
      <c r="BB388" s="88" t="str">
        <f t="shared" si="28"/>
        <v/>
      </c>
      <c r="BC388" s="87"/>
      <c r="BD388" s="89" t="str">
        <f t="shared" si="23"/>
        <v/>
      </c>
      <c r="BE388" s="90"/>
      <c r="BF388" s="89" t="str">
        <f t="shared" si="24"/>
        <v/>
      </c>
      <c r="BG388" s="96"/>
    </row>
    <row r="389">
      <c r="A389" s="87"/>
      <c r="B389" s="87"/>
      <c r="C389" s="87"/>
      <c r="D389" s="87"/>
      <c r="E389" s="87"/>
      <c r="F389" s="87"/>
      <c r="G389" s="87"/>
      <c r="H389" s="88" t="str">
        <f t="shared" si="1"/>
        <v/>
      </c>
      <c r="I389" s="87"/>
      <c r="J389" s="89" t="str">
        <f t="shared" si="2"/>
        <v/>
      </c>
      <c r="K389" s="90"/>
      <c r="L389" s="89" t="str">
        <f t="shared" si="3"/>
        <v/>
      </c>
      <c r="M389" s="89"/>
      <c r="N389" s="93">
        <f t="shared" si="5"/>
        <v>0</v>
      </c>
      <c r="O389" s="94">
        <f t="shared" si="6"/>
        <v>0</v>
      </c>
      <c r="P389" s="87"/>
      <c r="Q389" s="87"/>
      <c r="R389" s="89" t="str">
        <f t="shared" si="7"/>
        <v/>
      </c>
      <c r="S389" s="90"/>
      <c r="T389" s="89" t="str">
        <f t="shared" si="8"/>
        <v/>
      </c>
      <c r="U389" s="95"/>
      <c r="V389" s="87"/>
      <c r="W389" s="87"/>
      <c r="X389" s="89" t="str">
        <f t="shared" si="9"/>
        <v/>
      </c>
      <c r="Y389" s="90"/>
      <c r="Z389" s="89" t="str">
        <f t="shared" si="10"/>
        <v/>
      </c>
      <c r="AA389" s="95"/>
      <c r="AB389" s="88" t="str">
        <f t="shared" si="27"/>
        <v/>
      </c>
      <c r="AC389" s="87"/>
      <c r="AD389" s="89" t="str">
        <f t="shared" si="11"/>
        <v/>
      </c>
      <c r="AE389" s="90"/>
      <c r="AF389" s="89" t="str">
        <f t="shared" si="12"/>
        <v/>
      </c>
      <c r="AG389" s="96"/>
      <c r="AH389" s="88" t="str">
        <f t="shared" si="13"/>
        <v/>
      </c>
      <c r="AI389" s="87"/>
      <c r="AJ389" s="89" t="str">
        <f t="shared" si="14"/>
        <v/>
      </c>
      <c r="AK389" s="90"/>
      <c r="AL389" s="89" t="str">
        <f t="shared" si="15"/>
        <v/>
      </c>
      <c r="AM389" s="89"/>
      <c r="AN389" s="93">
        <f t="shared" si="17"/>
        <v>0</v>
      </c>
      <c r="AO389" s="94">
        <f t="shared" si="18"/>
        <v>0</v>
      </c>
      <c r="AP389" s="87"/>
      <c r="AQ389" s="87"/>
      <c r="AR389" s="89" t="str">
        <f t="shared" si="19"/>
        <v/>
      </c>
      <c r="AS389" s="90"/>
      <c r="AT389" s="89" t="str">
        <f t="shared" si="20"/>
        <v/>
      </c>
      <c r="AU389" s="95"/>
      <c r="AV389" s="87"/>
      <c r="AW389" s="87"/>
      <c r="AX389" s="89" t="str">
        <f t="shared" si="21"/>
        <v/>
      </c>
      <c r="AY389" s="90"/>
      <c r="AZ389" s="89" t="str">
        <f t="shared" si="22"/>
        <v/>
      </c>
      <c r="BA389" s="95"/>
      <c r="BB389" s="88" t="str">
        <f t="shared" si="28"/>
        <v/>
      </c>
      <c r="BC389" s="87"/>
      <c r="BD389" s="89" t="str">
        <f t="shared" si="23"/>
        <v/>
      </c>
      <c r="BE389" s="90"/>
      <c r="BF389" s="89" t="str">
        <f t="shared" si="24"/>
        <v/>
      </c>
      <c r="BG389" s="96"/>
    </row>
    <row r="390">
      <c r="A390" s="87"/>
      <c r="B390" s="87"/>
      <c r="C390" s="87"/>
      <c r="D390" s="87"/>
      <c r="E390" s="87"/>
      <c r="F390" s="87"/>
      <c r="G390" s="87"/>
      <c r="H390" s="88" t="str">
        <f t="shared" si="1"/>
        <v/>
      </c>
      <c r="I390" s="87"/>
      <c r="J390" s="89" t="str">
        <f t="shared" si="2"/>
        <v/>
      </c>
      <c r="K390" s="90"/>
      <c r="L390" s="89" t="str">
        <f t="shared" si="3"/>
        <v/>
      </c>
      <c r="M390" s="89"/>
      <c r="N390" s="93">
        <f t="shared" si="5"/>
        <v>0</v>
      </c>
      <c r="O390" s="94">
        <f t="shared" si="6"/>
        <v>0</v>
      </c>
      <c r="P390" s="87"/>
      <c r="Q390" s="87"/>
      <c r="R390" s="89" t="str">
        <f t="shared" si="7"/>
        <v/>
      </c>
      <c r="S390" s="90"/>
      <c r="T390" s="89" t="str">
        <f t="shared" si="8"/>
        <v/>
      </c>
      <c r="U390" s="95"/>
      <c r="V390" s="87"/>
      <c r="W390" s="87"/>
      <c r="X390" s="89" t="str">
        <f t="shared" si="9"/>
        <v/>
      </c>
      <c r="Y390" s="90"/>
      <c r="Z390" s="89" t="str">
        <f t="shared" si="10"/>
        <v/>
      </c>
      <c r="AA390" s="95"/>
      <c r="AB390" s="88" t="str">
        <f t="shared" si="27"/>
        <v/>
      </c>
      <c r="AC390" s="87"/>
      <c r="AD390" s="89" t="str">
        <f t="shared" si="11"/>
        <v/>
      </c>
      <c r="AE390" s="90"/>
      <c r="AF390" s="89" t="str">
        <f t="shared" si="12"/>
        <v/>
      </c>
      <c r="AG390" s="96"/>
      <c r="AH390" s="88" t="str">
        <f t="shared" si="13"/>
        <v/>
      </c>
      <c r="AI390" s="87"/>
      <c r="AJ390" s="89" t="str">
        <f t="shared" si="14"/>
        <v/>
      </c>
      <c r="AK390" s="90"/>
      <c r="AL390" s="89" t="str">
        <f t="shared" si="15"/>
        <v/>
      </c>
      <c r="AM390" s="89"/>
      <c r="AN390" s="93">
        <f t="shared" si="17"/>
        <v>0</v>
      </c>
      <c r="AO390" s="94">
        <f t="shared" si="18"/>
        <v>0</v>
      </c>
      <c r="AP390" s="87"/>
      <c r="AQ390" s="87"/>
      <c r="AR390" s="89" t="str">
        <f t="shared" si="19"/>
        <v/>
      </c>
      <c r="AS390" s="90"/>
      <c r="AT390" s="89" t="str">
        <f t="shared" si="20"/>
        <v/>
      </c>
      <c r="AU390" s="95"/>
      <c r="AV390" s="87"/>
      <c r="AW390" s="87"/>
      <c r="AX390" s="89" t="str">
        <f t="shared" si="21"/>
        <v/>
      </c>
      <c r="AY390" s="90"/>
      <c r="AZ390" s="89" t="str">
        <f t="shared" si="22"/>
        <v/>
      </c>
      <c r="BA390" s="95"/>
      <c r="BB390" s="88" t="str">
        <f t="shared" si="28"/>
        <v/>
      </c>
      <c r="BC390" s="87"/>
      <c r="BD390" s="89" t="str">
        <f t="shared" si="23"/>
        <v/>
      </c>
      <c r="BE390" s="90"/>
      <c r="BF390" s="89" t="str">
        <f t="shared" si="24"/>
        <v/>
      </c>
      <c r="BG390" s="96"/>
    </row>
    <row r="391">
      <c r="A391" s="87"/>
      <c r="B391" s="87"/>
      <c r="C391" s="87"/>
      <c r="D391" s="87"/>
      <c r="E391" s="87"/>
      <c r="F391" s="87"/>
      <c r="G391" s="87"/>
      <c r="H391" s="88" t="str">
        <f t="shared" si="1"/>
        <v/>
      </c>
      <c r="I391" s="87"/>
      <c r="J391" s="89" t="str">
        <f t="shared" si="2"/>
        <v/>
      </c>
      <c r="K391" s="90"/>
      <c r="L391" s="89" t="str">
        <f t="shared" si="3"/>
        <v/>
      </c>
      <c r="M391" s="89"/>
      <c r="N391" s="93">
        <f t="shared" si="5"/>
        <v>0</v>
      </c>
      <c r="O391" s="94">
        <f t="shared" si="6"/>
        <v>0</v>
      </c>
      <c r="P391" s="87"/>
      <c r="Q391" s="87"/>
      <c r="R391" s="89" t="str">
        <f t="shared" si="7"/>
        <v/>
      </c>
      <c r="S391" s="90"/>
      <c r="T391" s="89" t="str">
        <f t="shared" si="8"/>
        <v/>
      </c>
      <c r="U391" s="95"/>
      <c r="V391" s="87"/>
      <c r="W391" s="87"/>
      <c r="X391" s="89" t="str">
        <f t="shared" si="9"/>
        <v/>
      </c>
      <c r="Y391" s="90"/>
      <c r="Z391" s="89" t="str">
        <f t="shared" si="10"/>
        <v/>
      </c>
      <c r="AA391" s="95"/>
      <c r="AB391" s="88" t="str">
        <f t="shared" si="27"/>
        <v/>
      </c>
      <c r="AC391" s="87"/>
      <c r="AD391" s="89" t="str">
        <f t="shared" si="11"/>
        <v/>
      </c>
      <c r="AE391" s="90"/>
      <c r="AF391" s="89" t="str">
        <f t="shared" si="12"/>
        <v/>
      </c>
      <c r="AG391" s="96"/>
      <c r="AH391" s="88" t="str">
        <f t="shared" si="13"/>
        <v/>
      </c>
      <c r="AI391" s="87"/>
      <c r="AJ391" s="89" t="str">
        <f t="shared" si="14"/>
        <v/>
      </c>
      <c r="AK391" s="90"/>
      <c r="AL391" s="89" t="str">
        <f t="shared" si="15"/>
        <v/>
      </c>
      <c r="AM391" s="89"/>
      <c r="AN391" s="93">
        <f t="shared" si="17"/>
        <v>0</v>
      </c>
      <c r="AO391" s="94">
        <f t="shared" si="18"/>
        <v>0</v>
      </c>
      <c r="AP391" s="87"/>
      <c r="AQ391" s="87"/>
      <c r="AR391" s="89" t="str">
        <f t="shared" si="19"/>
        <v/>
      </c>
      <c r="AS391" s="90"/>
      <c r="AT391" s="89" t="str">
        <f t="shared" si="20"/>
        <v/>
      </c>
      <c r="AU391" s="95"/>
      <c r="AV391" s="87"/>
      <c r="AW391" s="87"/>
      <c r="AX391" s="89" t="str">
        <f t="shared" si="21"/>
        <v/>
      </c>
      <c r="AY391" s="90"/>
      <c r="AZ391" s="89" t="str">
        <f t="shared" si="22"/>
        <v/>
      </c>
      <c r="BA391" s="95"/>
      <c r="BB391" s="88" t="str">
        <f t="shared" si="28"/>
        <v/>
      </c>
      <c r="BC391" s="87"/>
      <c r="BD391" s="89" t="str">
        <f t="shared" si="23"/>
        <v/>
      </c>
      <c r="BE391" s="90"/>
      <c r="BF391" s="89" t="str">
        <f t="shared" si="24"/>
        <v/>
      </c>
      <c r="BG391" s="96"/>
    </row>
    <row r="392">
      <c r="A392" s="87"/>
      <c r="B392" s="87"/>
      <c r="C392" s="87"/>
      <c r="D392" s="87"/>
      <c r="E392" s="87"/>
      <c r="F392" s="87"/>
      <c r="G392" s="87"/>
      <c r="H392" s="88" t="str">
        <f t="shared" si="1"/>
        <v/>
      </c>
      <c r="I392" s="87"/>
      <c r="J392" s="89" t="str">
        <f t="shared" si="2"/>
        <v/>
      </c>
      <c r="K392" s="90"/>
      <c r="L392" s="89" t="str">
        <f t="shared" si="3"/>
        <v/>
      </c>
      <c r="M392" s="89"/>
      <c r="N392" s="93">
        <f t="shared" si="5"/>
        <v>0</v>
      </c>
      <c r="O392" s="94">
        <f t="shared" si="6"/>
        <v>0</v>
      </c>
      <c r="P392" s="87"/>
      <c r="Q392" s="87"/>
      <c r="R392" s="89" t="str">
        <f t="shared" si="7"/>
        <v/>
      </c>
      <c r="S392" s="90"/>
      <c r="T392" s="89" t="str">
        <f t="shared" si="8"/>
        <v/>
      </c>
      <c r="U392" s="95"/>
      <c r="V392" s="87"/>
      <c r="W392" s="87"/>
      <c r="X392" s="89" t="str">
        <f t="shared" si="9"/>
        <v/>
      </c>
      <c r="Y392" s="90"/>
      <c r="Z392" s="89" t="str">
        <f t="shared" si="10"/>
        <v/>
      </c>
      <c r="AA392" s="95"/>
      <c r="AB392" s="88" t="str">
        <f t="shared" si="27"/>
        <v/>
      </c>
      <c r="AC392" s="87"/>
      <c r="AD392" s="89" t="str">
        <f t="shared" si="11"/>
        <v/>
      </c>
      <c r="AE392" s="90"/>
      <c r="AF392" s="89" t="str">
        <f t="shared" si="12"/>
        <v/>
      </c>
      <c r="AG392" s="96"/>
      <c r="AH392" s="88" t="str">
        <f t="shared" si="13"/>
        <v/>
      </c>
      <c r="AI392" s="87"/>
      <c r="AJ392" s="89" t="str">
        <f t="shared" si="14"/>
        <v/>
      </c>
      <c r="AK392" s="90"/>
      <c r="AL392" s="89" t="str">
        <f t="shared" si="15"/>
        <v/>
      </c>
      <c r="AM392" s="89"/>
      <c r="AN392" s="93">
        <f t="shared" si="17"/>
        <v>0</v>
      </c>
      <c r="AO392" s="94">
        <f t="shared" si="18"/>
        <v>0</v>
      </c>
      <c r="AP392" s="87"/>
      <c r="AQ392" s="87"/>
      <c r="AR392" s="89" t="str">
        <f t="shared" si="19"/>
        <v/>
      </c>
      <c r="AS392" s="90"/>
      <c r="AT392" s="89" t="str">
        <f t="shared" si="20"/>
        <v/>
      </c>
      <c r="AU392" s="95"/>
      <c r="AV392" s="87"/>
      <c r="AW392" s="87"/>
      <c r="AX392" s="89" t="str">
        <f t="shared" si="21"/>
        <v/>
      </c>
      <c r="AY392" s="90"/>
      <c r="AZ392" s="89" t="str">
        <f t="shared" si="22"/>
        <v/>
      </c>
      <c r="BA392" s="95"/>
      <c r="BB392" s="88" t="str">
        <f t="shared" si="28"/>
        <v/>
      </c>
      <c r="BC392" s="87"/>
      <c r="BD392" s="89" t="str">
        <f t="shared" si="23"/>
        <v/>
      </c>
      <c r="BE392" s="90"/>
      <c r="BF392" s="89" t="str">
        <f t="shared" si="24"/>
        <v/>
      </c>
      <c r="BG392" s="96"/>
    </row>
    <row r="393">
      <c r="A393" s="87"/>
      <c r="B393" s="87"/>
      <c r="C393" s="87"/>
      <c r="D393" s="87"/>
      <c r="E393" s="87"/>
      <c r="F393" s="87"/>
      <c r="G393" s="87"/>
      <c r="H393" s="88" t="str">
        <f t="shared" si="1"/>
        <v/>
      </c>
      <c r="I393" s="87"/>
      <c r="J393" s="89" t="str">
        <f t="shared" si="2"/>
        <v/>
      </c>
      <c r="K393" s="90"/>
      <c r="L393" s="89" t="str">
        <f t="shared" si="3"/>
        <v/>
      </c>
      <c r="M393" s="89"/>
      <c r="N393" s="93">
        <f t="shared" si="5"/>
        <v>0</v>
      </c>
      <c r="O393" s="94">
        <f t="shared" si="6"/>
        <v>0</v>
      </c>
      <c r="P393" s="87"/>
      <c r="Q393" s="87"/>
      <c r="R393" s="89" t="str">
        <f t="shared" si="7"/>
        <v/>
      </c>
      <c r="S393" s="90"/>
      <c r="T393" s="89" t="str">
        <f t="shared" si="8"/>
        <v/>
      </c>
      <c r="U393" s="95"/>
      <c r="V393" s="87"/>
      <c r="W393" s="87"/>
      <c r="X393" s="89" t="str">
        <f t="shared" si="9"/>
        <v/>
      </c>
      <c r="Y393" s="90"/>
      <c r="Z393" s="89" t="str">
        <f t="shared" si="10"/>
        <v/>
      </c>
      <c r="AA393" s="95"/>
      <c r="AB393" s="88" t="str">
        <f t="shared" si="27"/>
        <v/>
      </c>
      <c r="AC393" s="87"/>
      <c r="AD393" s="89" t="str">
        <f t="shared" si="11"/>
        <v/>
      </c>
      <c r="AE393" s="90"/>
      <c r="AF393" s="89" t="str">
        <f t="shared" si="12"/>
        <v/>
      </c>
      <c r="AG393" s="96"/>
      <c r="AH393" s="88" t="str">
        <f t="shared" si="13"/>
        <v/>
      </c>
      <c r="AI393" s="87"/>
      <c r="AJ393" s="89" t="str">
        <f t="shared" si="14"/>
        <v/>
      </c>
      <c r="AK393" s="90"/>
      <c r="AL393" s="89" t="str">
        <f t="shared" si="15"/>
        <v/>
      </c>
      <c r="AM393" s="89"/>
      <c r="AN393" s="93">
        <f t="shared" si="17"/>
        <v>0</v>
      </c>
      <c r="AO393" s="94">
        <f t="shared" si="18"/>
        <v>0</v>
      </c>
      <c r="AP393" s="87"/>
      <c r="AQ393" s="87"/>
      <c r="AR393" s="89" t="str">
        <f t="shared" si="19"/>
        <v/>
      </c>
      <c r="AS393" s="90"/>
      <c r="AT393" s="89" t="str">
        <f t="shared" si="20"/>
        <v/>
      </c>
      <c r="AU393" s="95"/>
      <c r="AV393" s="87"/>
      <c r="AW393" s="87"/>
      <c r="AX393" s="89" t="str">
        <f t="shared" si="21"/>
        <v/>
      </c>
      <c r="AY393" s="90"/>
      <c r="AZ393" s="89" t="str">
        <f t="shared" si="22"/>
        <v/>
      </c>
      <c r="BA393" s="95"/>
      <c r="BB393" s="88" t="str">
        <f t="shared" si="28"/>
        <v/>
      </c>
      <c r="BC393" s="87"/>
      <c r="BD393" s="89" t="str">
        <f t="shared" si="23"/>
        <v/>
      </c>
      <c r="BE393" s="90"/>
      <c r="BF393" s="89" t="str">
        <f t="shared" si="24"/>
        <v/>
      </c>
      <c r="BG393" s="96"/>
    </row>
    <row r="394">
      <c r="A394" s="87"/>
      <c r="B394" s="87"/>
      <c r="C394" s="87"/>
      <c r="D394" s="87"/>
      <c r="E394" s="87"/>
      <c r="F394" s="87"/>
      <c r="G394" s="87"/>
      <c r="H394" s="88" t="str">
        <f t="shared" si="1"/>
        <v/>
      </c>
      <c r="I394" s="87"/>
      <c r="J394" s="89" t="str">
        <f t="shared" si="2"/>
        <v/>
      </c>
      <c r="K394" s="90"/>
      <c r="L394" s="89" t="str">
        <f t="shared" si="3"/>
        <v/>
      </c>
      <c r="M394" s="89"/>
      <c r="N394" s="93">
        <f t="shared" si="5"/>
        <v>0</v>
      </c>
      <c r="O394" s="94">
        <f t="shared" si="6"/>
        <v>0</v>
      </c>
      <c r="P394" s="87"/>
      <c r="Q394" s="87"/>
      <c r="R394" s="89" t="str">
        <f t="shared" si="7"/>
        <v/>
      </c>
      <c r="S394" s="90"/>
      <c r="T394" s="89" t="str">
        <f t="shared" si="8"/>
        <v/>
      </c>
      <c r="U394" s="95"/>
      <c r="V394" s="87"/>
      <c r="W394" s="87"/>
      <c r="X394" s="89" t="str">
        <f t="shared" si="9"/>
        <v/>
      </c>
      <c r="Y394" s="90"/>
      <c r="Z394" s="89" t="str">
        <f t="shared" si="10"/>
        <v/>
      </c>
      <c r="AA394" s="95"/>
      <c r="AB394" s="88" t="str">
        <f t="shared" si="27"/>
        <v/>
      </c>
      <c r="AC394" s="87"/>
      <c r="AD394" s="89" t="str">
        <f t="shared" si="11"/>
        <v/>
      </c>
      <c r="AE394" s="90"/>
      <c r="AF394" s="89" t="str">
        <f t="shared" si="12"/>
        <v/>
      </c>
      <c r="AG394" s="96"/>
      <c r="AH394" s="88" t="str">
        <f t="shared" si="13"/>
        <v/>
      </c>
      <c r="AI394" s="87"/>
      <c r="AJ394" s="89" t="str">
        <f t="shared" si="14"/>
        <v/>
      </c>
      <c r="AK394" s="90"/>
      <c r="AL394" s="89" t="str">
        <f t="shared" si="15"/>
        <v/>
      </c>
      <c r="AM394" s="89"/>
      <c r="AN394" s="93">
        <f t="shared" si="17"/>
        <v>0</v>
      </c>
      <c r="AO394" s="94">
        <f t="shared" si="18"/>
        <v>0</v>
      </c>
      <c r="AP394" s="87"/>
      <c r="AQ394" s="87"/>
      <c r="AR394" s="89" t="str">
        <f t="shared" si="19"/>
        <v/>
      </c>
      <c r="AS394" s="90"/>
      <c r="AT394" s="89" t="str">
        <f t="shared" si="20"/>
        <v/>
      </c>
      <c r="AU394" s="95"/>
      <c r="AV394" s="87"/>
      <c r="AW394" s="87"/>
      <c r="AX394" s="89" t="str">
        <f t="shared" si="21"/>
        <v/>
      </c>
      <c r="AY394" s="90"/>
      <c r="AZ394" s="89" t="str">
        <f t="shared" si="22"/>
        <v/>
      </c>
      <c r="BA394" s="95"/>
      <c r="BB394" s="88" t="str">
        <f t="shared" si="28"/>
        <v/>
      </c>
      <c r="BC394" s="87"/>
      <c r="BD394" s="89" t="str">
        <f t="shared" si="23"/>
        <v/>
      </c>
      <c r="BE394" s="90"/>
      <c r="BF394" s="89" t="str">
        <f t="shared" si="24"/>
        <v/>
      </c>
      <c r="BG394" s="96"/>
    </row>
    <row r="395">
      <c r="A395" s="87"/>
      <c r="B395" s="87"/>
      <c r="C395" s="87"/>
      <c r="D395" s="87"/>
      <c r="E395" s="87"/>
      <c r="F395" s="87"/>
      <c r="G395" s="87"/>
      <c r="H395" s="88" t="str">
        <f t="shared" si="1"/>
        <v/>
      </c>
      <c r="I395" s="87"/>
      <c r="J395" s="89" t="str">
        <f t="shared" si="2"/>
        <v/>
      </c>
      <c r="K395" s="90"/>
      <c r="L395" s="89" t="str">
        <f t="shared" si="3"/>
        <v/>
      </c>
      <c r="M395" s="89"/>
      <c r="N395" s="93">
        <f t="shared" si="5"/>
        <v>0</v>
      </c>
      <c r="O395" s="94">
        <f t="shared" si="6"/>
        <v>0</v>
      </c>
      <c r="P395" s="87"/>
      <c r="Q395" s="87"/>
      <c r="R395" s="89" t="str">
        <f t="shared" si="7"/>
        <v/>
      </c>
      <c r="S395" s="90"/>
      <c r="T395" s="89" t="str">
        <f t="shared" si="8"/>
        <v/>
      </c>
      <c r="U395" s="95"/>
      <c r="V395" s="87"/>
      <c r="W395" s="87"/>
      <c r="X395" s="89" t="str">
        <f t="shared" si="9"/>
        <v/>
      </c>
      <c r="Y395" s="90"/>
      <c r="Z395" s="89" t="str">
        <f t="shared" si="10"/>
        <v/>
      </c>
      <c r="AA395" s="95"/>
      <c r="AB395" s="88" t="str">
        <f t="shared" si="27"/>
        <v/>
      </c>
      <c r="AC395" s="87"/>
      <c r="AD395" s="89" t="str">
        <f t="shared" si="11"/>
        <v/>
      </c>
      <c r="AE395" s="90"/>
      <c r="AF395" s="89" t="str">
        <f t="shared" si="12"/>
        <v/>
      </c>
      <c r="AG395" s="96"/>
      <c r="AH395" s="88" t="str">
        <f t="shared" si="13"/>
        <v/>
      </c>
      <c r="AI395" s="87"/>
      <c r="AJ395" s="89" t="str">
        <f t="shared" si="14"/>
        <v/>
      </c>
      <c r="AK395" s="90"/>
      <c r="AL395" s="89" t="str">
        <f t="shared" si="15"/>
        <v/>
      </c>
      <c r="AM395" s="89"/>
      <c r="AN395" s="93">
        <f t="shared" si="17"/>
        <v>0</v>
      </c>
      <c r="AO395" s="94">
        <f t="shared" si="18"/>
        <v>0</v>
      </c>
      <c r="AP395" s="87"/>
      <c r="AQ395" s="87"/>
      <c r="AR395" s="89" t="str">
        <f t="shared" si="19"/>
        <v/>
      </c>
      <c r="AS395" s="90"/>
      <c r="AT395" s="89" t="str">
        <f t="shared" si="20"/>
        <v/>
      </c>
      <c r="AU395" s="95"/>
      <c r="AV395" s="87"/>
      <c r="AW395" s="87"/>
      <c r="AX395" s="89" t="str">
        <f t="shared" si="21"/>
        <v/>
      </c>
      <c r="AY395" s="90"/>
      <c r="AZ395" s="89" t="str">
        <f t="shared" si="22"/>
        <v/>
      </c>
      <c r="BA395" s="95"/>
      <c r="BB395" s="88" t="str">
        <f t="shared" si="28"/>
        <v/>
      </c>
      <c r="BC395" s="87"/>
      <c r="BD395" s="89" t="str">
        <f t="shared" si="23"/>
        <v/>
      </c>
      <c r="BE395" s="90"/>
      <c r="BF395" s="89" t="str">
        <f t="shared" si="24"/>
        <v/>
      </c>
      <c r="BG395" s="96"/>
    </row>
    <row r="396">
      <c r="A396" s="87"/>
      <c r="B396" s="87"/>
      <c r="C396" s="87"/>
      <c r="D396" s="87"/>
      <c r="E396" s="87"/>
      <c r="F396" s="87"/>
      <c r="G396" s="87"/>
      <c r="H396" s="88" t="str">
        <f t="shared" si="1"/>
        <v/>
      </c>
      <c r="I396" s="87"/>
      <c r="J396" s="89" t="str">
        <f t="shared" si="2"/>
        <v/>
      </c>
      <c r="K396" s="90"/>
      <c r="L396" s="89" t="str">
        <f t="shared" si="3"/>
        <v/>
      </c>
      <c r="M396" s="89"/>
      <c r="N396" s="93">
        <f t="shared" si="5"/>
        <v>0</v>
      </c>
      <c r="O396" s="94">
        <f t="shared" si="6"/>
        <v>0</v>
      </c>
      <c r="P396" s="87"/>
      <c r="Q396" s="87"/>
      <c r="R396" s="89" t="str">
        <f t="shared" si="7"/>
        <v/>
      </c>
      <c r="S396" s="90"/>
      <c r="T396" s="89" t="str">
        <f t="shared" si="8"/>
        <v/>
      </c>
      <c r="U396" s="95"/>
      <c r="V396" s="87"/>
      <c r="W396" s="87"/>
      <c r="X396" s="89" t="str">
        <f t="shared" si="9"/>
        <v/>
      </c>
      <c r="Y396" s="90"/>
      <c r="Z396" s="89" t="str">
        <f t="shared" si="10"/>
        <v/>
      </c>
      <c r="AA396" s="95"/>
      <c r="AB396" s="88" t="str">
        <f t="shared" si="27"/>
        <v/>
      </c>
      <c r="AC396" s="87"/>
      <c r="AD396" s="89" t="str">
        <f t="shared" si="11"/>
        <v/>
      </c>
      <c r="AE396" s="90"/>
      <c r="AF396" s="89" t="str">
        <f t="shared" si="12"/>
        <v/>
      </c>
      <c r="AG396" s="96"/>
      <c r="AH396" s="88" t="str">
        <f t="shared" si="13"/>
        <v/>
      </c>
      <c r="AI396" s="87"/>
      <c r="AJ396" s="89" t="str">
        <f t="shared" si="14"/>
        <v/>
      </c>
      <c r="AK396" s="90"/>
      <c r="AL396" s="89" t="str">
        <f t="shared" si="15"/>
        <v/>
      </c>
      <c r="AM396" s="89"/>
      <c r="AN396" s="93">
        <f t="shared" si="17"/>
        <v>0</v>
      </c>
      <c r="AO396" s="94">
        <f t="shared" si="18"/>
        <v>0</v>
      </c>
      <c r="AP396" s="87"/>
      <c r="AQ396" s="87"/>
      <c r="AR396" s="89" t="str">
        <f t="shared" si="19"/>
        <v/>
      </c>
      <c r="AS396" s="90"/>
      <c r="AT396" s="89" t="str">
        <f t="shared" si="20"/>
        <v/>
      </c>
      <c r="AU396" s="95"/>
      <c r="AV396" s="87"/>
      <c r="AW396" s="87"/>
      <c r="AX396" s="89" t="str">
        <f t="shared" si="21"/>
        <v/>
      </c>
      <c r="AY396" s="90"/>
      <c r="AZ396" s="89" t="str">
        <f t="shared" si="22"/>
        <v/>
      </c>
      <c r="BA396" s="95"/>
      <c r="BB396" s="88" t="str">
        <f t="shared" si="28"/>
        <v/>
      </c>
      <c r="BC396" s="87"/>
      <c r="BD396" s="89" t="str">
        <f t="shared" si="23"/>
        <v/>
      </c>
      <c r="BE396" s="90"/>
      <c r="BF396" s="89" t="str">
        <f t="shared" si="24"/>
        <v/>
      </c>
      <c r="BG396" s="96"/>
    </row>
    <row r="397">
      <c r="A397" s="87"/>
      <c r="B397" s="87"/>
      <c r="C397" s="87"/>
      <c r="D397" s="87"/>
      <c r="E397" s="87"/>
      <c r="F397" s="87"/>
      <c r="G397" s="87"/>
      <c r="H397" s="88" t="str">
        <f t="shared" si="1"/>
        <v/>
      </c>
      <c r="I397" s="87"/>
      <c r="J397" s="89" t="str">
        <f t="shared" si="2"/>
        <v/>
      </c>
      <c r="K397" s="90"/>
      <c r="L397" s="89" t="str">
        <f t="shared" si="3"/>
        <v/>
      </c>
      <c r="M397" s="89"/>
      <c r="N397" s="93">
        <f t="shared" si="5"/>
        <v>0</v>
      </c>
      <c r="O397" s="94">
        <f t="shared" si="6"/>
        <v>0</v>
      </c>
      <c r="P397" s="87"/>
      <c r="Q397" s="87"/>
      <c r="R397" s="89" t="str">
        <f t="shared" si="7"/>
        <v/>
      </c>
      <c r="S397" s="90"/>
      <c r="T397" s="89" t="str">
        <f t="shared" si="8"/>
        <v/>
      </c>
      <c r="U397" s="95"/>
      <c r="V397" s="87"/>
      <c r="W397" s="87"/>
      <c r="X397" s="89" t="str">
        <f t="shared" si="9"/>
        <v/>
      </c>
      <c r="Y397" s="90"/>
      <c r="Z397" s="89" t="str">
        <f t="shared" si="10"/>
        <v/>
      </c>
      <c r="AA397" s="95"/>
      <c r="AB397" s="88" t="str">
        <f t="shared" si="27"/>
        <v/>
      </c>
      <c r="AC397" s="87"/>
      <c r="AD397" s="89" t="str">
        <f t="shared" si="11"/>
        <v/>
      </c>
      <c r="AE397" s="90"/>
      <c r="AF397" s="89" t="str">
        <f t="shared" si="12"/>
        <v/>
      </c>
      <c r="AG397" s="96"/>
      <c r="AH397" s="88" t="str">
        <f t="shared" si="13"/>
        <v/>
      </c>
      <c r="AI397" s="87"/>
      <c r="AJ397" s="89" t="str">
        <f t="shared" si="14"/>
        <v/>
      </c>
      <c r="AK397" s="90"/>
      <c r="AL397" s="89" t="str">
        <f t="shared" si="15"/>
        <v/>
      </c>
      <c r="AM397" s="89"/>
      <c r="AN397" s="93">
        <f t="shared" si="17"/>
        <v>0</v>
      </c>
      <c r="AO397" s="94">
        <f t="shared" si="18"/>
        <v>0</v>
      </c>
      <c r="AP397" s="87"/>
      <c r="AQ397" s="87"/>
      <c r="AR397" s="89" t="str">
        <f t="shared" si="19"/>
        <v/>
      </c>
      <c r="AS397" s="90"/>
      <c r="AT397" s="89" t="str">
        <f t="shared" si="20"/>
        <v/>
      </c>
      <c r="AU397" s="95"/>
      <c r="AV397" s="87"/>
      <c r="AW397" s="87"/>
      <c r="AX397" s="89" t="str">
        <f t="shared" si="21"/>
        <v/>
      </c>
      <c r="AY397" s="90"/>
      <c r="AZ397" s="89" t="str">
        <f t="shared" si="22"/>
        <v/>
      </c>
      <c r="BA397" s="95"/>
      <c r="BB397" s="88" t="str">
        <f t="shared" si="28"/>
        <v/>
      </c>
      <c r="BC397" s="87"/>
      <c r="BD397" s="89" t="str">
        <f t="shared" si="23"/>
        <v/>
      </c>
      <c r="BE397" s="90"/>
      <c r="BF397" s="89" t="str">
        <f t="shared" si="24"/>
        <v/>
      </c>
      <c r="BG397" s="96"/>
    </row>
    <row r="398">
      <c r="A398" s="87"/>
      <c r="B398" s="87"/>
      <c r="C398" s="87"/>
      <c r="D398" s="87"/>
      <c r="E398" s="87"/>
      <c r="F398" s="87"/>
      <c r="G398" s="87"/>
      <c r="H398" s="88" t="str">
        <f t="shared" si="1"/>
        <v/>
      </c>
      <c r="I398" s="87"/>
      <c r="J398" s="89" t="str">
        <f t="shared" si="2"/>
        <v/>
      </c>
      <c r="K398" s="90"/>
      <c r="L398" s="89" t="str">
        <f t="shared" si="3"/>
        <v/>
      </c>
      <c r="M398" s="89"/>
      <c r="N398" s="93">
        <f t="shared" si="5"/>
        <v>0</v>
      </c>
      <c r="O398" s="94">
        <f t="shared" si="6"/>
        <v>0</v>
      </c>
      <c r="P398" s="87"/>
      <c r="Q398" s="87"/>
      <c r="R398" s="89" t="str">
        <f t="shared" si="7"/>
        <v/>
      </c>
      <c r="S398" s="90"/>
      <c r="T398" s="89" t="str">
        <f t="shared" si="8"/>
        <v/>
      </c>
      <c r="U398" s="95"/>
      <c r="V398" s="87"/>
      <c r="W398" s="87"/>
      <c r="X398" s="89" t="str">
        <f t="shared" si="9"/>
        <v/>
      </c>
      <c r="Y398" s="90"/>
      <c r="Z398" s="89" t="str">
        <f t="shared" si="10"/>
        <v/>
      </c>
      <c r="AA398" s="95"/>
      <c r="AB398" s="88" t="str">
        <f t="shared" si="27"/>
        <v/>
      </c>
      <c r="AC398" s="87"/>
      <c r="AD398" s="89" t="str">
        <f t="shared" si="11"/>
        <v/>
      </c>
      <c r="AE398" s="90"/>
      <c r="AF398" s="89" t="str">
        <f t="shared" si="12"/>
        <v/>
      </c>
      <c r="AG398" s="96"/>
      <c r="AH398" s="88" t="str">
        <f t="shared" si="13"/>
        <v/>
      </c>
      <c r="AI398" s="87"/>
      <c r="AJ398" s="89" t="str">
        <f t="shared" si="14"/>
        <v/>
      </c>
      <c r="AK398" s="90"/>
      <c r="AL398" s="89" t="str">
        <f t="shared" si="15"/>
        <v/>
      </c>
      <c r="AM398" s="89"/>
      <c r="AN398" s="93">
        <f t="shared" si="17"/>
        <v>0</v>
      </c>
      <c r="AO398" s="94">
        <f t="shared" si="18"/>
        <v>0</v>
      </c>
      <c r="AP398" s="87"/>
      <c r="AQ398" s="87"/>
      <c r="AR398" s="89" t="str">
        <f t="shared" si="19"/>
        <v/>
      </c>
      <c r="AS398" s="90"/>
      <c r="AT398" s="89" t="str">
        <f t="shared" si="20"/>
        <v/>
      </c>
      <c r="AU398" s="95"/>
      <c r="AV398" s="87"/>
      <c r="AW398" s="87"/>
      <c r="AX398" s="89" t="str">
        <f t="shared" si="21"/>
        <v/>
      </c>
      <c r="AY398" s="90"/>
      <c r="AZ398" s="89" t="str">
        <f t="shared" si="22"/>
        <v/>
      </c>
      <c r="BA398" s="95"/>
      <c r="BB398" s="88" t="str">
        <f t="shared" si="28"/>
        <v/>
      </c>
      <c r="BC398" s="87"/>
      <c r="BD398" s="89" t="str">
        <f t="shared" si="23"/>
        <v/>
      </c>
      <c r="BE398" s="90"/>
      <c r="BF398" s="89" t="str">
        <f t="shared" si="24"/>
        <v/>
      </c>
      <c r="BG398" s="96"/>
    </row>
    <row r="399">
      <c r="A399" s="87"/>
      <c r="B399" s="87"/>
      <c r="C399" s="87"/>
      <c r="D399" s="87"/>
      <c r="E399" s="87"/>
      <c r="F399" s="87"/>
      <c r="G399" s="87"/>
      <c r="H399" s="88" t="str">
        <f t="shared" si="1"/>
        <v/>
      </c>
      <c r="I399" s="87"/>
      <c r="J399" s="89" t="str">
        <f t="shared" si="2"/>
        <v/>
      </c>
      <c r="K399" s="90"/>
      <c r="L399" s="89" t="str">
        <f t="shared" si="3"/>
        <v/>
      </c>
      <c r="M399" s="89"/>
      <c r="N399" s="93">
        <f t="shared" si="5"/>
        <v>0</v>
      </c>
      <c r="O399" s="94">
        <f t="shared" si="6"/>
        <v>0</v>
      </c>
      <c r="P399" s="87"/>
      <c r="Q399" s="87"/>
      <c r="R399" s="89" t="str">
        <f t="shared" si="7"/>
        <v/>
      </c>
      <c r="S399" s="90"/>
      <c r="T399" s="89" t="str">
        <f t="shared" si="8"/>
        <v/>
      </c>
      <c r="U399" s="95"/>
      <c r="V399" s="87"/>
      <c r="W399" s="87"/>
      <c r="X399" s="89" t="str">
        <f t="shared" si="9"/>
        <v/>
      </c>
      <c r="Y399" s="90"/>
      <c r="Z399" s="89" t="str">
        <f t="shared" si="10"/>
        <v/>
      </c>
      <c r="AA399" s="95"/>
      <c r="AB399" s="88" t="str">
        <f t="shared" si="27"/>
        <v/>
      </c>
      <c r="AC399" s="87"/>
      <c r="AD399" s="89" t="str">
        <f t="shared" si="11"/>
        <v/>
      </c>
      <c r="AE399" s="90"/>
      <c r="AF399" s="89" t="str">
        <f t="shared" si="12"/>
        <v/>
      </c>
      <c r="AG399" s="96"/>
      <c r="AH399" s="88" t="str">
        <f t="shared" si="13"/>
        <v/>
      </c>
      <c r="AI399" s="87"/>
      <c r="AJ399" s="89" t="str">
        <f t="shared" si="14"/>
        <v/>
      </c>
      <c r="AK399" s="90"/>
      <c r="AL399" s="89" t="str">
        <f t="shared" si="15"/>
        <v/>
      </c>
      <c r="AM399" s="89"/>
      <c r="AN399" s="93">
        <f t="shared" si="17"/>
        <v>0</v>
      </c>
      <c r="AO399" s="94">
        <f t="shared" si="18"/>
        <v>0</v>
      </c>
      <c r="AP399" s="87"/>
      <c r="AQ399" s="87"/>
      <c r="AR399" s="89" t="str">
        <f t="shared" si="19"/>
        <v/>
      </c>
      <c r="AS399" s="90"/>
      <c r="AT399" s="89" t="str">
        <f t="shared" si="20"/>
        <v/>
      </c>
      <c r="AU399" s="95"/>
      <c r="AV399" s="87"/>
      <c r="AW399" s="87"/>
      <c r="AX399" s="89" t="str">
        <f t="shared" si="21"/>
        <v/>
      </c>
      <c r="AY399" s="90"/>
      <c r="AZ399" s="89" t="str">
        <f t="shared" si="22"/>
        <v/>
      </c>
      <c r="BA399" s="95"/>
      <c r="BB399" s="88" t="str">
        <f t="shared" si="28"/>
        <v/>
      </c>
      <c r="BC399" s="87"/>
      <c r="BD399" s="89" t="str">
        <f t="shared" si="23"/>
        <v/>
      </c>
      <c r="BE399" s="90"/>
      <c r="BF399" s="89" t="str">
        <f t="shared" si="24"/>
        <v/>
      </c>
      <c r="BG399" s="96"/>
    </row>
  </sheetData>
  <mergeCells count="18">
    <mergeCell ref="W1:AA1"/>
    <mergeCell ref="AC1:AF1"/>
    <mergeCell ref="AH1:AO1"/>
    <mergeCell ref="AQ1:AU1"/>
    <mergeCell ref="AW1:BA1"/>
    <mergeCell ref="BC1:BF1"/>
    <mergeCell ref="AG1:AG2"/>
    <mergeCell ref="AP1:AP2"/>
    <mergeCell ref="AV1:AV2"/>
    <mergeCell ref="BB1:BB2"/>
    <mergeCell ref="BG1:BG2"/>
    <mergeCell ref="A1:C1"/>
    <mergeCell ref="D1:G1"/>
    <mergeCell ref="H1:O1"/>
    <mergeCell ref="P1:P2"/>
    <mergeCell ref="Q1:U1"/>
    <mergeCell ref="V1:V2"/>
    <mergeCell ref="AB1:AB2"/>
  </mergeCells>
  <dataValidations>
    <dataValidation type="list" allowBlank="1" showErrorMessage="1" sqref="U3:U399 AA3:AA399 AU3:AU399 BA3:BA399">
      <formula1>"10%,20%,30%,40%,50%,60%,70%,80%,90%,100%"</formula1>
    </dataValidation>
    <dataValidation type="list" allowBlank="1" showErrorMessage="1" sqref="G3:G399 I3:I399 Q3:Q399 W3:W399 AC3:AC399 AI3:AI399 AQ3:AQ399 AW3:AW399 BC3:BC399">
      <formula1>'List Personnel'!$A$2:$A$190</formula1>
    </dataValidation>
    <dataValidation type="list" allowBlank="1" showErrorMessage="1" sqref="D3:F399">
      <formula1>"1,2,3,4,5"</formula1>
    </dataValidation>
    <dataValidation type="list" allowBlank="1" showErrorMessage="1" sqref="K3:K399 S3:S399 Y3:Y399 AE3:AE399 AK3:AK399 AS3:AS399 AY3:AY399 BE3:BE399">
      <formula1>"Ongoing,Done,Pending,Revision"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7.13"/>
    <col customWidth="1" min="2" max="2" width="25.25"/>
    <col customWidth="1" min="3" max="3" width="38.38"/>
    <col customWidth="1" min="4" max="4" width="6.13"/>
    <col customWidth="1" min="5" max="6" width="20.88"/>
    <col collapsed="1" customWidth="1" min="8" max="8" width="19.13"/>
    <col hidden="1" min="9" max="11" width="12.63" outlineLevel="1"/>
  </cols>
  <sheetData>
    <row r="1">
      <c r="A1" s="97" t="s">
        <v>24</v>
      </c>
      <c r="B1" s="97" t="s">
        <v>362</v>
      </c>
      <c r="C1" s="97" t="s">
        <v>363</v>
      </c>
      <c r="D1" s="98" t="s">
        <v>364</v>
      </c>
      <c r="E1" s="99" t="s">
        <v>36</v>
      </c>
      <c r="F1" s="100" t="s">
        <v>38</v>
      </c>
      <c r="G1" s="100" t="s">
        <v>39</v>
      </c>
      <c r="H1" s="100" t="s">
        <v>40</v>
      </c>
      <c r="I1" s="17" t="s">
        <v>42</v>
      </c>
      <c r="J1" s="17" t="s">
        <v>44</v>
      </c>
      <c r="K1" s="17" t="s">
        <v>45</v>
      </c>
    </row>
    <row r="2">
      <c r="A2" s="22" t="str">
        <f t="shared" ref="A2:A29" si="1">IF(B2="","",COUNTA($A$2:A2))</f>
        <v/>
      </c>
      <c r="B2" s="20"/>
      <c r="C2" s="20"/>
      <c r="D2" s="20"/>
      <c r="E2" s="23"/>
      <c r="F2" s="45" t="str">
        <f>if(E2="Done", if(F2="",NOW(),F2),"")</f>
        <v/>
      </c>
      <c r="G2" s="25"/>
      <c r="H2" s="45" t="str">
        <f t="shared" ref="H2:H5" si="2">if(G2="Done", if(H2="",NOW(),H2),"")</f>
        <v/>
      </c>
      <c r="I2" s="29" t="str">
        <f t="shared" ref="I2:I29" si="3">IF(AND(F2&lt;&gt;"",H2&lt;&gt;""),(H2-F2)*1440,"")</f>
        <v/>
      </c>
      <c r="J2" s="29">
        <f t="shared" ref="J2:J29" si="4">IF(
  INT(F2)=INT(H2),
  IF(
    AND(MOD(F2,1)&lt;TIME(12,0,0), MOD(H2,1)&gt;TIME(12,0,0)),
    60,
    0
  ),
  IF(
    MOD(H2,1)&lt;=TIME(12,0,0),
    (INT(H2)-INT(F2))*960,
    (INT(H2)-INT(F2))*1020
  )
)</f>
        <v>0</v>
      </c>
      <c r="K2" s="29">
        <f t="shared" ref="K2:K29" si="5">(I2-J2)/60</f>
        <v>0</v>
      </c>
    </row>
    <row r="3">
      <c r="A3" s="22">
        <f t="shared" si="1"/>
        <v>2</v>
      </c>
      <c r="B3" s="20" t="s">
        <v>366</v>
      </c>
      <c r="C3" s="20" t="s">
        <v>367</v>
      </c>
      <c r="D3" s="20">
        <v>2.0</v>
      </c>
      <c r="E3" s="23" t="s">
        <v>67</v>
      </c>
      <c r="F3" s="40">
        <f>if(E3&lt;&gt;"", if(F3="",NOW(),F3),"")</f>
        <v>46307.46439</v>
      </c>
      <c r="G3" s="25" t="s">
        <v>69</v>
      </c>
      <c r="H3" s="40">
        <f t="shared" si="2"/>
        <v>46307.66581</v>
      </c>
      <c r="I3" s="29">
        <f t="shared" si="3"/>
        <v>290.0423833</v>
      </c>
      <c r="J3" s="29">
        <f t="shared" si="4"/>
        <v>60</v>
      </c>
      <c r="K3" s="29">
        <f t="shared" si="5"/>
        <v>3.834039722</v>
      </c>
    </row>
    <row r="4">
      <c r="A4" s="22">
        <f t="shared" si="1"/>
        <v>3</v>
      </c>
      <c r="B4" s="20" t="s">
        <v>366</v>
      </c>
      <c r="C4" s="20" t="s">
        <v>367</v>
      </c>
      <c r="D4" s="20">
        <v>4.0</v>
      </c>
      <c r="E4" s="23" t="s">
        <v>67</v>
      </c>
      <c r="F4" s="53">
        <v>46308.416666666664</v>
      </c>
      <c r="G4" s="25" t="s">
        <v>69</v>
      </c>
      <c r="H4" s="40">
        <f t="shared" si="2"/>
        <v>46308.66419</v>
      </c>
      <c r="I4" s="29">
        <f t="shared" si="3"/>
        <v>356.4379667</v>
      </c>
      <c r="J4" s="29">
        <f t="shared" si="4"/>
        <v>60</v>
      </c>
      <c r="K4" s="29">
        <f t="shared" si="5"/>
        <v>4.940632778</v>
      </c>
    </row>
    <row r="5">
      <c r="A5" s="22">
        <f t="shared" si="1"/>
        <v>4</v>
      </c>
      <c r="B5" s="20" t="s">
        <v>366</v>
      </c>
      <c r="C5" s="101" t="s">
        <v>367</v>
      </c>
      <c r="D5" s="20">
        <v>5.0</v>
      </c>
      <c r="E5" s="23" t="s">
        <v>67</v>
      </c>
      <c r="F5" s="40">
        <f>if(E5&lt;&gt;"", if(F5="",NOW(),F5),"")</f>
        <v>46309.56643</v>
      </c>
      <c r="G5" s="25" t="s">
        <v>69</v>
      </c>
      <c r="H5" s="40">
        <f t="shared" si="2"/>
        <v>46309.6993</v>
      </c>
      <c r="I5" s="29">
        <f t="shared" si="3"/>
        <v>191.3302667</v>
      </c>
      <c r="J5" s="29">
        <f t="shared" si="4"/>
        <v>0</v>
      </c>
      <c r="K5" s="29">
        <f t="shared" si="5"/>
        <v>3.188837778</v>
      </c>
    </row>
    <row r="6">
      <c r="A6" s="22" t="str">
        <f t="shared" si="1"/>
        <v/>
      </c>
      <c r="B6" s="20"/>
      <c r="C6" s="102" t="s">
        <v>369</v>
      </c>
      <c r="D6" s="20"/>
      <c r="E6" s="23" t="s">
        <v>194</v>
      </c>
      <c r="F6" s="53">
        <v>46315.395844907405</v>
      </c>
      <c r="G6" s="25" t="s">
        <v>69</v>
      </c>
      <c r="H6" s="53">
        <v>46315.56909722222</v>
      </c>
      <c r="I6" s="29">
        <f t="shared" si="3"/>
        <v>249.4833333</v>
      </c>
      <c r="J6" s="29">
        <f t="shared" si="4"/>
        <v>60</v>
      </c>
      <c r="K6" s="29">
        <f t="shared" si="5"/>
        <v>3.158055556</v>
      </c>
    </row>
    <row r="7">
      <c r="A7" s="22" t="str">
        <f t="shared" si="1"/>
        <v/>
      </c>
      <c r="B7" s="20"/>
      <c r="C7" s="20" t="s">
        <v>370</v>
      </c>
      <c r="D7" s="20"/>
      <c r="E7" s="23" t="s">
        <v>194</v>
      </c>
      <c r="F7" s="40">
        <f t="shared" ref="F7:F29" si="6">if(E7&lt;&gt;"", if(F7="",NOW(),F7),"")</f>
        <v>46315.57302</v>
      </c>
      <c r="G7" s="25" t="s">
        <v>69</v>
      </c>
      <c r="H7" s="53">
        <v>46315.7084375</v>
      </c>
      <c r="I7" s="29">
        <f t="shared" si="3"/>
        <v>195.0003333</v>
      </c>
      <c r="J7" s="29">
        <f t="shared" si="4"/>
        <v>0</v>
      </c>
      <c r="K7" s="29">
        <f t="shared" si="5"/>
        <v>3.250005556</v>
      </c>
    </row>
    <row r="8">
      <c r="A8" s="22" t="str">
        <f t="shared" si="1"/>
        <v/>
      </c>
      <c r="B8" s="20"/>
      <c r="C8" s="20"/>
      <c r="D8" s="20"/>
      <c r="E8" s="23"/>
      <c r="F8" s="45" t="str">
        <f t="shared" si="6"/>
        <v/>
      </c>
      <c r="G8" s="25"/>
      <c r="H8" s="45" t="str">
        <f t="shared" ref="H8:H29" si="7">if(G8="Done", if(H8="",NOW(),H8),"")</f>
        <v/>
      </c>
      <c r="I8" s="29" t="str">
        <f t="shared" si="3"/>
        <v/>
      </c>
      <c r="J8" s="29">
        <f t="shared" si="4"/>
        <v>0</v>
      </c>
      <c r="K8" s="29">
        <f t="shared" si="5"/>
        <v>0</v>
      </c>
    </row>
    <row r="9">
      <c r="A9" s="22" t="str">
        <f t="shared" si="1"/>
        <v/>
      </c>
      <c r="B9" s="20"/>
      <c r="C9" s="20"/>
      <c r="D9" s="20"/>
      <c r="E9" s="23"/>
      <c r="F9" s="45" t="str">
        <f t="shared" si="6"/>
        <v/>
      </c>
      <c r="G9" s="25"/>
      <c r="H9" s="45" t="str">
        <f t="shared" si="7"/>
        <v/>
      </c>
      <c r="I9" s="29" t="str">
        <f t="shared" si="3"/>
        <v/>
      </c>
      <c r="J9" s="29">
        <f t="shared" si="4"/>
        <v>0</v>
      </c>
      <c r="K9" s="29">
        <f t="shared" si="5"/>
        <v>0</v>
      </c>
    </row>
    <row r="10">
      <c r="A10" s="22" t="str">
        <f t="shared" si="1"/>
        <v/>
      </c>
      <c r="B10" s="20"/>
      <c r="C10" s="20"/>
      <c r="D10" s="20"/>
      <c r="E10" s="23"/>
      <c r="F10" s="45" t="str">
        <f t="shared" si="6"/>
        <v/>
      </c>
      <c r="G10" s="25"/>
      <c r="H10" s="45" t="str">
        <f t="shared" si="7"/>
        <v/>
      </c>
      <c r="I10" s="29" t="str">
        <f t="shared" si="3"/>
        <v/>
      </c>
      <c r="J10" s="29">
        <f t="shared" si="4"/>
        <v>0</v>
      </c>
      <c r="K10" s="29">
        <f t="shared" si="5"/>
        <v>0</v>
      </c>
    </row>
    <row r="11">
      <c r="A11" s="22" t="str">
        <f t="shared" si="1"/>
        <v/>
      </c>
      <c r="B11" s="20"/>
      <c r="C11" s="20"/>
      <c r="D11" s="20"/>
      <c r="E11" s="23"/>
      <c r="F11" s="45" t="str">
        <f t="shared" si="6"/>
        <v/>
      </c>
      <c r="G11" s="25"/>
      <c r="H11" s="45" t="str">
        <f t="shared" si="7"/>
        <v/>
      </c>
      <c r="I11" s="29" t="str">
        <f t="shared" si="3"/>
        <v/>
      </c>
      <c r="J11" s="29">
        <f t="shared" si="4"/>
        <v>0</v>
      </c>
      <c r="K11" s="29">
        <f t="shared" si="5"/>
        <v>0</v>
      </c>
    </row>
    <row r="12">
      <c r="A12" s="22" t="str">
        <f t="shared" si="1"/>
        <v/>
      </c>
      <c r="B12" s="20"/>
      <c r="C12" s="20"/>
      <c r="D12" s="20"/>
      <c r="E12" s="23"/>
      <c r="F12" s="45" t="str">
        <f t="shared" si="6"/>
        <v/>
      </c>
      <c r="G12" s="25"/>
      <c r="H12" s="45" t="str">
        <f t="shared" si="7"/>
        <v/>
      </c>
      <c r="I12" s="29" t="str">
        <f t="shared" si="3"/>
        <v/>
      </c>
      <c r="J12" s="29">
        <f t="shared" si="4"/>
        <v>0</v>
      </c>
      <c r="K12" s="29">
        <f t="shared" si="5"/>
        <v>0</v>
      </c>
    </row>
    <row r="13">
      <c r="A13" s="22" t="str">
        <f t="shared" si="1"/>
        <v/>
      </c>
      <c r="B13" s="20"/>
      <c r="C13" s="20"/>
      <c r="D13" s="20"/>
      <c r="E13" s="23"/>
      <c r="F13" s="45" t="str">
        <f t="shared" si="6"/>
        <v/>
      </c>
      <c r="G13" s="25"/>
      <c r="H13" s="45" t="str">
        <f t="shared" si="7"/>
        <v/>
      </c>
      <c r="I13" s="29" t="str">
        <f t="shared" si="3"/>
        <v/>
      </c>
      <c r="J13" s="29">
        <f t="shared" si="4"/>
        <v>0</v>
      </c>
      <c r="K13" s="29">
        <f t="shared" si="5"/>
        <v>0</v>
      </c>
    </row>
    <row r="14">
      <c r="A14" s="22" t="str">
        <f t="shared" si="1"/>
        <v/>
      </c>
      <c r="B14" s="20"/>
      <c r="C14" s="20"/>
      <c r="D14" s="20"/>
      <c r="E14" s="23"/>
      <c r="F14" s="45" t="str">
        <f t="shared" si="6"/>
        <v/>
      </c>
      <c r="G14" s="25"/>
      <c r="H14" s="45" t="str">
        <f t="shared" si="7"/>
        <v/>
      </c>
      <c r="I14" s="29" t="str">
        <f t="shared" si="3"/>
        <v/>
      </c>
      <c r="J14" s="29">
        <f t="shared" si="4"/>
        <v>0</v>
      </c>
      <c r="K14" s="29">
        <f t="shared" si="5"/>
        <v>0</v>
      </c>
    </row>
    <row r="15">
      <c r="A15" s="22" t="str">
        <f t="shared" si="1"/>
        <v/>
      </c>
      <c r="B15" s="20"/>
      <c r="C15" s="20"/>
      <c r="D15" s="20"/>
      <c r="E15" s="23"/>
      <c r="F15" s="45" t="str">
        <f t="shared" si="6"/>
        <v/>
      </c>
      <c r="G15" s="25"/>
      <c r="H15" s="45" t="str">
        <f t="shared" si="7"/>
        <v/>
      </c>
      <c r="I15" s="29" t="str">
        <f t="shared" si="3"/>
        <v/>
      </c>
      <c r="J15" s="29">
        <f t="shared" si="4"/>
        <v>0</v>
      </c>
      <c r="K15" s="29">
        <f t="shared" si="5"/>
        <v>0</v>
      </c>
    </row>
    <row r="16">
      <c r="A16" s="22" t="str">
        <f t="shared" si="1"/>
        <v/>
      </c>
      <c r="B16" s="20"/>
      <c r="C16" s="20"/>
      <c r="D16" s="20"/>
      <c r="E16" s="23"/>
      <c r="F16" s="45" t="str">
        <f t="shared" si="6"/>
        <v/>
      </c>
      <c r="G16" s="25"/>
      <c r="H16" s="45" t="str">
        <f t="shared" si="7"/>
        <v/>
      </c>
      <c r="I16" s="29" t="str">
        <f t="shared" si="3"/>
        <v/>
      </c>
      <c r="J16" s="29">
        <f t="shared" si="4"/>
        <v>0</v>
      </c>
      <c r="K16" s="29">
        <f t="shared" si="5"/>
        <v>0</v>
      </c>
    </row>
    <row r="17">
      <c r="A17" s="22" t="str">
        <f t="shared" si="1"/>
        <v/>
      </c>
      <c r="B17" s="20"/>
      <c r="C17" s="20"/>
      <c r="D17" s="20"/>
      <c r="E17" s="23"/>
      <c r="F17" s="45" t="str">
        <f t="shared" si="6"/>
        <v/>
      </c>
      <c r="G17" s="25"/>
      <c r="H17" s="45" t="str">
        <f t="shared" si="7"/>
        <v/>
      </c>
      <c r="I17" s="29" t="str">
        <f t="shared" si="3"/>
        <v/>
      </c>
      <c r="J17" s="29">
        <f t="shared" si="4"/>
        <v>0</v>
      </c>
      <c r="K17" s="29">
        <f t="shared" si="5"/>
        <v>0</v>
      </c>
    </row>
    <row r="18">
      <c r="A18" s="22" t="str">
        <f t="shared" si="1"/>
        <v/>
      </c>
      <c r="B18" s="20"/>
      <c r="C18" s="20"/>
      <c r="D18" s="20"/>
      <c r="E18" s="23"/>
      <c r="F18" s="45" t="str">
        <f t="shared" si="6"/>
        <v/>
      </c>
      <c r="G18" s="25"/>
      <c r="H18" s="45" t="str">
        <f t="shared" si="7"/>
        <v/>
      </c>
      <c r="I18" s="29" t="str">
        <f t="shared" si="3"/>
        <v/>
      </c>
      <c r="J18" s="29">
        <f t="shared" si="4"/>
        <v>0</v>
      </c>
      <c r="K18" s="29">
        <f t="shared" si="5"/>
        <v>0</v>
      </c>
    </row>
    <row r="19">
      <c r="A19" s="22" t="str">
        <f t="shared" si="1"/>
        <v/>
      </c>
      <c r="B19" s="20"/>
      <c r="C19" s="20"/>
      <c r="D19" s="20"/>
      <c r="E19" s="23"/>
      <c r="F19" s="45" t="str">
        <f t="shared" si="6"/>
        <v/>
      </c>
      <c r="G19" s="25"/>
      <c r="H19" s="45" t="str">
        <f t="shared" si="7"/>
        <v/>
      </c>
      <c r="I19" s="29" t="str">
        <f t="shared" si="3"/>
        <v/>
      </c>
      <c r="J19" s="29">
        <f t="shared" si="4"/>
        <v>0</v>
      </c>
      <c r="K19" s="29">
        <f t="shared" si="5"/>
        <v>0</v>
      </c>
    </row>
    <row r="20">
      <c r="A20" s="22" t="str">
        <f t="shared" si="1"/>
        <v/>
      </c>
      <c r="B20" s="20"/>
      <c r="C20" s="20"/>
      <c r="D20" s="20"/>
      <c r="E20" s="23"/>
      <c r="F20" s="45" t="str">
        <f t="shared" si="6"/>
        <v/>
      </c>
      <c r="G20" s="25"/>
      <c r="H20" s="45" t="str">
        <f t="shared" si="7"/>
        <v/>
      </c>
      <c r="I20" s="29" t="str">
        <f t="shared" si="3"/>
        <v/>
      </c>
      <c r="J20" s="29">
        <f t="shared" si="4"/>
        <v>0</v>
      </c>
      <c r="K20" s="29">
        <f t="shared" si="5"/>
        <v>0</v>
      </c>
    </row>
    <row r="21">
      <c r="A21" s="22" t="str">
        <f t="shared" si="1"/>
        <v/>
      </c>
      <c r="B21" s="20"/>
      <c r="C21" s="20"/>
      <c r="D21" s="20"/>
      <c r="E21" s="23"/>
      <c r="F21" s="45" t="str">
        <f t="shared" si="6"/>
        <v/>
      </c>
      <c r="G21" s="25"/>
      <c r="H21" s="45" t="str">
        <f t="shared" si="7"/>
        <v/>
      </c>
      <c r="I21" s="29" t="str">
        <f t="shared" si="3"/>
        <v/>
      </c>
      <c r="J21" s="29">
        <f t="shared" si="4"/>
        <v>0</v>
      </c>
      <c r="K21" s="29">
        <f t="shared" si="5"/>
        <v>0</v>
      </c>
    </row>
    <row r="22">
      <c r="A22" s="22" t="str">
        <f t="shared" si="1"/>
        <v/>
      </c>
      <c r="B22" s="20"/>
      <c r="C22" s="20"/>
      <c r="D22" s="20"/>
      <c r="E22" s="23"/>
      <c r="F22" s="45" t="str">
        <f t="shared" si="6"/>
        <v/>
      </c>
      <c r="G22" s="25"/>
      <c r="H22" s="45" t="str">
        <f t="shared" si="7"/>
        <v/>
      </c>
      <c r="I22" s="29" t="str">
        <f t="shared" si="3"/>
        <v/>
      </c>
      <c r="J22" s="29">
        <f t="shared" si="4"/>
        <v>0</v>
      </c>
      <c r="K22" s="29">
        <f t="shared" si="5"/>
        <v>0</v>
      </c>
    </row>
    <row r="23">
      <c r="A23" s="22" t="str">
        <f t="shared" si="1"/>
        <v/>
      </c>
      <c r="B23" s="20"/>
      <c r="C23" s="20"/>
      <c r="D23" s="20"/>
      <c r="E23" s="23"/>
      <c r="F23" s="45" t="str">
        <f t="shared" si="6"/>
        <v/>
      </c>
      <c r="G23" s="25"/>
      <c r="H23" s="45" t="str">
        <f t="shared" si="7"/>
        <v/>
      </c>
      <c r="I23" s="29" t="str">
        <f t="shared" si="3"/>
        <v/>
      </c>
      <c r="J23" s="29">
        <f t="shared" si="4"/>
        <v>0</v>
      </c>
      <c r="K23" s="29">
        <f t="shared" si="5"/>
        <v>0</v>
      </c>
    </row>
    <row r="24">
      <c r="A24" s="22" t="str">
        <f t="shared" si="1"/>
        <v/>
      </c>
      <c r="B24" s="20"/>
      <c r="C24" s="20"/>
      <c r="D24" s="20"/>
      <c r="E24" s="23"/>
      <c r="F24" s="45" t="str">
        <f t="shared" si="6"/>
        <v/>
      </c>
      <c r="G24" s="25"/>
      <c r="H24" s="45" t="str">
        <f t="shared" si="7"/>
        <v/>
      </c>
      <c r="I24" s="29" t="str">
        <f t="shared" si="3"/>
        <v/>
      </c>
      <c r="J24" s="29">
        <f t="shared" si="4"/>
        <v>0</v>
      </c>
      <c r="K24" s="29">
        <f t="shared" si="5"/>
        <v>0</v>
      </c>
    </row>
    <row r="25">
      <c r="A25" s="22" t="str">
        <f t="shared" si="1"/>
        <v/>
      </c>
      <c r="B25" s="20"/>
      <c r="C25" s="20"/>
      <c r="D25" s="20"/>
      <c r="E25" s="23"/>
      <c r="F25" s="45" t="str">
        <f t="shared" si="6"/>
        <v/>
      </c>
      <c r="G25" s="25"/>
      <c r="H25" s="45" t="str">
        <f t="shared" si="7"/>
        <v/>
      </c>
      <c r="I25" s="29" t="str">
        <f t="shared" si="3"/>
        <v/>
      </c>
      <c r="J25" s="29">
        <f t="shared" si="4"/>
        <v>0</v>
      </c>
      <c r="K25" s="29">
        <f t="shared" si="5"/>
        <v>0</v>
      </c>
    </row>
    <row r="26">
      <c r="A26" s="22" t="str">
        <f t="shared" si="1"/>
        <v/>
      </c>
      <c r="B26" s="20"/>
      <c r="C26" s="20"/>
      <c r="D26" s="20"/>
      <c r="E26" s="23"/>
      <c r="F26" s="45" t="str">
        <f t="shared" si="6"/>
        <v/>
      </c>
      <c r="G26" s="25"/>
      <c r="H26" s="45" t="str">
        <f t="shared" si="7"/>
        <v/>
      </c>
      <c r="I26" s="29" t="str">
        <f t="shared" si="3"/>
        <v/>
      </c>
      <c r="J26" s="29">
        <f t="shared" si="4"/>
        <v>0</v>
      </c>
      <c r="K26" s="29">
        <f t="shared" si="5"/>
        <v>0</v>
      </c>
    </row>
    <row r="27">
      <c r="A27" s="22" t="str">
        <f t="shared" si="1"/>
        <v/>
      </c>
      <c r="B27" s="20"/>
      <c r="C27" s="20"/>
      <c r="D27" s="20"/>
      <c r="E27" s="23"/>
      <c r="F27" s="45" t="str">
        <f t="shared" si="6"/>
        <v/>
      </c>
      <c r="G27" s="25"/>
      <c r="H27" s="45" t="str">
        <f t="shared" si="7"/>
        <v/>
      </c>
      <c r="I27" s="29" t="str">
        <f t="shared" si="3"/>
        <v/>
      </c>
      <c r="J27" s="29">
        <f t="shared" si="4"/>
        <v>0</v>
      </c>
      <c r="K27" s="29">
        <f t="shared" si="5"/>
        <v>0</v>
      </c>
    </row>
    <row r="28">
      <c r="A28" s="22" t="str">
        <f t="shared" si="1"/>
        <v/>
      </c>
      <c r="B28" s="20"/>
      <c r="C28" s="20"/>
      <c r="D28" s="20"/>
      <c r="E28" s="23"/>
      <c r="F28" s="45" t="str">
        <f t="shared" si="6"/>
        <v/>
      </c>
      <c r="G28" s="25"/>
      <c r="H28" s="45" t="str">
        <f t="shared" si="7"/>
        <v/>
      </c>
      <c r="I28" s="29" t="str">
        <f t="shared" si="3"/>
        <v/>
      </c>
      <c r="J28" s="29">
        <f t="shared" si="4"/>
        <v>0</v>
      </c>
      <c r="K28" s="29">
        <f t="shared" si="5"/>
        <v>0</v>
      </c>
    </row>
    <row r="29">
      <c r="A29" s="22" t="str">
        <f t="shared" si="1"/>
        <v/>
      </c>
      <c r="B29" s="20"/>
      <c r="C29" s="20"/>
      <c r="D29" s="20"/>
      <c r="E29" s="23"/>
      <c r="F29" s="45" t="str">
        <f t="shared" si="6"/>
        <v/>
      </c>
      <c r="G29" s="25"/>
      <c r="H29" s="45" t="str">
        <f t="shared" si="7"/>
        <v/>
      </c>
      <c r="I29" s="29" t="str">
        <f t="shared" si="3"/>
        <v/>
      </c>
      <c r="J29" s="29">
        <f t="shared" si="4"/>
        <v>0</v>
      </c>
      <c r="K29" s="29">
        <f t="shared" si="5"/>
        <v>0</v>
      </c>
    </row>
  </sheetData>
  <dataValidations>
    <dataValidation type="list" allowBlank="1" showErrorMessage="1" sqref="B2:B29">
      <formula1>"Assessment,Meeting,Support,Listing &amp; Filing"</formula1>
    </dataValidation>
    <dataValidation type="list" allowBlank="1" showErrorMessage="1" sqref="E2:E29">
      <formula1>'List Personnel'!$A$2:$A$56</formula1>
    </dataValidation>
    <dataValidation type="list" allowBlank="1" showErrorMessage="1" sqref="G2:G29">
      <formula1>"Ongoing,Done,Pending,Revision"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 outlineLevelCol="1"/>
  <cols>
    <col customWidth="1" min="1" max="1" width="5.88"/>
    <col customWidth="1" min="2" max="2" width="22.75"/>
    <col customWidth="1" min="3" max="4" width="15.38"/>
    <col customWidth="1" min="5" max="7" width="18.5"/>
    <col customWidth="1" min="8" max="8" width="19.75"/>
    <col customWidth="1" min="9" max="9" width="3.5"/>
    <col customWidth="1" min="10" max="10" width="9.75"/>
    <col customWidth="1" min="11" max="11" width="22.5"/>
    <col customWidth="1" min="12" max="12" width="20.88"/>
    <col collapsed="1" customWidth="1" min="14" max="14" width="19.13"/>
    <col hidden="1" min="15" max="17" width="12.63" outlineLevel="1"/>
    <col collapsed="1" min="18" max="18" width="12.63"/>
    <col hidden="1" min="19" max="23" width="12.63" outlineLevel="1"/>
    <col collapsed="1" min="24" max="24" width="12.63"/>
    <col hidden="1" min="25" max="29" width="12.63" outlineLevel="1"/>
    <col collapsed="1" customWidth="1" min="30" max="30" width="16.5"/>
    <col hidden="1" min="31" max="35" width="12.63" outlineLevel="1"/>
    <col customWidth="1" min="36" max="36" width="3.63"/>
    <col customWidth="1" min="38" max="38" width="13.88"/>
    <col customWidth="1" min="39" max="39" width="22.5"/>
    <col customWidth="1" min="40" max="40" width="20.88"/>
    <col collapsed="1" customWidth="1" min="42" max="42" width="19.13"/>
    <col hidden="1" min="43" max="45" width="12.63" outlineLevel="1"/>
    <col collapsed="1" min="46" max="46" width="12.63"/>
    <col hidden="1" min="47" max="51" width="12.63" outlineLevel="1"/>
    <col collapsed="1" min="52" max="52" width="12.63"/>
    <col hidden="1" min="53" max="57" width="12.63" outlineLevel="1"/>
    <col collapsed="1" min="58" max="58" width="12.63"/>
    <col hidden="1" min="59" max="63" width="12.63" outlineLevel="1"/>
    <col customWidth="1" min="64" max="64" width="3.63"/>
    <col customWidth="1" min="66" max="66" width="22.5"/>
    <col customWidth="1" min="67" max="67" width="20.88"/>
    <col collapsed="1" customWidth="1" min="69" max="69" width="19.13"/>
    <col hidden="1" min="70" max="72" width="12.63" outlineLevel="1"/>
    <col collapsed="1" min="73" max="73" width="12.63"/>
    <col hidden="1" min="74" max="78" width="12.63" outlineLevel="1"/>
    <col collapsed="1" min="79" max="79" width="12.63"/>
    <col hidden="1" min="80" max="84" width="12.63" outlineLevel="1"/>
    <col collapsed="1" min="85" max="85" width="12.63"/>
    <col hidden="1" min="86" max="90" width="12.63" outlineLevel="1"/>
    <col customWidth="1" min="91" max="93" width="3.63"/>
  </cols>
  <sheetData>
    <row r="1">
      <c r="A1" s="97" t="s">
        <v>130</v>
      </c>
      <c r="E1" s="97" t="s">
        <v>2</v>
      </c>
      <c r="I1" s="5"/>
      <c r="J1" s="97" t="s">
        <v>131</v>
      </c>
      <c r="R1" s="99" t="s">
        <v>8</v>
      </c>
      <c r="S1" s="103" t="s">
        <v>8</v>
      </c>
      <c r="X1" s="99" t="s">
        <v>10</v>
      </c>
      <c r="Y1" s="103" t="s">
        <v>10</v>
      </c>
      <c r="AD1" s="98" t="s">
        <v>133</v>
      </c>
      <c r="AE1" s="1" t="s">
        <v>14</v>
      </c>
      <c r="AJ1" s="5"/>
      <c r="AK1" s="97" t="s">
        <v>134</v>
      </c>
      <c r="AS1" s="104"/>
      <c r="AT1" s="99" t="s">
        <v>8</v>
      </c>
      <c r="AU1" s="103" t="s">
        <v>8</v>
      </c>
      <c r="AZ1" s="99" t="s">
        <v>10</v>
      </c>
      <c r="BA1" s="103" t="s">
        <v>10</v>
      </c>
      <c r="BF1" s="98" t="s">
        <v>135</v>
      </c>
      <c r="BG1" s="104" t="s">
        <v>14</v>
      </c>
      <c r="BL1" s="5"/>
      <c r="BM1" s="97" t="s">
        <v>377</v>
      </c>
      <c r="BU1" s="98" t="s">
        <v>8</v>
      </c>
      <c r="BV1" s="105" t="s">
        <v>8</v>
      </c>
      <c r="BW1" s="106" t="s">
        <v>38</v>
      </c>
      <c r="BX1" s="106" t="s">
        <v>39</v>
      </c>
      <c r="BY1" s="106" t="s">
        <v>40</v>
      </c>
      <c r="BZ1" s="106" t="s">
        <v>47</v>
      </c>
      <c r="CA1" s="98" t="s">
        <v>10</v>
      </c>
      <c r="CB1" s="105" t="s">
        <v>10</v>
      </c>
      <c r="CC1" s="106" t="s">
        <v>38</v>
      </c>
      <c r="CD1" s="106" t="s">
        <v>39</v>
      </c>
      <c r="CE1" s="106" t="s">
        <v>40</v>
      </c>
      <c r="CF1" s="106" t="s">
        <v>47</v>
      </c>
      <c r="CG1" s="98" t="s">
        <v>138</v>
      </c>
      <c r="CH1" s="104" t="s">
        <v>139</v>
      </c>
      <c r="CM1" s="5"/>
      <c r="CN1" s="5"/>
      <c r="CO1" s="5"/>
    </row>
    <row r="2">
      <c r="A2" s="15" t="s">
        <v>24</v>
      </c>
      <c r="B2" s="16" t="s">
        <v>140</v>
      </c>
      <c r="C2" s="16" t="s">
        <v>141</v>
      </c>
      <c r="D2" s="16" t="s">
        <v>26</v>
      </c>
      <c r="E2" s="16" t="s">
        <v>142</v>
      </c>
      <c r="F2" s="16" t="s">
        <v>143</v>
      </c>
      <c r="G2" s="16" t="s">
        <v>144</v>
      </c>
      <c r="H2" s="17" t="s">
        <v>31</v>
      </c>
      <c r="J2" s="15" t="s">
        <v>35</v>
      </c>
      <c r="K2" s="15" t="s">
        <v>36</v>
      </c>
      <c r="L2" s="17" t="s">
        <v>38</v>
      </c>
      <c r="M2" s="17" t="s">
        <v>39</v>
      </c>
      <c r="N2" s="17" t="s">
        <v>40</v>
      </c>
      <c r="O2" s="17" t="s">
        <v>42</v>
      </c>
      <c r="P2" s="17" t="s">
        <v>44</v>
      </c>
      <c r="Q2" s="17" t="s">
        <v>45</v>
      </c>
      <c r="S2" s="103" t="s">
        <v>46</v>
      </c>
      <c r="T2" s="103" t="s">
        <v>38</v>
      </c>
      <c r="U2" s="103" t="s">
        <v>39</v>
      </c>
      <c r="V2" s="103" t="s">
        <v>40</v>
      </c>
      <c r="W2" s="107" t="s">
        <v>47</v>
      </c>
      <c r="Y2" s="103" t="s">
        <v>48</v>
      </c>
      <c r="Z2" s="103" t="s">
        <v>38</v>
      </c>
      <c r="AA2" s="103" t="s">
        <v>39</v>
      </c>
      <c r="AB2" s="103" t="s">
        <v>40</v>
      </c>
      <c r="AC2" s="107" t="s">
        <v>47</v>
      </c>
      <c r="AE2" s="15" t="s">
        <v>49</v>
      </c>
      <c r="AF2" s="15" t="s">
        <v>38</v>
      </c>
      <c r="AG2" s="15" t="s">
        <v>39</v>
      </c>
      <c r="AH2" s="15" t="s">
        <v>40</v>
      </c>
      <c r="AI2" s="18" t="s">
        <v>51</v>
      </c>
      <c r="AK2" s="15" t="s">
        <v>35</v>
      </c>
      <c r="AL2" s="18" t="s">
        <v>65</v>
      </c>
      <c r="AM2" s="15" t="s">
        <v>36</v>
      </c>
      <c r="AN2" s="17" t="s">
        <v>38</v>
      </c>
      <c r="AO2" s="17" t="s">
        <v>39</v>
      </c>
      <c r="AP2" s="17" t="s">
        <v>40</v>
      </c>
      <c r="AQ2" s="17" t="s">
        <v>42</v>
      </c>
      <c r="AR2" s="17" t="s">
        <v>44</v>
      </c>
      <c r="AS2" s="17" t="s">
        <v>45</v>
      </c>
      <c r="AU2" s="103" t="s">
        <v>46</v>
      </c>
      <c r="AV2" s="103" t="s">
        <v>38</v>
      </c>
      <c r="AW2" s="103" t="s">
        <v>39</v>
      </c>
      <c r="AX2" s="103" t="s">
        <v>40</v>
      </c>
      <c r="AY2" s="107" t="s">
        <v>47</v>
      </c>
      <c r="BA2" s="103" t="s">
        <v>48</v>
      </c>
      <c r="BB2" s="103" t="s">
        <v>38</v>
      </c>
      <c r="BC2" s="103" t="s">
        <v>39</v>
      </c>
      <c r="BD2" s="103" t="s">
        <v>40</v>
      </c>
      <c r="BE2" s="107" t="s">
        <v>47</v>
      </c>
      <c r="BG2" s="15" t="s">
        <v>49</v>
      </c>
      <c r="BH2" s="15" t="s">
        <v>38</v>
      </c>
      <c r="BI2" s="15" t="s">
        <v>39</v>
      </c>
      <c r="BJ2" s="15" t="s">
        <v>40</v>
      </c>
      <c r="BK2" s="18" t="s">
        <v>51</v>
      </c>
      <c r="BL2" s="5"/>
      <c r="BM2" s="15" t="s">
        <v>35</v>
      </c>
      <c r="BN2" s="15" t="s">
        <v>36</v>
      </c>
      <c r="BO2" s="17" t="s">
        <v>38</v>
      </c>
      <c r="BP2" s="17" t="s">
        <v>39</v>
      </c>
      <c r="BQ2" s="17" t="s">
        <v>40</v>
      </c>
      <c r="BR2" s="17" t="s">
        <v>42</v>
      </c>
      <c r="BS2" s="17" t="s">
        <v>44</v>
      </c>
      <c r="BT2" s="17" t="s">
        <v>45</v>
      </c>
      <c r="CH2" s="15" t="s">
        <v>49</v>
      </c>
      <c r="CI2" s="15" t="s">
        <v>38</v>
      </c>
      <c r="CJ2" s="15" t="s">
        <v>39</v>
      </c>
      <c r="CK2" s="15" t="s">
        <v>40</v>
      </c>
      <c r="CL2" s="18" t="s">
        <v>51</v>
      </c>
      <c r="CM2" s="5"/>
      <c r="CN2" s="5"/>
      <c r="CO2" s="5"/>
    </row>
    <row r="3">
      <c r="A3" s="20">
        <f t="shared" ref="A3:A30" si="1">IF(B3="","",COUNTA($B$3:B3))</f>
        <v>1</v>
      </c>
      <c r="B3" s="21" t="s">
        <v>379</v>
      </c>
      <c r="C3" s="22" t="str">
        <f>IFERROR(__xludf.DUMMYFUNCTION("IFERROR(
IF(A3&lt;&gt;"""",
""EVASTRS00""&amp;A3,
IF(B3&lt;&gt;"""",
INDEX(FILTER($F3:F$4,$A3:A$4&lt;&gt;""""),COUNTA(FILTER($F3:F$4,$A3:A$4&lt;&gt;"""")))&amp;B3,
IF(C3&lt;&gt;"""",
INDEX(FILTER($F3:F$4,$B3:B$4&lt;&gt;""""),COUNTA(FILTER($F3:F$4,$B3:B$4&lt;&gt;"""")))&amp;C3,
""""))),
"""")"),"EVASTRS001")</f>
        <v>EVASTRS001</v>
      </c>
      <c r="D3" s="22"/>
      <c r="E3" s="20">
        <v>2.0</v>
      </c>
      <c r="F3" s="20">
        <v>2.0</v>
      </c>
      <c r="G3" s="20">
        <v>1.0</v>
      </c>
      <c r="H3" s="23" t="s">
        <v>72</v>
      </c>
      <c r="I3" s="5"/>
      <c r="J3" s="22">
        <f t="shared" ref="J3:J30" si="2">E3</f>
        <v>2</v>
      </c>
      <c r="K3" s="23" t="s">
        <v>73</v>
      </c>
      <c r="L3" s="40">
        <f t="shared" ref="L3:L30" si="3">if(K3&lt;&gt;"", if(L3="",NOW(),L3),"")</f>
        <v>46205.433</v>
      </c>
      <c r="M3" s="25" t="s">
        <v>69</v>
      </c>
      <c r="N3" s="40">
        <f t="shared" ref="N3:N30" si="4">if(M3="Done", if(N3="",NOW(),N3),"")</f>
        <v>46211.42821</v>
      </c>
      <c r="O3" s="29">
        <f t="shared" ref="O3:O30" si="5">IF(AND(L3&lt;&gt;"",N3&lt;&gt;""),(N3-L3)*1440,"")</f>
        <v>8633.109783</v>
      </c>
      <c r="P3" s="29">
        <f t="shared" ref="P3:P30" si="6">IF(
  INT(L3)=INT(N3),
  IF(
    AND(MOD(L3,1)&lt;TIME(12,0,0), MOD(N3,1)&gt;TIME(12,0,0)),
    60,
    0
  ),
  IF(
    MOD(N3,1)&lt;=TIME(12,0,0),
    (INT(N3)-INT(L3))*960,
    (INT(N3)-INT(L3))*1020
  )
)</f>
        <v>5760</v>
      </c>
      <c r="Q3" s="29">
        <f t="shared" ref="Q3:Q30" si="7">(O3-P3)/60</f>
        <v>47.88516306</v>
      </c>
      <c r="R3" s="22" t="str">
        <f t="shared" ref="R3:R30" si="8">U3</f>
        <v/>
      </c>
      <c r="S3" s="23"/>
      <c r="T3" s="45" t="str">
        <f t="shared" ref="T3:T30" si="9">if(S3&lt;&gt;"", if(T3="",NOW(),T3),"")</f>
        <v/>
      </c>
      <c r="U3" s="25"/>
      <c r="V3" s="45" t="str">
        <f t="shared" ref="V3:V30" si="10">if(U3="Done", if(V3="",NOW(),V3),"")</f>
        <v/>
      </c>
      <c r="W3" s="47"/>
      <c r="X3" s="22" t="str">
        <f t="shared" ref="X3:X30" si="11">AA3</f>
        <v/>
      </c>
      <c r="Y3" s="23"/>
      <c r="Z3" s="45" t="str">
        <f t="shared" ref="Z3:Z30" si="12">if(Y3&lt;&gt;"", if(Z3="",NOW(),Z3),"")</f>
        <v/>
      </c>
      <c r="AA3" s="25"/>
      <c r="AB3" s="45" t="str">
        <f t="shared" ref="AB3:AB30" si="13">if(AA3="Done", if(AB3="",NOW(),AB3),"")</f>
        <v/>
      </c>
      <c r="AC3" s="47"/>
      <c r="AD3" s="22" t="str">
        <f t="shared" ref="AD3:AD30" si="14">AG3</f>
        <v/>
      </c>
      <c r="AE3" s="23"/>
      <c r="AF3" s="45" t="str">
        <f t="shared" ref="AF3:AF30" si="15">if(AE3&lt;&gt;"", if(AF3="",NOW(),AF3),"")</f>
        <v/>
      </c>
      <c r="AG3" s="25"/>
      <c r="AH3" s="45" t="str">
        <f t="shared" ref="AH3:AH30" si="16">if(AG3="Done", if(AH3="",NOW(),AH3),"")</f>
        <v/>
      </c>
      <c r="AI3" s="20">
        <v>0.0</v>
      </c>
      <c r="AJ3" s="5"/>
      <c r="AK3" s="22">
        <f t="shared" ref="AK3:AK30" si="17">F3</f>
        <v>2</v>
      </c>
      <c r="AL3" s="22"/>
      <c r="AM3" s="23" t="s">
        <v>73</v>
      </c>
      <c r="AN3" s="40">
        <f t="shared" ref="AN3:AN30" si="18">if(AM3&lt;&gt;"", if(AN3="",NOW(),AN3),"")</f>
        <v>46211.43016</v>
      </c>
      <c r="AO3" s="25" t="s">
        <v>69</v>
      </c>
      <c r="AP3" s="40">
        <f t="shared" ref="AP3:AP30" si="19">if(AO3="Done", if(AP3="",NOW(),AP3),"")</f>
        <v>46218.41335</v>
      </c>
      <c r="AQ3" s="29">
        <f t="shared" ref="AQ3:AQ30" si="20">IF(AND(AN3&lt;&gt;"",AP3&lt;&gt;""),(AP3-AN3)*1440,"")</f>
        <v>10055.78955</v>
      </c>
      <c r="AR3" s="29">
        <f t="shared" ref="AR3:AR30" si="21">IF(
  INT(AN3)=INT(AP3),
  IF(
    AND(MOD(AN3,1)&lt;TIME(12,0,0), MOD(AP3,1)&gt;TIME(12,0,0)),
    60,
    0
  ),
  IF(
    MOD(AP3,1)&lt;=TIME(12,0,0),
    (INT(AP3)-INT(AN3))*960,
    (INT(AP3)-INT(AN3))*1020
  )
)</f>
        <v>6720</v>
      </c>
      <c r="AS3" s="29">
        <f t="shared" ref="AS3:AS30" si="22">(AQ3-AR3)/60</f>
        <v>55.5964925</v>
      </c>
      <c r="AT3" s="22" t="str">
        <f t="shared" ref="AT3:AT30" si="23">AW3</f>
        <v/>
      </c>
      <c r="AU3" s="23"/>
      <c r="AV3" s="45" t="str">
        <f t="shared" ref="AV3:AV30" si="24">if(AU3&lt;&gt;"", if(AV3="",NOW(),AV3),"")</f>
        <v/>
      </c>
      <c r="AW3" s="25"/>
      <c r="AX3" s="45" t="str">
        <f t="shared" ref="AX3:AX30" si="25">if(AW3="Done", if(AX3="",NOW(),AX3),"")</f>
        <v/>
      </c>
      <c r="AY3" s="47"/>
      <c r="AZ3" s="22" t="str">
        <f t="shared" ref="AZ3:AZ30" si="26">BC3</f>
        <v/>
      </c>
      <c r="BA3" s="23"/>
      <c r="BB3" s="45" t="str">
        <f t="shared" ref="BB3:BB30" si="27">if(BA3&lt;&gt;"", if(BB3="",NOW(),BB3),"")</f>
        <v/>
      </c>
      <c r="BC3" s="25"/>
      <c r="BD3" s="45" t="str">
        <f t="shared" ref="BD3:BD30" si="28">if(BC3="Done", if(BD3="",NOW(),BD3),"")</f>
        <v/>
      </c>
      <c r="BE3" s="47"/>
      <c r="BF3" s="22" t="str">
        <f t="shared" ref="BF3:BF30" si="29">BI3</f>
        <v/>
      </c>
      <c r="BG3" s="23"/>
      <c r="BH3" s="45" t="str">
        <f t="shared" ref="BH3:BH30" si="30">if(BG3&lt;&gt;"", if(BH3="",NOW(),BH3),"")</f>
        <v/>
      </c>
      <c r="BI3" s="25"/>
      <c r="BJ3" s="45" t="str">
        <f t="shared" ref="BJ3:BJ30" si="31">if(BI3="Done", if(BJ3="",NOW(),BJ3),"")</f>
        <v/>
      </c>
      <c r="BK3" s="20">
        <v>0.0</v>
      </c>
      <c r="BL3" s="5"/>
      <c r="BM3" s="22">
        <f t="shared" ref="BM3:BM30" si="32">G3</f>
        <v>1</v>
      </c>
      <c r="BN3" s="23" t="s">
        <v>73</v>
      </c>
      <c r="BO3" s="40">
        <f t="shared" ref="BO3:BO30" si="33">if(BN3&lt;&gt;"", if(BO3="",NOW(),BO3),"")</f>
        <v>46218.65396</v>
      </c>
      <c r="BP3" s="25" t="s">
        <v>147</v>
      </c>
      <c r="BQ3" s="45" t="str">
        <f t="shared" ref="BQ3:BQ30" si="34">if(BP3="Done", if(BQ3="",NOW(),BQ3),"")</f>
        <v/>
      </c>
      <c r="BR3" s="29" t="str">
        <f t="shared" ref="BR3:BR30" si="35">IF(AND(BO3&lt;&gt;"",BQ3&lt;&gt;""),(BQ3-BO3)*1440,"")</f>
        <v/>
      </c>
      <c r="BS3" s="29">
        <f t="shared" ref="BS3:BS30" si="36">IF(
  INT(BO3)=INT(BQ3),
  IF(
    AND(MOD(BO3,1)&lt;TIME(12,0,0), MOD(BQ3,1)&gt;TIME(12,0,0)),
    60,
    0
  ),
  IF(
    MOD(BQ3,1)&lt;=TIME(12,0,0),
    (INT(BQ3)-INT(BO3))*960,
    (INT(BQ3)-INT(BO3))*1020
  )
)</f>
        <v>-44369280</v>
      </c>
      <c r="BT3" s="29">
        <f t="shared" ref="BT3:BT30" si="37">(BR3-BS3)/60</f>
        <v>739488</v>
      </c>
      <c r="BU3" s="22" t="str">
        <f t="shared" ref="BU3:BU30" si="38">BX3</f>
        <v/>
      </c>
      <c r="BV3" s="23"/>
      <c r="BW3" s="45" t="str">
        <f t="shared" ref="BW3:BW30" si="39">if(BV3&lt;&gt;"", if(BW3="",NOW(),BW3),"")</f>
        <v/>
      </c>
      <c r="BX3" s="25"/>
      <c r="BY3" s="45" t="str">
        <f t="shared" ref="BY3:BY30" si="40">if(BX3="Done", if(BY3="",NOW(),BY3),"")</f>
        <v/>
      </c>
      <c r="BZ3" s="47"/>
      <c r="CA3" s="22" t="str">
        <f t="shared" ref="CA3:CA30" si="41">CD3</f>
        <v/>
      </c>
      <c r="CB3" s="23"/>
      <c r="CC3" s="45" t="str">
        <f t="shared" ref="CC3:CC30" si="42">if(CB3&lt;&gt;"", if(CC3="",NOW(),CC3),"")</f>
        <v/>
      </c>
      <c r="CD3" s="25"/>
      <c r="CE3" s="45" t="str">
        <f t="shared" ref="CE3:CE30" si="43">if(CD3="Done", if(CE3="",NOW(),CE3),"")</f>
        <v/>
      </c>
      <c r="CF3" s="47"/>
      <c r="CG3" s="22" t="str">
        <f t="shared" ref="CG3:CG30" si="44">CJ3</f>
        <v/>
      </c>
      <c r="CH3" s="23"/>
      <c r="CI3" s="45" t="str">
        <f t="shared" ref="CI3:CI30" si="45">if(CH3&lt;&gt;"", if(CI3="",NOW(),CI3),"")</f>
        <v/>
      </c>
      <c r="CJ3" s="25"/>
      <c r="CK3" s="45" t="str">
        <f t="shared" ref="CK3:CK30" si="46">if(CJ3="Done", if(CK3="",NOW(),CK3),"")</f>
        <v/>
      </c>
      <c r="CL3" s="20">
        <v>0.0</v>
      </c>
      <c r="CM3" s="5"/>
      <c r="CN3" s="5"/>
      <c r="CO3" s="5"/>
    </row>
    <row r="4">
      <c r="A4" s="20" t="str">
        <f t="shared" si="1"/>
        <v/>
      </c>
      <c r="B4" s="21"/>
      <c r="C4" s="22" t="str">
        <f>IFERROR(__xludf.DUMMYFUNCTION("IFERROR(
IF(A4&lt;&gt;"""",
""EVASTRS00""&amp;A4,
IF(B4&lt;&gt;"""",
INDEX(FILTER($F4:F$4,$A4:A$4&lt;&gt;""""),COUNTA(FILTER($F4:F$4,$A4:A$4&lt;&gt;"""")))&amp;B4,
IF(C4&lt;&gt;"""",
INDEX(FILTER($F4:F$4,$B4:B$4&lt;&gt;""""),COUNTA(FILTER($F4:F$4,$B4:B$4&lt;&gt;"""")))&amp;C4,
""""))),
"""")"),"")</f>
        <v/>
      </c>
      <c r="D4" s="22"/>
      <c r="E4" s="20"/>
      <c r="F4" s="20"/>
      <c r="G4" s="20"/>
      <c r="H4" s="23"/>
      <c r="I4" s="5"/>
      <c r="J4" s="22" t="str">
        <f t="shared" si="2"/>
        <v/>
      </c>
      <c r="K4" s="23"/>
      <c r="L4" s="45" t="str">
        <f t="shared" si="3"/>
        <v/>
      </c>
      <c r="M4" s="25"/>
      <c r="N4" s="45" t="str">
        <f t="shared" si="4"/>
        <v/>
      </c>
      <c r="O4" s="29" t="str">
        <f t="shared" si="5"/>
        <v/>
      </c>
      <c r="P4" s="29">
        <f t="shared" si="6"/>
        <v>0</v>
      </c>
      <c r="Q4" s="29">
        <f t="shared" si="7"/>
        <v>0</v>
      </c>
      <c r="R4" s="22" t="str">
        <f t="shared" si="8"/>
        <v/>
      </c>
      <c r="S4" s="23"/>
      <c r="T4" s="45" t="str">
        <f t="shared" si="9"/>
        <v/>
      </c>
      <c r="U4" s="25"/>
      <c r="V4" s="45" t="str">
        <f t="shared" si="10"/>
        <v/>
      </c>
      <c r="W4" s="47"/>
      <c r="X4" s="22" t="str">
        <f t="shared" si="11"/>
        <v/>
      </c>
      <c r="Y4" s="23"/>
      <c r="Z4" s="45" t="str">
        <f t="shared" si="12"/>
        <v/>
      </c>
      <c r="AA4" s="25"/>
      <c r="AB4" s="45" t="str">
        <f t="shared" si="13"/>
        <v/>
      </c>
      <c r="AC4" s="47"/>
      <c r="AD4" s="22" t="str">
        <f t="shared" si="14"/>
        <v/>
      </c>
      <c r="AE4" s="23"/>
      <c r="AF4" s="45" t="str">
        <f t="shared" si="15"/>
        <v/>
      </c>
      <c r="AG4" s="25"/>
      <c r="AH4" s="45" t="str">
        <f t="shared" si="16"/>
        <v/>
      </c>
      <c r="AI4" s="20">
        <v>0.0</v>
      </c>
      <c r="AJ4" s="5"/>
      <c r="AK4" s="22" t="str">
        <f t="shared" si="17"/>
        <v/>
      </c>
      <c r="AL4" s="22"/>
      <c r="AM4" s="23"/>
      <c r="AN4" s="45" t="str">
        <f t="shared" si="18"/>
        <v/>
      </c>
      <c r="AO4" s="25"/>
      <c r="AP4" s="45" t="str">
        <f t="shared" si="19"/>
        <v/>
      </c>
      <c r="AQ4" s="29" t="str">
        <f t="shared" si="20"/>
        <v/>
      </c>
      <c r="AR4" s="29">
        <f t="shared" si="21"/>
        <v>0</v>
      </c>
      <c r="AS4" s="29">
        <f t="shared" si="22"/>
        <v>0</v>
      </c>
      <c r="AT4" s="22" t="str">
        <f t="shared" si="23"/>
        <v/>
      </c>
      <c r="AU4" s="23"/>
      <c r="AV4" s="45" t="str">
        <f t="shared" si="24"/>
        <v/>
      </c>
      <c r="AW4" s="25"/>
      <c r="AX4" s="45" t="str">
        <f t="shared" si="25"/>
        <v/>
      </c>
      <c r="AY4" s="47"/>
      <c r="AZ4" s="22" t="str">
        <f t="shared" si="26"/>
        <v/>
      </c>
      <c r="BA4" s="23"/>
      <c r="BB4" s="45" t="str">
        <f t="shared" si="27"/>
        <v/>
      </c>
      <c r="BC4" s="25"/>
      <c r="BD4" s="45" t="str">
        <f t="shared" si="28"/>
        <v/>
      </c>
      <c r="BE4" s="47"/>
      <c r="BF4" s="22" t="str">
        <f t="shared" si="29"/>
        <v/>
      </c>
      <c r="BG4" s="23"/>
      <c r="BH4" s="45" t="str">
        <f t="shared" si="30"/>
        <v/>
      </c>
      <c r="BI4" s="25"/>
      <c r="BJ4" s="45" t="str">
        <f t="shared" si="31"/>
        <v/>
      </c>
      <c r="BK4" s="20">
        <v>0.0</v>
      </c>
      <c r="BL4" s="5"/>
      <c r="BM4" s="22" t="str">
        <f t="shared" si="32"/>
        <v/>
      </c>
      <c r="BN4" s="23"/>
      <c r="BO4" s="45" t="str">
        <f t="shared" si="33"/>
        <v/>
      </c>
      <c r="BP4" s="25"/>
      <c r="BQ4" s="45" t="str">
        <f t="shared" si="34"/>
        <v/>
      </c>
      <c r="BR4" s="29" t="str">
        <f t="shared" si="35"/>
        <v/>
      </c>
      <c r="BS4" s="29">
        <f t="shared" si="36"/>
        <v>0</v>
      </c>
      <c r="BT4" s="29">
        <f t="shared" si="37"/>
        <v>0</v>
      </c>
      <c r="BU4" s="22" t="str">
        <f t="shared" si="38"/>
        <v/>
      </c>
      <c r="BV4" s="23"/>
      <c r="BW4" s="45" t="str">
        <f t="shared" si="39"/>
        <v/>
      </c>
      <c r="BX4" s="25"/>
      <c r="BY4" s="45" t="str">
        <f t="shared" si="40"/>
        <v/>
      </c>
      <c r="BZ4" s="47"/>
      <c r="CA4" s="22" t="str">
        <f t="shared" si="41"/>
        <v/>
      </c>
      <c r="CB4" s="23"/>
      <c r="CC4" s="45" t="str">
        <f t="shared" si="42"/>
        <v/>
      </c>
      <c r="CD4" s="25"/>
      <c r="CE4" s="45" t="str">
        <f t="shared" si="43"/>
        <v/>
      </c>
      <c r="CF4" s="47"/>
      <c r="CG4" s="22" t="str">
        <f t="shared" si="44"/>
        <v/>
      </c>
      <c r="CH4" s="23"/>
      <c r="CI4" s="45" t="str">
        <f t="shared" si="45"/>
        <v/>
      </c>
      <c r="CJ4" s="25"/>
      <c r="CK4" s="45" t="str">
        <f t="shared" si="46"/>
        <v/>
      </c>
      <c r="CL4" s="20">
        <v>0.0</v>
      </c>
      <c r="CM4" s="5"/>
      <c r="CN4" s="5"/>
      <c r="CO4" s="5"/>
    </row>
    <row r="5">
      <c r="A5" s="20" t="str">
        <f t="shared" si="1"/>
        <v/>
      </c>
      <c r="B5" s="21"/>
      <c r="C5" s="22" t="str">
        <f>IFERROR(__xludf.DUMMYFUNCTION("IFERROR(
IF(A5&lt;&gt;"""",
""EVASTRS00""&amp;A5,
IF(B5&lt;&gt;"""",
INDEX(FILTER($F$4:F5,$A$4:A5&lt;&gt;""""),COUNTA(FILTER($F$4:F5,$A$4:A5&lt;&gt;"""")))&amp;B5,
IF(C5&lt;&gt;"""",
INDEX(FILTER($F$4:F5,$B$4:B5&lt;&gt;""""),COUNTA(FILTER($F$4:F5,$B$4:B5&lt;&gt;"""")))&amp;C5,
""""))),
"""")"),"")</f>
        <v/>
      </c>
      <c r="D5" s="22"/>
      <c r="E5" s="20"/>
      <c r="F5" s="20"/>
      <c r="G5" s="20"/>
      <c r="H5" s="23"/>
      <c r="I5" s="5"/>
      <c r="J5" s="22" t="str">
        <f t="shared" si="2"/>
        <v/>
      </c>
      <c r="K5" s="23"/>
      <c r="L5" s="45" t="str">
        <f t="shared" si="3"/>
        <v/>
      </c>
      <c r="M5" s="25"/>
      <c r="N5" s="45" t="str">
        <f t="shared" si="4"/>
        <v/>
      </c>
      <c r="O5" s="29" t="str">
        <f t="shared" si="5"/>
        <v/>
      </c>
      <c r="P5" s="29">
        <f t="shared" si="6"/>
        <v>0</v>
      </c>
      <c r="Q5" s="29">
        <f t="shared" si="7"/>
        <v>0</v>
      </c>
      <c r="R5" s="22" t="str">
        <f t="shared" si="8"/>
        <v/>
      </c>
      <c r="S5" s="23"/>
      <c r="T5" s="45" t="str">
        <f t="shared" si="9"/>
        <v/>
      </c>
      <c r="U5" s="25"/>
      <c r="V5" s="45" t="str">
        <f t="shared" si="10"/>
        <v/>
      </c>
      <c r="W5" s="47"/>
      <c r="X5" s="22" t="str">
        <f t="shared" si="11"/>
        <v/>
      </c>
      <c r="Y5" s="23"/>
      <c r="Z5" s="45" t="str">
        <f t="shared" si="12"/>
        <v/>
      </c>
      <c r="AA5" s="25"/>
      <c r="AB5" s="45" t="str">
        <f t="shared" si="13"/>
        <v/>
      </c>
      <c r="AC5" s="47"/>
      <c r="AD5" s="22" t="str">
        <f t="shared" si="14"/>
        <v/>
      </c>
      <c r="AE5" s="23"/>
      <c r="AF5" s="45" t="str">
        <f t="shared" si="15"/>
        <v/>
      </c>
      <c r="AG5" s="25"/>
      <c r="AH5" s="45" t="str">
        <f t="shared" si="16"/>
        <v/>
      </c>
      <c r="AI5" s="20">
        <v>0.0</v>
      </c>
      <c r="AJ5" s="5"/>
      <c r="AK5" s="22" t="str">
        <f t="shared" si="17"/>
        <v/>
      </c>
      <c r="AL5" s="22"/>
      <c r="AM5" s="23"/>
      <c r="AN5" s="45" t="str">
        <f t="shared" si="18"/>
        <v/>
      </c>
      <c r="AO5" s="25"/>
      <c r="AP5" s="45" t="str">
        <f t="shared" si="19"/>
        <v/>
      </c>
      <c r="AQ5" s="29" t="str">
        <f t="shared" si="20"/>
        <v/>
      </c>
      <c r="AR5" s="29">
        <f t="shared" si="21"/>
        <v>0</v>
      </c>
      <c r="AS5" s="29">
        <f t="shared" si="22"/>
        <v>0</v>
      </c>
      <c r="AT5" s="22" t="str">
        <f t="shared" si="23"/>
        <v/>
      </c>
      <c r="AU5" s="23"/>
      <c r="AV5" s="45" t="str">
        <f t="shared" si="24"/>
        <v/>
      </c>
      <c r="AW5" s="25"/>
      <c r="AX5" s="45" t="str">
        <f t="shared" si="25"/>
        <v/>
      </c>
      <c r="AY5" s="47"/>
      <c r="AZ5" s="22" t="str">
        <f t="shared" si="26"/>
        <v/>
      </c>
      <c r="BA5" s="23"/>
      <c r="BB5" s="45" t="str">
        <f t="shared" si="27"/>
        <v/>
      </c>
      <c r="BC5" s="25"/>
      <c r="BD5" s="45" t="str">
        <f t="shared" si="28"/>
        <v/>
      </c>
      <c r="BE5" s="47"/>
      <c r="BF5" s="22" t="str">
        <f t="shared" si="29"/>
        <v/>
      </c>
      <c r="BG5" s="23"/>
      <c r="BH5" s="45" t="str">
        <f t="shared" si="30"/>
        <v/>
      </c>
      <c r="BI5" s="25"/>
      <c r="BJ5" s="45" t="str">
        <f t="shared" si="31"/>
        <v/>
      </c>
      <c r="BK5" s="20">
        <v>0.0</v>
      </c>
      <c r="BL5" s="5"/>
      <c r="BM5" s="22" t="str">
        <f t="shared" si="32"/>
        <v/>
      </c>
      <c r="BN5" s="23"/>
      <c r="BO5" s="45" t="str">
        <f t="shared" si="33"/>
        <v/>
      </c>
      <c r="BP5" s="25"/>
      <c r="BQ5" s="45" t="str">
        <f t="shared" si="34"/>
        <v/>
      </c>
      <c r="BR5" s="29" t="str">
        <f t="shared" si="35"/>
        <v/>
      </c>
      <c r="BS5" s="29">
        <f t="shared" si="36"/>
        <v>0</v>
      </c>
      <c r="BT5" s="29">
        <f t="shared" si="37"/>
        <v>0</v>
      </c>
      <c r="BU5" s="22" t="str">
        <f t="shared" si="38"/>
        <v/>
      </c>
      <c r="BV5" s="23"/>
      <c r="BW5" s="45" t="str">
        <f t="shared" si="39"/>
        <v/>
      </c>
      <c r="BX5" s="25"/>
      <c r="BY5" s="45" t="str">
        <f t="shared" si="40"/>
        <v/>
      </c>
      <c r="BZ5" s="47"/>
      <c r="CA5" s="22" t="str">
        <f t="shared" si="41"/>
        <v/>
      </c>
      <c r="CB5" s="23"/>
      <c r="CC5" s="45" t="str">
        <f t="shared" si="42"/>
        <v/>
      </c>
      <c r="CD5" s="25"/>
      <c r="CE5" s="45" t="str">
        <f t="shared" si="43"/>
        <v/>
      </c>
      <c r="CF5" s="47"/>
      <c r="CG5" s="22" t="str">
        <f t="shared" si="44"/>
        <v/>
      </c>
      <c r="CH5" s="23"/>
      <c r="CI5" s="45" t="str">
        <f t="shared" si="45"/>
        <v/>
      </c>
      <c r="CJ5" s="25"/>
      <c r="CK5" s="45" t="str">
        <f t="shared" si="46"/>
        <v/>
      </c>
      <c r="CL5" s="20">
        <v>0.0</v>
      </c>
      <c r="CM5" s="5"/>
      <c r="CN5" s="5"/>
      <c r="CO5" s="5"/>
    </row>
    <row r="6">
      <c r="A6" s="20" t="str">
        <f t="shared" si="1"/>
        <v/>
      </c>
      <c r="B6" s="21"/>
      <c r="C6" s="22" t="str">
        <f>IFERROR(__xludf.DUMMYFUNCTION("IFERROR(
IF(A6&lt;&gt;"""",
""EVASTRS00""&amp;A6,
IF(B6&lt;&gt;"""",
INDEX(FILTER($F$4:F6,$A$4:A6&lt;&gt;""""),COUNTA(FILTER($F$4:F6,$A$4:A6&lt;&gt;"""")))&amp;B6,
IF(C6&lt;&gt;"""",
INDEX(FILTER($F$4:F6,$B$4:B6&lt;&gt;""""),COUNTA(FILTER($F$4:F6,$B$4:B6&lt;&gt;"""")))&amp;C6,
""""))),
"""")"),"")</f>
        <v/>
      </c>
      <c r="D6" s="22"/>
      <c r="E6" s="20"/>
      <c r="F6" s="20"/>
      <c r="G6" s="20"/>
      <c r="H6" s="23"/>
      <c r="I6" s="5"/>
      <c r="J6" s="22" t="str">
        <f t="shared" si="2"/>
        <v/>
      </c>
      <c r="K6" s="23"/>
      <c r="L6" s="45" t="str">
        <f t="shared" si="3"/>
        <v/>
      </c>
      <c r="M6" s="25"/>
      <c r="N6" s="45" t="str">
        <f t="shared" si="4"/>
        <v/>
      </c>
      <c r="O6" s="29" t="str">
        <f t="shared" si="5"/>
        <v/>
      </c>
      <c r="P6" s="29">
        <f t="shared" si="6"/>
        <v>0</v>
      </c>
      <c r="Q6" s="29">
        <f t="shared" si="7"/>
        <v>0</v>
      </c>
      <c r="R6" s="22" t="str">
        <f t="shared" si="8"/>
        <v/>
      </c>
      <c r="S6" s="23"/>
      <c r="T6" s="45" t="str">
        <f t="shared" si="9"/>
        <v/>
      </c>
      <c r="U6" s="25"/>
      <c r="V6" s="45" t="str">
        <f t="shared" si="10"/>
        <v/>
      </c>
      <c r="W6" s="47"/>
      <c r="X6" s="22" t="str">
        <f t="shared" si="11"/>
        <v/>
      </c>
      <c r="Y6" s="23"/>
      <c r="Z6" s="45" t="str">
        <f t="shared" si="12"/>
        <v/>
      </c>
      <c r="AA6" s="25"/>
      <c r="AB6" s="45" t="str">
        <f t="shared" si="13"/>
        <v/>
      </c>
      <c r="AC6" s="47"/>
      <c r="AD6" s="22" t="str">
        <f t="shared" si="14"/>
        <v/>
      </c>
      <c r="AE6" s="23"/>
      <c r="AF6" s="45" t="str">
        <f t="shared" si="15"/>
        <v/>
      </c>
      <c r="AG6" s="25"/>
      <c r="AH6" s="45" t="str">
        <f t="shared" si="16"/>
        <v/>
      </c>
      <c r="AI6" s="20">
        <v>0.0</v>
      </c>
      <c r="AJ6" s="5"/>
      <c r="AK6" s="22" t="str">
        <f t="shared" si="17"/>
        <v/>
      </c>
      <c r="AL6" s="22"/>
      <c r="AM6" s="23"/>
      <c r="AN6" s="45" t="str">
        <f t="shared" si="18"/>
        <v/>
      </c>
      <c r="AO6" s="25"/>
      <c r="AP6" s="45" t="str">
        <f t="shared" si="19"/>
        <v/>
      </c>
      <c r="AQ6" s="29" t="str">
        <f t="shared" si="20"/>
        <v/>
      </c>
      <c r="AR6" s="29">
        <f t="shared" si="21"/>
        <v>0</v>
      </c>
      <c r="AS6" s="29">
        <f t="shared" si="22"/>
        <v>0</v>
      </c>
      <c r="AT6" s="22" t="str">
        <f t="shared" si="23"/>
        <v/>
      </c>
      <c r="AU6" s="23"/>
      <c r="AV6" s="45" t="str">
        <f t="shared" si="24"/>
        <v/>
      </c>
      <c r="AW6" s="25"/>
      <c r="AX6" s="45" t="str">
        <f t="shared" si="25"/>
        <v/>
      </c>
      <c r="AY6" s="47"/>
      <c r="AZ6" s="22" t="str">
        <f t="shared" si="26"/>
        <v/>
      </c>
      <c r="BA6" s="23"/>
      <c r="BB6" s="45" t="str">
        <f t="shared" si="27"/>
        <v/>
      </c>
      <c r="BC6" s="25"/>
      <c r="BD6" s="45" t="str">
        <f t="shared" si="28"/>
        <v/>
      </c>
      <c r="BE6" s="47"/>
      <c r="BF6" s="22" t="str">
        <f t="shared" si="29"/>
        <v/>
      </c>
      <c r="BG6" s="23"/>
      <c r="BH6" s="45" t="str">
        <f t="shared" si="30"/>
        <v/>
      </c>
      <c r="BI6" s="25"/>
      <c r="BJ6" s="45" t="str">
        <f t="shared" si="31"/>
        <v/>
      </c>
      <c r="BK6" s="20">
        <v>0.0</v>
      </c>
      <c r="BL6" s="5"/>
      <c r="BM6" s="22" t="str">
        <f t="shared" si="32"/>
        <v/>
      </c>
      <c r="BN6" s="23"/>
      <c r="BO6" s="45" t="str">
        <f t="shared" si="33"/>
        <v/>
      </c>
      <c r="BP6" s="25"/>
      <c r="BQ6" s="45" t="str">
        <f t="shared" si="34"/>
        <v/>
      </c>
      <c r="BR6" s="29" t="str">
        <f t="shared" si="35"/>
        <v/>
      </c>
      <c r="BS6" s="29">
        <f t="shared" si="36"/>
        <v>0</v>
      </c>
      <c r="BT6" s="29">
        <f t="shared" si="37"/>
        <v>0</v>
      </c>
      <c r="BU6" s="22" t="str">
        <f t="shared" si="38"/>
        <v/>
      </c>
      <c r="BV6" s="23"/>
      <c r="BW6" s="45" t="str">
        <f t="shared" si="39"/>
        <v/>
      </c>
      <c r="BX6" s="25"/>
      <c r="BY6" s="45" t="str">
        <f t="shared" si="40"/>
        <v/>
      </c>
      <c r="BZ6" s="47"/>
      <c r="CA6" s="22" t="str">
        <f t="shared" si="41"/>
        <v/>
      </c>
      <c r="CB6" s="23"/>
      <c r="CC6" s="45" t="str">
        <f t="shared" si="42"/>
        <v/>
      </c>
      <c r="CD6" s="25"/>
      <c r="CE6" s="45" t="str">
        <f t="shared" si="43"/>
        <v/>
      </c>
      <c r="CF6" s="47"/>
      <c r="CG6" s="22" t="str">
        <f t="shared" si="44"/>
        <v/>
      </c>
      <c r="CH6" s="23"/>
      <c r="CI6" s="45" t="str">
        <f t="shared" si="45"/>
        <v/>
      </c>
      <c r="CJ6" s="25"/>
      <c r="CK6" s="45" t="str">
        <f t="shared" si="46"/>
        <v/>
      </c>
      <c r="CL6" s="20">
        <v>0.0</v>
      </c>
      <c r="CM6" s="5"/>
      <c r="CN6" s="5"/>
      <c r="CO6" s="5"/>
    </row>
    <row r="7">
      <c r="A7" s="20" t="str">
        <f t="shared" si="1"/>
        <v/>
      </c>
      <c r="B7" s="21"/>
      <c r="C7" s="22" t="str">
        <f>IFERROR(__xludf.DUMMYFUNCTION("IFERROR(
IF(A7&lt;&gt;"""",
""EVASTRS00""&amp;A7,
IF(B7&lt;&gt;"""",
INDEX(FILTER($F$4:F7,$A$4:A7&lt;&gt;""""),COUNTA(FILTER($F$4:F7,$A$4:A7&lt;&gt;"""")))&amp;B7,
IF(C7&lt;&gt;"""",
INDEX(FILTER($F$4:F7,$B$4:B7&lt;&gt;""""),COUNTA(FILTER($F$4:F7,$B$4:B7&lt;&gt;"""")))&amp;C7,
""""))),
"""")"),"")</f>
        <v/>
      </c>
      <c r="D7" s="22"/>
      <c r="E7" s="20"/>
      <c r="F7" s="20"/>
      <c r="G7" s="20"/>
      <c r="H7" s="23"/>
      <c r="I7" s="5"/>
      <c r="J7" s="22" t="str">
        <f t="shared" si="2"/>
        <v/>
      </c>
      <c r="K7" s="23"/>
      <c r="L7" s="45" t="str">
        <f t="shared" si="3"/>
        <v/>
      </c>
      <c r="M7" s="25"/>
      <c r="N7" s="45" t="str">
        <f t="shared" si="4"/>
        <v/>
      </c>
      <c r="O7" s="29" t="str">
        <f t="shared" si="5"/>
        <v/>
      </c>
      <c r="P7" s="29">
        <f t="shared" si="6"/>
        <v>0</v>
      </c>
      <c r="Q7" s="29">
        <f t="shared" si="7"/>
        <v>0</v>
      </c>
      <c r="R7" s="22" t="str">
        <f t="shared" si="8"/>
        <v/>
      </c>
      <c r="S7" s="23"/>
      <c r="T7" s="45" t="str">
        <f t="shared" si="9"/>
        <v/>
      </c>
      <c r="U7" s="25"/>
      <c r="V7" s="45" t="str">
        <f t="shared" si="10"/>
        <v/>
      </c>
      <c r="W7" s="47"/>
      <c r="X7" s="22" t="str">
        <f t="shared" si="11"/>
        <v/>
      </c>
      <c r="Y7" s="23"/>
      <c r="Z7" s="45" t="str">
        <f t="shared" si="12"/>
        <v/>
      </c>
      <c r="AA7" s="25"/>
      <c r="AB7" s="45" t="str">
        <f t="shared" si="13"/>
        <v/>
      </c>
      <c r="AC7" s="47"/>
      <c r="AD7" s="22" t="str">
        <f t="shared" si="14"/>
        <v/>
      </c>
      <c r="AE7" s="23"/>
      <c r="AF7" s="45" t="str">
        <f t="shared" si="15"/>
        <v/>
      </c>
      <c r="AG7" s="25"/>
      <c r="AH7" s="45" t="str">
        <f t="shared" si="16"/>
        <v/>
      </c>
      <c r="AI7" s="20">
        <v>0.0</v>
      </c>
      <c r="AJ7" s="5"/>
      <c r="AK7" s="22" t="str">
        <f t="shared" si="17"/>
        <v/>
      </c>
      <c r="AL7" s="22"/>
      <c r="AM7" s="23"/>
      <c r="AN7" s="45" t="str">
        <f t="shared" si="18"/>
        <v/>
      </c>
      <c r="AO7" s="25"/>
      <c r="AP7" s="45" t="str">
        <f t="shared" si="19"/>
        <v/>
      </c>
      <c r="AQ7" s="29" t="str">
        <f t="shared" si="20"/>
        <v/>
      </c>
      <c r="AR7" s="29">
        <f t="shared" si="21"/>
        <v>0</v>
      </c>
      <c r="AS7" s="29">
        <f t="shared" si="22"/>
        <v>0</v>
      </c>
      <c r="AT7" s="22" t="str">
        <f t="shared" si="23"/>
        <v/>
      </c>
      <c r="AU7" s="23"/>
      <c r="AV7" s="45" t="str">
        <f t="shared" si="24"/>
        <v/>
      </c>
      <c r="AW7" s="25"/>
      <c r="AX7" s="45" t="str">
        <f t="shared" si="25"/>
        <v/>
      </c>
      <c r="AY7" s="47"/>
      <c r="AZ7" s="22" t="str">
        <f t="shared" si="26"/>
        <v/>
      </c>
      <c r="BA7" s="23"/>
      <c r="BB7" s="45" t="str">
        <f t="shared" si="27"/>
        <v/>
      </c>
      <c r="BC7" s="25"/>
      <c r="BD7" s="45" t="str">
        <f t="shared" si="28"/>
        <v/>
      </c>
      <c r="BE7" s="47"/>
      <c r="BF7" s="22" t="str">
        <f t="shared" si="29"/>
        <v/>
      </c>
      <c r="BG7" s="23"/>
      <c r="BH7" s="45" t="str">
        <f t="shared" si="30"/>
        <v/>
      </c>
      <c r="BI7" s="25"/>
      <c r="BJ7" s="45" t="str">
        <f t="shared" si="31"/>
        <v/>
      </c>
      <c r="BK7" s="20">
        <v>0.0</v>
      </c>
      <c r="BL7" s="5"/>
      <c r="BM7" s="22" t="str">
        <f t="shared" si="32"/>
        <v/>
      </c>
      <c r="BN7" s="23"/>
      <c r="BO7" s="45" t="str">
        <f t="shared" si="33"/>
        <v/>
      </c>
      <c r="BP7" s="25"/>
      <c r="BQ7" s="45" t="str">
        <f t="shared" si="34"/>
        <v/>
      </c>
      <c r="BR7" s="29" t="str">
        <f t="shared" si="35"/>
        <v/>
      </c>
      <c r="BS7" s="29">
        <f t="shared" si="36"/>
        <v>0</v>
      </c>
      <c r="BT7" s="29">
        <f t="shared" si="37"/>
        <v>0</v>
      </c>
      <c r="BU7" s="22" t="str">
        <f t="shared" si="38"/>
        <v/>
      </c>
      <c r="BV7" s="23"/>
      <c r="BW7" s="45" t="str">
        <f t="shared" si="39"/>
        <v/>
      </c>
      <c r="BX7" s="25"/>
      <c r="BY7" s="45" t="str">
        <f t="shared" si="40"/>
        <v/>
      </c>
      <c r="BZ7" s="47"/>
      <c r="CA7" s="22" t="str">
        <f t="shared" si="41"/>
        <v/>
      </c>
      <c r="CB7" s="23"/>
      <c r="CC7" s="45" t="str">
        <f t="shared" si="42"/>
        <v/>
      </c>
      <c r="CD7" s="25"/>
      <c r="CE7" s="45" t="str">
        <f t="shared" si="43"/>
        <v/>
      </c>
      <c r="CF7" s="47"/>
      <c r="CG7" s="22" t="str">
        <f t="shared" si="44"/>
        <v/>
      </c>
      <c r="CH7" s="23"/>
      <c r="CI7" s="45" t="str">
        <f t="shared" si="45"/>
        <v/>
      </c>
      <c r="CJ7" s="25"/>
      <c r="CK7" s="45" t="str">
        <f t="shared" si="46"/>
        <v/>
      </c>
      <c r="CL7" s="20">
        <v>0.0</v>
      </c>
      <c r="CM7" s="5"/>
      <c r="CN7" s="5"/>
      <c r="CO7" s="5"/>
    </row>
    <row r="8">
      <c r="A8" s="20" t="str">
        <f t="shared" si="1"/>
        <v/>
      </c>
      <c r="B8" s="21"/>
      <c r="C8" s="22" t="str">
        <f>IFERROR(__xludf.DUMMYFUNCTION("IFERROR(
IF(A8&lt;&gt;"""",
""EVASTRS00""&amp;A8,
IF(B8&lt;&gt;"""",
INDEX(FILTER($F$4:F8,$A$4:A8&lt;&gt;""""),COUNTA(FILTER($F$4:F8,$A$4:A8&lt;&gt;"""")))&amp;B8,
IF(C8&lt;&gt;"""",
INDEX(FILTER($F$4:F8,$B$4:B8&lt;&gt;""""),COUNTA(FILTER($F$4:F8,$B$4:B8&lt;&gt;"""")))&amp;C8,
""""))),
"""")"),"")</f>
        <v/>
      </c>
      <c r="D8" s="22"/>
      <c r="E8" s="20"/>
      <c r="F8" s="20"/>
      <c r="G8" s="20"/>
      <c r="H8" s="23"/>
      <c r="I8" s="5"/>
      <c r="J8" s="22" t="str">
        <f t="shared" si="2"/>
        <v/>
      </c>
      <c r="K8" s="23"/>
      <c r="L8" s="45" t="str">
        <f t="shared" si="3"/>
        <v/>
      </c>
      <c r="M8" s="25"/>
      <c r="N8" s="45" t="str">
        <f t="shared" si="4"/>
        <v/>
      </c>
      <c r="O8" s="29" t="str">
        <f t="shared" si="5"/>
        <v/>
      </c>
      <c r="P8" s="29">
        <f t="shared" si="6"/>
        <v>0</v>
      </c>
      <c r="Q8" s="29">
        <f t="shared" si="7"/>
        <v>0</v>
      </c>
      <c r="R8" s="22" t="str">
        <f t="shared" si="8"/>
        <v/>
      </c>
      <c r="S8" s="23"/>
      <c r="T8" s="45" t="str">
        <f t="shared" si="9"/>
        <v/>
      </c>
      <c r="U8" s="25"/>
      <c r="V8" s="45" t="str">
        <f t="shared" si="10"/>
        <v/>
      </c>
      <c r="W8" s="47"/>
      <c r="X8" s="22" t="str">
        <f t="shared" si="11"/>
        <v/>
      </c>
      <c r="Y8" s="23"/>
      <c r="Z8" s="45" t="str">
        <f t="shared" si="12"/>
        <v/>
      </c>
      <c r="AA8" s="25"/>
      <c r="AB8" s="45" t="str">
        <f t="shared" si="13"/>
        <v/>
      </c>
      <c r="AC8" s="47"/>
      <c r="AD8" s="22" t="str">
        <f t="shared" si="14"/>
        <v/>
      </c>
      <c r="AE8" s="23"/>
      <c r="AF8" s="45" t="str">
        <f t="shared" si="15"/>
        <v/>
      </c>
      <c r="AG8" s="25"/>
      <c r="AH8" s="45" t="str">
        <f t="shared" si="16"/>
        <v/>
      </c>
      <c r="AI8" s="20">
        <v>0.0</v>
      </c>
      <c r="AJ8" s="5"/>
      <c r="AK8" s="22" t="str">
        <f t="shared" si="17"/>
        <v/>
      </c>
      <c r="AL8" s="22"/>
      <c r="AM8" s="23"/>
      <c r="AN8" s="45" t="str">
        <f t="shared" si="18"/>
        <v/>
      </c>
      <c r="AO8" s="25"/>
      <c r="AP8" s="45" t="str">
        <f t="shared" si="19"/>
        <v/>
      </c>
      <c r="AQ8" s="29" t="str">
        <f t="shared" si="20"/>
        <v/>
      </c>
      <c r="AR8" s="29">
        <f t="shared" si="21"/>
        <v>0</v>
      </c>
      <c r="AS8" s="29">
        <f t="shared" si="22"/>
        <v>0</v>
      </c>
      <c r="AT8" s="22" t="str">
        <f t="shared" si="23"/>
        <v/>
      </c>
      <c r="AU8" s="23"/>
      <c r="AV8" s="45" t="str">
        <f t="shared" si="24"/>
        <v/>
      </c>
      <c r="AW8" s="25"/>
      <c r="AX8" s="45" t="str">
        <f t="shared" si="25"/>
        <v/>
      </c>
      <c r="AY8" s="47"/>
      <c r="AZ8" s="22" t="str">
        <f t="shared" si="26"/>
        <v/>
      </c>
      <c r="BA8" s="23"/>
      <c r="BB8" s="45" t="str">
        <f t="shared" si="27"/>
        <v/>
      </c>
      <c r="BC8" s="25"/>
      <c r="BD8" s="45" t="str">
        <f t="shared" si="28"/>
        <v/>
      </c>
      <c r="BE8" s="47"/>
      <c r="BF8" s="22" t="str">
        <f t="shared" si="29"/>
        <v/>
      </c>
      <c r="BG8" s="23"/>
      <c r="BH8" s="45" t="str">
        <f t="shared" si="30"/>
        <v/>
      </c>
      <c r="BI8" s="25"/>
      <c r="BJ8" s="45" t="str">
        <f t="shared" si="31"/>
        <v/>
      </c>
      <c r="BK8" s="20">
        <v>0.0</v>
      </c>
      <c r="BL8" s="5"/>
      <c r="BM8" s="22" t="str">
        <f t="shared" si="32"/>
        <v/>
      </c>
      <c r="BN8" s="23"/>
      <c r="BO8" s="45" t="str">
        <f t="shared" si="33"/>
        <v/>
      </c>
      <c r="BP8" s="25"/>
      <c r="BQ8" s="45" t="str">
        <f t="shared" si="34"/>
        <v/>
      </c>
      <c r="BR8" s="29" t="str">
        <f t="shared" si="35"/>
        <v/>
      </c>
      <c r="BS8" s="29">
        <f t="shared" si="36"/>
        <v>0</v>
      </c>
      <c r="BT8" s="29">
        <f t="shared" si="37"/>
        <v>0</v>
      </c>
      <c r="BU8" s="22" t="str">
        <f t="shared" si="38"/>
        <v/>
      </c>
      <c r="BV8" s="23"/>
      <c r="BW8" s="45" t="str">
        <f t="shared" si="39"/>
        <v/>
      </c>
      <c r="BX8" s="25"/>
      <c r="BY8" s="45" t="str">
        <f t="shared" si="40"/>
        <v/>
      </c>
      <c r="BZ8" s="47"/>
      <c r="CA8" s="22" t="str">
        <f t="shared" si="41"/>
        <v/>
      </c>
      <c r="CB8" s="23"/>
      <c r="CC8" s="45" t="str">
        <f t="shared" si="42"/>
        <v/>
      </c>
      <c r="CD8" s="25"/>
      <c r="CE8" s="45" t="str">
        <f t="shared" si="43"/>
        <v/>
      </c>
      <c r="CF8" s="47"/>
      <c r="CG8" s="22" t="str">
        <f t="shared" si="44"/>
        <v/>
      </c>
      <c r="CH8" s="23"/>
      <c r="CI8" s="45" t="str">
        <f t="shared" si="45"/>
        <v/>
      </c>
      <c r="CJ8" s="25"/>
      <c r="CK8" s="45" t="str">
        <f t="shared" si="46"/>
        <v/>
      </c>
      <c r="CL8" s="20">
        <v>0.0</v>
      </c>
      <c r="CM8" s="5"/>
      <c r="CN8" s="5"/>
      <c r="CO8" s="5"/>
    </row>
    <row r="9">
      <c r="A9" s="20" t="str">
        <f t="shared" si="1"/>
        <v/>
      </c>
      <c r="B9" s="21"/>
      <c r="C9" s="22" t="str">
        <f>IFERROR(__xludf.DUMMYFUNCTION("IFERROR(
IF(A9&lt;&gt;"""",
""EVASTRS00""&amp;A9,
IF(B9&lt;&gt;"""",
INDEX(FILTER($F$4:F9,$A$4:A9&lt;&gt;""""),COUNTA(FILTER($F$4:F9,$A$4:A9&lt;&gt;"""")))&amp;B9,
IF(C9&lt;&gt;"""",
INDEX(FILTER($F$4:F9,$B$4:B9&lt;&gt;""""),COUNTA(FILTER($F$4:F9,$B$4:B9&lt;&gt;"""")))&amp;C9,
""""))),
"""")"),"")</f>
        <v/>
      </c>
      <c r="D9" s="22"/>
      <c r="E9" s="20"/>
      <c r="F9" s="20"/>
      <c r="G9" s="20"/>
      <c r="H9" s="23"/>
      <c r="I9" s="5"/>
      <c r="J9" s="22" t="str">
        <f t="shared" si="2"/>
        <v/>
      </c>
      <c r="K9" s="23"/>
      <c r="L9" s="45" t="str">
        <f t="shared" si="3"/>
        <v/>
      </c>
      <c r="M9" s="25"/>
      <c r="N9" s="45" t="str">
        <f t="shared" si="4"/>
        <v/>
      </c>
      <c r="O9" s="29" t="str">
        <f t="shared" si="5"/>
        <v/>
      </c>
      <c r="P9" s="29">
        <f t="shared" si="6"/>
        <v>0</v>
      </c>
      <c r="Q9" s="29">
        <f t="shared" si="7"/>
        <v>0</v>
      </c>
      <c r="R9" s="22" t="str">
        <f t="shared" si="8"/>
        <v/>
      </c>
      <c r="S9" s="23"/>
      <c r="T9" s="45" t="str">
        <f t="shared" si="9"/>
        <v/>
      </c>
      <c r="U9" s="25"/>
      <c r="V9" s="45" t="str">
        <f t="shared" si="10"/>
        <v/>
      </c>
      <c r="W9" s="47"/>
      <c r="X9" s="22" t="str">
        <f t="shared" si="11"/>
        <v/>
      </c>
      <c r="Y9" s="23"/>
      <c r="Z9" s="45" t="str">
        <f t="shared" si="12"/>
        <v/>
      </c>
      <c r="AA9" s="25"/>
      <c r="AB9" s="45" t="str">
        <f t="shared" si="13"/>
        <v/>
      </c>
      <c r="AC9" s="47"/>
      <c r="AD9" s="22" t="str">
        <f t="shared" si="14"/>
        <v/>
      </c>
      <c r="AE9" s="23"/>
      <c r="AF9" s="45" t="str">
        <f t="shared" si="15"/>
        <v/>
      </c>
      <c r="AG9" s="25"/>
      <c r="AH9" s="45" t="str">
        <f t="shared" si="16"/>
        <v/>
      </c>
      <c r="AI9" s="20">
        <v>0.0</v>
      </c>
      <c r="AJ9" s="5"/>
      <c r="AK9" s="22" t="str">
        <f t="shared" si="17"/>
        <v/>
      </c>
      <c r="AL9" s="22"/>
      <c r="AM9" s="23"/>
      <c r="AN9" s="45" t="str">
        <f t="shared" si="18"/>
        <v/>
      </c>
      <c r="AO9" s="25"/>
      <c r="AP9" s="45" t="str">
        <f t="shared" si="19"/>
        <v/>
      </c>
      <c r="AQ9" s="29" t="str">
        <f t="shared" si="20"/>
        <v/>
      </c>
      <c r="AR9" s="29">
        <f t="shared" si="21"/>
        <v>0</v>
      </c>
      <c r="AS9" s="29">
        <f t="shared" si="22"/>
        <v>0</v>
      </c>
      <c r="AT9" s="22" t="str">
        <f t="shared" si="23"/>
        <v/>
      </c>
      <c r="AU9" s="23"/>
      <c r="AV9" s="45" t="str">
        <f t="shared" si="24"/>
        <v/>
      </c>
      <c r="AW9" s="25"/>
      <c r="AX9" s="45" t="str">
        <f t="shared" si="25"/>
        <v/>
      </c>
      <c r="AY9" s="47"/>
      <c r="AZ9" s="22" t="str">
        <f t="shared" si="26"/>
        <v/>
      </c>
      <c r="BA9" s="23"/>
      <c r="BB9" s="45" t="str">
        <f t="shared" si="27"/>
        <v/>
      </c>
      <c r="BC9" s="25"/>
      <c r="BD9" s="45" t="str">
        <f t="shared" si="28"/>
        <v/>
      </c>
      <c r="BE9" s="47"/>
      <c r="BF9" s="22" t="str">
        <f t="shared" si="29"/>
        <v/>
      </c>
      <c r="BG9" s="23"/>
      <c r="BH9" s="45" t="str">
        <f t="shared" si="30"/>
        <v/>
      </c>
      <c r="BI9" s="25"/>
      <c r="BJ9" s="45" t="str">
        <f t="shared" si="31"/>
        <v/>
      </c>
      <c r="BK9" s="20">
        <v>0.0</v>
      </c>
      <c r="BL9" s="5"/>
      <c r="BM9" s="22" t="str">
        <f t="shared" si="32"/>
        <v/>
      </c>
      <c r="BN9" s="23"/>
      <c r="BO9" s="45" t="str">
        <f t="shared" si="33"/>
        <v/>
      </c>
      <c r="BP9" s="25"/>
      <c r="BQ9" s="45" t="str">
        <f t="shared" si="34"/>
        <v/>
      </c>
      <c r="BR9" s="29" t="str">
        <f t="shared" si="35"/>
        <v/>
      </c>
      <c r="BS9" s="29">
        <f t="shared" si="36"/>
        <v>0</v>
      </c>
      <c r="BT9" s="29">
        <f t="shared" si="37"/>
        <v>0</v>
      </c>
      <c r="BU9" s="22" t="str">
        <f t="shared" si="38"/>
        <v/>
      </c>
      <c r="BV9" s="23"/>
      <c r="BW9" s="45" t="str">
        <f t="shared" si="39"/>
        <v/>
      </c>
      <c r="BX9" s="25"/>
      <c r="BY9" s="45" t="str">
        <f t="shared" si="40"/>
        <v/>
      </c>
      <c r="BZ9" s="47"/>
      <c r="CA9" s="22" t="str">
        <f t="shared" si="41"/>
        <v/>
      </c>
      <c r="CB9" s="23"/>
      <c r="CC9" s="45" t="str">
        <f t="shared" si="42"/>
        <v/>
      </c>
      <c r="CD9" s="25"/>
      <c r="CE9" s="45" t="str">
        <f t="shared" si="43"/>
        <v/>
      </c>
      <c r="CF9" s="47"/>
      <c r="CG9" s="22" t="str">
        <f t="shared" si="44"/>
        <v/>
      </c>
      <c r="CH9" s="23"/>
      <c r="CI9" s="45" t="str">
        <f t="shared" si="45"/>
        <v/>
      </c>
      <c r="CJ9" s="25"/>
      <c r="CK9" s="45" t="str">
        <f t="shared" si="46"/>
        <v/>
      </c>
      <c r="CL9" s="20">
        <v>0.0</v>
      </c>
      <c r="CM9" s="5"/>
      <c r="CN9" s="5"/>
      <c r="CO9" s="5"/>
    </row>
    <row r="10">
      <c r="A10" s="20" t="str">
        <f t="shared" si="1"/>
        <v/>
      </c>
      <c r="B10" s="21"/>
      <c r="C10" s="22" t="str">
        <f>IFERROR(__xludf.DUMMYFUNCTION("IFERROR(
IF(A10&lt;&gt;"""",
""EVASTRS00""&amp;A10,
IF(B10&lt;&gt;"""",
INDEX(FILTER($F$4:F10,$A$4:A10&lt;&gt;""""),COUNTA(FILTER($F$4:F10,$A$4:A10&lt;&gt;"""")))&amp;B10,
IF(C10&lt;&gt;"""",
INDEX(FILTER($F$4:F10,$B$4:B10&lt;&gt;""""),COUNTA(FILTER($F$4:F10,$B$4:B10&lt;&gt;"""")))&amp;C10,
""""))),
"""")"),"")</f>
        <v/>
      </c>
      <c r="D10" s="22"/>
      <c r="E10" s="20"/>
      <c r="F10" s="20"/>
      <c r="G10" s="20"/>
      <c r="H10" s="23"/>
      <c r="I10" s="5"/>
      <c r="J10" s="22" t="str">
        <f t="shared" si="2"/>
        <v/>
      </c>
      <c r="K10" s="23"/>
      <c r="L10" s="45" t="str">
        <f t="shared" si="3"/>
        <v/>
      </c>
      <c r="M10" s="25"/>
      <c r="N10" s="45" t="str">
        <f t="shared" si="4"/>
        <v/>
      </c>
      <c r="O10" s="29" t="str">
        <f t="shared" si="5"/>
        <v/>
      </c>
      <c r="P10" s="29">
        <f t="shared" si="6"/>
        <v>0</v>
      </c>
      <c r="Q10" s="29">
        <f t="shared" si="7"/>
        <v>0</v>
      </c>
      <c r="R10" s="22" t="str">
        <f t="shared" si="8"/>
        <v/>
      </c>
      <c r="S10" s="23"/>
      <c r="T10" s="45" t="str">
        <f t="shared" si="9"/>
        <v/>
      </c>
      <c r="U10" s="25"/>
      <c r="V10" s="45" t="str">
        <f t="shared" si="10"/>
        <v/>
      </c>
      <c r="W10" s="47"/>
      <c r="X10" s="22" t="str">
        <f t="shared" si="11"/>
        <v/>
      </c>
      <c r="Y10" s="23"/>
      <c r="Z10" s="45" t="str">
        <f t="shared" si="12"/>
        <v/>
      </c>
      <c r="AA10" s="25"/>
      <c r="AB10" s="45" t="str">
        <f t="shared" si="13"/>
        <v/>
      </c>
      <c r="AC10" s="47"/>
      <c r="AD10" s="22" t="str">
        <f t="shared" si="14"/>
        <v/>
      </c>
      <c r="AE10" s="23"/>
      <c r="AF10" s="45" t="str">
        <f t="shared" si="15"/>
        <v/>
      </c>
      <c r="AG10" s="25"/>
      <c r="AH10" s="45" t="str">
        <f t="shared" si="16"/>
        <v/>
      </c>
      <c r="AI10" s="20">
        <v>0.0</v>
      </c>
      <c r="AJ10" s="5"/>
      <c r="AK10" s="22" t="str">
        <f t="shared" si="17"/>
        <v/>
      </c>
      <c r="AL10" s="22"/>
      <c r="AM10" s="23"/>
      <c r="AN10" s="45" t="str">
        <f t="shared" si="18"/>
        <v/>
      </c>
      <c r="AO10" s="25"/>
      <c r="AP10" s="45" t="str">
        <f t="shared" si="19"/>
        <v/>
      </c>
      <c r="AQ10" s="29" t="str">
        <f t="shared" si="20"/>
        <v/>
      </c>
      <c r="AR10" s="29">
        <f t="shared" si="21"/>
        <v>0</v>
      </c>
      <c r="AS10" s="29">
        <f t="shared" si="22"/>
        <v>0</v>
      </c>
      <c r="AT10" s="22" t="str">
        <f t="shared" si="23"/>
        <v/>
      </c>
      <c r="AU10" s="23"/>
      <c r="AV10" s="45" t="str">
        <f t="shared" si="24"/>
        <v/>
      </c>
      <c r="AW10" s="25"/>
      <c r="AX10" s="45" t="str">
        <f t="shared" si="25"/>
        <v/>
      </c>
      <c r="AY10" s="47"/>
      <c r="AZ10" s="22" t="str">
        <f t="shared" si="26"/>
        <v/>
      </c>
      <c r="BA10" s="23"/>
      <c r="BB10" s="45" t="str">
        <f t="shared" si="27"/>
        <v/>
      </c>
      <c r="BC10" s="25"/>
      <c r="BD10" s="45" t="str">
        <f t="shared" si="28"/>
        <v/>
      </c>
      <c r="BE10" s="47"/>
      <c r="BF10" s="22" t="str">
        <f t="shared" si="29"/>
        <v/>
      </c>
      <c r="BG10" s="23"/>
      <c r="BH10" s="45" t="str">
        <f t="shared" si="30"/>
        <v/>
      </c>
      <c r="BI10" s="25"/>
      <c r="BJ10" s="45" t="str">
        <f t="shared" si="31"/>
        <v/>
      </c>
      <c r="BK10" s="20">
        <v>0.0</v>
      </c>
      <c r="BL10" s="5"/>
      <c r="BM10" s="22" t="str">
        <f t="shared" si="32"/>
        <v/>
      </c>
      <c r="BN10" s="23"/>
      <c r="BO10" s="45" t="str">
        <f t="shared" si="33"/>
        <v/>
      </c>
      <c r="BP10" s="25"/>
      <c r="BQ10" s="45" t="str">
        <f t="shared" si="34"/>
        <v/>
      </c>
      <c r="BR10" s="29" t="str">
        <f t="shared" si="35"/>
        <v/>
      </c>
      <c r="BS10" s="29">
        <f t="shared" si="36"/>
        <v>0</v>
      </c>
      <c r="BT10" s="29">
        <f t="shared" si="37"/>
        <v>0</v>
      </c>
      <c r="BU10" s="22" t="str">
        <f t="shared" si="38"/>
        <v/>
      </c>
      <c r="BV10" s="23"/>
      <c r="BW10" s="45" t="str">
        <f t="shared" si="39"/>
        <v/>
      </c>
      <c r="BX10" s="25"/>
      <c r="BY10" s="45" t="str">
        <f t="shared" si="40"/>
        <v/>
      </c>
      <c r="BZ10" s="47"/>
      <c r="CA10" s="22" t="str">
        <f t="shared" si="41"/>
        <v/>
      </c>
      <c r="CB10" s="23"/>
      <c r="CC10" s="45" t="str">
        <f t="shared" si="42"/>
        <v/>
      </c>
      <c r="CD10" s="25"/>
      <c r="CE10" s="45" t="str">
        <f t="shared" si="43"/>
        <v/>
      </c>
      <c r="CF10" s="47"/>
      <c r="CG10" s="22" t="str">
        <f t="shared" si="44"/>
        <v/>
      </c>
      <c r="CH10" s="23"/>
      <c r="CI10" s="45" t="str">
        <f t="shared" si="45"/>
        <v/>
      </c>
      <c r="CJ10" s="25"/>
      <c r="CK10" s="45" t="str">
        <f t="shared" si="46"/>
        <v/>
      </c>
      <c r="CL10" s="20">
        <v>0.0</v>
      </c>
      <c r="CM10" s="5"/>
      <c r="CN10" s="5"/>
      <c r="CO10" s="5"/>
    </row>
    <row r="11">
      <c r="A11" s="20" t="str">
        <f t="shared" si="1"/>
        <v/>
      </c>
      <c r="B11" s="21"/>
      <c r="C11" s="22" t="str">
        <f>IFERROR(__xludf.DUMMYFUNCTION("IFERROR(
IF(A11&lt;&gt;"""",
""EVASTRS00""&amp;A11,
IF(B11&lt;&gt;"""",
INDEX(FILTER($F$4:F11,$A$4:A11&lt;&gt;""""),COUNTA(FILTER($F$4:F11,$A$4:A11&lt;&gt;"""")))&amp;B11,
IF(C11&lt;&gt;"""",
INDEX(FILTER($F$4:F11,$B$4:B11&lt;&gt;""""),COUNTA(FILTER($F$4:F11,$B$4:B11&lt;&gt;"""")))&amp;C11,
""""))),
"""")"),"")</f>
        <v/>
      </c>
      <c r="D11" s="22"/>
      <c r="E11" s="20"/>
      <c r="F11" s="20"/>
      <c r="G11" s="20"/>
      <c r="H11" s="23"/>
      <c r="I11" s="5"/>
      <c r="J11" s="22" t="str">
        <f t="shared" si="2"/>
        <v/>
      </c>
      <c r="K11" s="23"/>
      <c r="L11" s="45" t="str">
        <f t="shared" si="3"/>
        <v/>
      </c>
      <c r="M11" s="25"/>
      <c r="N11" s="45" t="str">
        <f t="shared" si="4"/>
        <v/>
      </c>
      <c r="O11" s="29" t="str">
        <f t="shared" si="5"/>
        <v/>
      </c>
      <c r="P11" s="29">
        <f t="shared" si="6"/>
        <v>0</v>
      </c>
      <c r="Q11" s="29">
        <f t="shared" si="7"/>
        <v>0</v>
      </c>
      <c r="R11" s="22" t="str">
        <f t="shared" si="8"/>
        <v/>
      </c>
      <c r="S11" s="23"/>
      <c r="T11" s="45" t="str">
        <f t="shared" si="9"/>
        <v/>
      </c>
      <c r="U11" s="25"/>
      <c r="V11" s="45" t="str">
        <f t="shared" si="10"/>
        <v/>
      </c>
      <c r="W11" s="47"/>
      <c r="X11" s="22" t="str">
        <f t="shared" si="11"/>
        <v/>
      </c>
      <c r="Y11" s="23"/>
      <c r="Z11" s="45" t="str">
        <f t="shared" si="12"/>
        <v/>
      </c>
      <c r="AA11" s="25"/>
      <c r="AB11" s="45" t="str">
        <f t="shared" si="13"/>
        <v/>
      </c>
      <c r="AC11" s="47"/>
      <c r="AD11" s="22" t="str">
        <f t="shared" si="14"/>
        <v/>
      </c>
      <c r="AE11" s="23"/>
      <c r="AF11" s="45" t="str">
        <f t="shared" si="15"/>
        <v/>
      </c>
      <c r="AG11" s="25"/>
      <c r="AH11" s="45" t="str">
        <f t="shared" si="16"/>
        <v/>
      </c>
      <c r="AI11" s="20">
        <v>0.0</v>
      </c>
      <c r="AJ11" s="5"/>
      <c r="AK11" s="22" t="str">
        <f t="shared" si="17"/>
        <v/>
      </c>
      <c r="AL11" s="22"/>
      <c r="AM11" s="23"/>
      <c r="AN11" s="45" t="str">
        <f t="shared" si="18"/>
        <v/>
      </c>
      <c r="AO11" s="25"/>
      <c r="AP11" s="45" t="str">
        <f t="shared" si="19"/>
        <v/>
      </c>
      <c r="AQ11" s="29" t="str">
        <f t="shared" si="20"/>
        <v/>
      </c>
      <c r="AR11" s="29">
        <f t="shared" si="21"/>
        <v>0</v>
      </c>
      <c r="AS11" s="29">
        <f t="shared" si="22"/>
        <v>0</v>
      </c>
      <c r="AT11" s="22" t="str">
        <f t="shared" si="23"/>
        <v/>
      </c>
      <c r="AU11" s="23"/>
      <c r="AV11" s="45" t="str">
        <f t="shared" si="24"/>
        <v/>
      </c>
      <c r="AW11" s="25"/>
      <c r="AX11" s="45" t="str">
        <f t="shared" si="25"/>
        <v/>
      </c>
      <c r="AY11" s="47"/>
      <c r="AZ11" s="22" t="str">
        <f t="shared" si="26"/>
        <v/>
      </c>
      <c r="BA11" s="23"/>
      <c r="BB11" s="45" t="str">
        <f t="shared" si="27"/>
        <v/>
      </c>
      <c r="BC11" s="25"/>
      <c r="BD11" s="45" t="str">
        <f t="shared" si="28"/>
        <v/>
      </c>
      <c r="BE11" s="47"/>
      <c r="BF11" s="22" t="str">
        <f t="shared" si="29"/>
        <v/>
      </c>
      <c r="BG11" s="23"/>
      <c r="BH11" s="45" t="str">
        <f t="shared" si="30"/>
        <v/>
      </c>
      <c r="BI11" s="25"/>
      <c r="BJ11" s="45" t="str">
        <f t="shared" si="31"/>
        <v/>
      </c>
      <c r="BK11" s="20">
        <v>0.0</v>
      </c>
      <c r="BL11" s="5"/>
      <c r="BM11" s="22" t="str">
        <f t="shared" si="32"/>
        <v/>
      </c>
      <c r="BN11" s="23"/>
      <c r="BO11" s="45" t="str">
        <f t="shared" si="33"/>
        <v/>
      </c>
      <c r="BP11" s="25"/>
      <c r="BQ11" s="45" t="str">
        <f t="shared" si="34"/>
        <v/>
      </c>
      <c r="BR11" s="29" t="str">
        <f t="shared" si="35"/>
        <v/>
      </c>
      <c r="BS11" s="29">
        <f t="shared" si="36"/>
        <v>0</v>
      </c>
      <c r="BT11" s="29">
        <f t="shared" si="37"/>
        <v>0</v>
      </c>
      <c r="BU11" s="22" t="str">
        <f t="shared" si="38"/>
        <v/>
      </c>
      <c r="BV11" s="23"/>
      <c r="BW11" s="45" t="str">
        <f t="shared" si="39"/>
        <v/>
      </c>
      <c r="BX11" s="25"/>
      <c r="BY11" s="45" t="str">
        <f t="shared" si="40"/>
        <v/>
      </c>
      <c r="BZ11" s="47"/>
      <c r="CA11" s="22" t="str">
        <f t="shared" si="41"/>
        <v/>
      </c>
      <c r="CB11" s="23"/>
      <c r="CC11" s="45" t="str">
        <f t="shared" si="42"/>
        <v/>
      </c>
      <c r="CD11" s="25"/>
      <c r="CE11" s="45" t="str">
        <f t="shared" si="43"/>
        <v/>
      </c>
      <c r="CF11" s="47"/>
      <c r="CG11" s="22" t="str">
        <f t="shared" si="44"/>
        <v/>
      </c>
      <c r="CH11" s="23"/>
      <c r="CI11" s="45" t="str">
        <f t="shared" si="45"/>
        <v/>
      </c>
      <c r="CJ11" s="25"/>
      <c r="CK11" s="45" t="str">
        <f t="shared" si="46"/>
        <v/>
      </c>
      <c r="CL11" s="20">
        <v>0.0</v>
      </c>
      <c r="CM11" s="5"/>
      <c r="CN11" s="5"/>
      <c r="CO11" s="5"/>
    </row>
    <row r="12">
      <c r="A12" s="20" t="str">
        <f t="shared" si="1"/>
        <v/>
      </c>
      <c r="B12" s="21"/>
      <c r="C12" s="22" t="str">
        <f>IFERROR(__xludf.DUMMYFUNCTION("IFERROR(
IF(A12&lt;&gt;"""",
""EVASTRS00""&amp;A12,
IF(B12&lt;&gt;"""",
INDEX(FILTER($F$4:F12,$A$4:A12&lt;&gt;""""),COUNTA(FILTER($F$4:F12,$A$4:A12&lt;&gt;"""")))&amp;B12,
IF(C12&lt;&gt;"""",
INDEX(FILTER($F$4:F12,$B$4:B12&lt;&gt;""""),COUNTA(FILTER($F$4:F12,$B$4:B12&lt;&gt;"""")))&amp;C12,
""""))),
"""")"),"")</f>
        <v/>
      </c>
      <c r="D12" s="22"/>
      <c r="E12" s="20"/>
      <c r="F12" s="20"/>
      <c r="G12" s="20"/>
      <c r="H12" s="23"/>
      <c r="I12" s="5"/>
      <c r="J12" s="22" t="str">
        <f t="shared" si="2"/>
        <v/>
      </c>
      <c r="K12" s="23"/>
      <c r="L12" s="45" t="str">
        <f t="shared" si="3"/>
        <v/>
      </c>
      <c r="M12" s="25"/>
      <c r="N12" s="45" t="str">
        <f t="shared" si="4"/>
        <v/>
      </c>
      <c r="O12" s="29" t="str">
        <f t="shared" si="5"/>
        <v/>
      </c>
      <c r="P12" s="29">
        <f t="shared" si="6"/>
        <v>0</v>
      </c>
      <c r="Q12" s="29">
        <f t="shared" si="7"/>
        <v>0</v>
      </c>
      <c r="R12" s="22" t="str">
        <f t="shared" si="8"/>
        <v/>
      </c>
      <c r="S12" s="23"/>
      <c r="T12" s="45" t="str">
        <f t="shared" si="9"/>
        <v/>
      </c>
      <c r="U12" s="25"/>
      <c r="V12" s="45" t="str">
        <f t="shared" si="10"/>
        <v/>
      </c>
      <c r="W12" s="47"/>
      <c r="X12" s="22" t="str">
        <f t="shared" si="11"/>
        <v/>
      </c>
      <c r="Y12" s="23"/>
      <c r="Z12" s="45" t="str">
        <f t="shared" si="12"/>
        <v/>
      </c>
      <c r="AA12" s="25"/>
      <c r="AB12" s="45" t="str">
        <f t="shared" si="13"/>
        <v/>
      </c>
      <c r="AC12" s="47"/>
      <c r="AD12" s="22" t="str">
        <f t="shared" si="14"/>
        <v/>
      </c>
      <c r="AE12" s="23"/>
      <c r="AF12" s="45" t="str">
        <f t="shared" si="15"/>
        <v/>
      </c>
      <c r="AG12" s="25"/>
      <c r="AH12" s="45" t="str">
        <f t="shared" si="16"/>
        <v/>
      </c>
      <c r="AI12" s="20">
        <v>0.0</v>
      </c>
      <c r="AJ12" s="5"/>
      <c r="AK12" s="22" t="str">
        <f t="shared" si="17"/>
        <v/>
      </c>
      <c r="AL12" s="22"/>
      <c r="AM12" s="23"/>
      <c r="AN12" s="45" t="str">
        <f t="shared" si="18"/>
        <v/>
      </c>
      <c r="AO12" s="25"/>
      <c r="AP12" s="45" t="str">
        <f t="shared" si="19"/>
        <v/>
      </c>
      <c r="AQ12" s="29" t="str">
        <f t="shared" si="20"/>
        <v/>
      </c>
      <c r="AR12" s="29">
        <f t="shared" si="21"/>
        <v>0</v>
      </c>
      <c r="AS12" s="29">
        <f t="shared" si="22"/>
        <v>0</v>
      </c>
      <c r="AT12" s="22" t="str">
        <f t="shared" si="23"/>
        <v/>
      </c>
      <c r="AU12" s="23"/>
      <c r="AV12" s="45" t="str">
        <f t="shared" si="24"/>
        <v/>
      </c>
      <c r="AW12" s="25"/>
      <c r="AX12" s="45" t="str">
        <f t="shared" si="25"/>
        <v/>
      </c>
      <c r="AY12" s="47"/>
      <c r="AZ12" s="22" t="str">
        <f t="shared" si="26"/>
        <v/>
      </c>
      <c r="BA12" s="23"/>
      <c r="BB12" s="45" t="str">
        <f t="shared" si="27"/>
        <v/>
      </c>
      <c r="BC12" s="25"/>
      <c r="BD12" s="45" t="str">
        <f t="shared" si="28"/>
        <v/>
      </c>
      <c r="BE12" s="47"/>
      <c r="BF12" s="22" t="str">
        <f t="shared" si="29"/>
        <v/>
      </c>
      <c r="BG12" s="23"/>
      <c r="BH12" s="45" t="str">
        <f t="shared" si="30"/>
        <v/>
      </c>
      <c r="BI12" s="25"/>
      <c r="BJ12" s="45" t="str">
        <f t="shared" si="31"/>
        <v/>
      </c>
      <c r="BK12" s="20">
        <v>0.0</v>
      </c>
      <c r="BL12" s="5"/>
      <c r="BM12" s="22" t="str">
        <f t="shared" si="32"/>
        <v/>
      </c>
      <c r="BN12" s="23"/>
      <c r="BO12" s="45" t="str">
        <f t="shared" si="33"/>
        <v/>
      </c>
      <c r="BP12" s="25"/>
      <c r="BQ12" s="45" t="str">
        <f t="shared" si="34"/>
        <v/>
      </c>
      <c r="BR12" s="29" t="str">
        <f t="shared" si="35"/>
        <v/>
      </c>
      <c r="BS12" s="29">
        <f t="shared" si="36"/>
        <v>0</v>
      </c>
      <c r="BT12" s="29">
        <f t="shared" si="37"/>
        <v>0</v>
      </c>
      <c r="BU12" s="22" t="str">
        <f t="shared" si="38"/>
        <v/>
      </c>
      <c r="BV12" s="23"/>
      <c r="BW12" s="45" t="str">
        <f t="shared" si="39"/>
        <v/>
      </c>
      <c r="BX12" s="25"/>
      <c r="BY12" s="45" t="str">
        <f t="shared" si="40"/>
        <v/>
      </c>
      <c r="BZ12" s="47"/>
      <c r="CA12" s="22" t="str">
        <f t="shared" si="41"/>
        <v/>
      </c>
      <c r="CB12" s="23"/>
      <c r="CC12" s="45" t="str">
        <f t="shared" si="42"/>
        <v/>
      </c>
      <c r="CD12" s="25"/>
      <c r="CE12" s="45" t="str">
        <f t="shared" si="43"/>
        <v/>
      </c>
      <c r="CF12" s="47"/>
      <c r="CG12" s="22" t="str">
        <f t="shared" si="44"/>
        <v/>
      </c>
      <c r="CH12" s="23"/>
      <c r="CI12" s="45" t="str">
        <f t="shared" si="45"/>
        <v/>
      </c>
      <c r="CJ12" s="25"/>
      <c r="CK12" s="45" t="str">
        <f t="shared" si="46"/>
        <v/>
      </c>
      <c r="CL12" s="20">
        <v>0.0</v>
      </c>
      <c r="CM12" s="5"/>
      <c r="CN12" s="5"/>
      <c r="CO12" s="5"/>
    </row>
    <row r="13">
      <c r="A13" s="20" t="str">
        <f t="shared" si="1"/>
        <v/>
      </c>
      <c r="B13" s="21"/>
      <c r="C13" s="22" t="str">
        <f>IFERROR(__xludf.DUMMYFUNCTION("IFERROR(
IF(A13&lt;&gt;"""",
""EVASTRS00""&amp;A13,
IF(B13&lt;&gt;"""",
INDEX(FILTER($F$4:F13,$A$4:A13&lt;&gt;""""),COUNTA(FILTER($F$4:F13,$A$4:A13&lt;&gt;"""")))&amp;B13,
IF(C13&lt;&gt;"""",
INDEX(FILTER($F$4:F13,$B$4:B13&lt;&gt;""""),COUNTA(FILTER($F$4:F13,$B$4:B13&lt;&gt;"""")))&amp;C13,
""""))),
"""")"),"")</f>
        <v/>
      </c>
      <c r="D13" s="22"/>
      <c r="E13" s="20"/>
      <c r="F13" s="20"/>
      <c r="G13" s="20"/>
      <c r="H13" s="23"/>
      <c r="I13" s="5"/>
      <c r="J13" s="22" t="str">
        <f t="shared" si="2"/>
        <v/>
      </c>
      <c r="K13" s="23"/>
      <c r="L13" s="45" t="str">
        <f t="shared" si="3"/>
        <v/>
      </c>
      <c r="M13" s="25"/>
      <c r="N13" s="45" t="str">
        <f t="shared" si="4"/>
        <v/>
      </c>
      <c r="O13" s="29" t="str">
        <f t="shared" si="5"/>
        <v/>
      </c>
      <c r="P13" s="29">
        <f t="shared" si="6"/>
        <v>0</v>
      </c>
      <c r="Q13" s="29">
        <f t="shared" si="7"/>
        <v>0</v>
      </c>
      <c r="R13" s="22" t="str">
        <f t="shared" si="8"/>
        <v/>
      </c>
      <c r="S13" s="23"/>
      <c r="T13" s="45" t="str">
        <f t="shared" si="9"/>
        <v/>
      </c>
      <c r="U13" s="25"/>
      <c r="V13" s="45" t="str">
        <f t="shared" si="10"/>
        <v/>
      </c>
      <c r="W13" s="47"/>
      <c r="X13" s="22" t="str">
        <f t="shared" si="11"/>
        <v/>
      </c>
      <c r="Y13" s="23"/>
      <c r="Z13" s="45" t="str">
        <f t="shared" si="12"/>
        <v/>
      </c>
      <c r="AA13" s="25"/>
      <c r="AB13" s="45" t="str">
        <f t="shared" si="13"/>
        <v/>
      </c>
      <c r="AC13" s="47"/>
      <c r="AD13" s="22" t="str">
        <f t="shared" si="14"/>
        <v/>
      </c>
      <c r="AE13" s="23"/>
      <c r="AF13" s="45" t="str">
        <f t="shared" si="15"/>
        <v/>
      </c>
      <c r="AG13" s="25"/>
      <c r="AH13" s="45" t="str">
        <f t="shared" si="16"/>
        <v/>
      </c>
      <c r="AI13" s="20">
        <v>0.0</v>
      </c>
      <c r="AJ13" s="5"/>
      <c r="AK13" s="22" t="str">
        <f t="shared" si="17"/>
        <v/>
      </c>
      <c r="AL13" s="22"/>
      <c r="AM13" s="23"/>
      <c r="AN13" s="45" t="str">
        <f t="shared" si="18"/>
        <v/>
      </c>
      <c r="AO13" s="25"/>
      <c r="AP13" s="45" t="str">
        <f t="shared" si="19"/>
        <v/>
      </c>
      <c r="AQ13" s="29" t="str">
        <f t="shared" si="20"/>
        <v/>
      </c>
      <c r="AR13" s="29">
        <f t="shared" si="21"/>
        <v>0</v>
      </c>
      <c r="AS13" s="29">
        <f t="shared" si="22"/>
        <v>0</v>
      </c>
      <c r="AT13" s="22" t="str">
        <f t="shared" si="23"/>
        <v/>
      </c>
      <c r="AU13" s="23"/>
      <c r="AV13" s="45" t="str">
        <f t="shared" si="24"/>
        <v/>
      </c>
      <c r="AW13" s="25"/>
      <c r="AX13" s="45" t="str">
        <f t="shared" si="25"/>
        <v/>
      </c>
      <c r="AY13" s="47"/>
      <c r="AZ13" s="22" t="str">
        <f t="shared" si="26"/>
        <v/>
      </c>
      <c r="BA13" s="23"/>
      <c r="BB13" s="45" t="str">
        <f t="shared" si="27"/>
        <v/>
      </c>
      <c r="BC13" s="25"/>
      <c r="BD13" s="45" t="str">
        <f t="shared" si="28"/>
        <v/>
      </c>
      <c r="BE13" s="47"/>
      <c r="BF13" s="22" t="str">
        <f t="shared" si="29"/>
        <v/>
      </c>
      <c r="BG13" s="23"/>
      <c r="BH13" s="45" t="str">
        <f t="shared" si="30"/>
        <v/>
      </c>
      <c r="BI13" s="25"/>
      <c r="BJ13" s="45" t="str">
        <f t="shared" si="31"/>
        <v/>
      </c>
      <c r="BK13" s="20">
        <v>0.0</v>
      </c>
      <c r="BL13" s="5"/>
      <c r="BM13" s="22" t="str">
        <f t="shared" si="32"/>
        <v/>
      </c>
      <c r="BN13" s="23"/>
      <c r="BO13" s="45" t="str">
        <f t="shared" si="33"/>
        <v/>
      </c>
      <c r="BP13" s="25"/>
      <c r="BQ13" s="45" t="str">
        <f t="shared" si="34"/>
        <v/>
      </c>
      <c r="BR13" s="29" t="str">
        <f t="shared" si="35"/>
        <v/>
      </c>
      <c r="BS13" s="29">
        <f t="shared" si="36"/>
        <v>0</v>
      </c>
      <c r="BT13" s="29">
        <f t="shared" si="37"/>
        <v>0</v>
      </c>
      <c r="BU13" s="22" t="str">
        <f t="shared" si="38"/>
        <v/>
      </c>
      <c r="BV13" s="23"/>
      <c r="BW13" s="45" t="str">
        <f t="shared" si="39"/>
        <v/>
      </c>
      <c r="BX13" s="25"/>
      <c r="BY13" s="45" t="str">
        <f t="shared" si="40"/>
        <v/>
      </c>
      <c r="BZ13" s="47"/>
      <c r="CA13" s="22" t="str">
        <f t="shared" si="41"/>
        <v/>
      </c>
      <c r="CB13" s="23"/>
      <c r="CC13" s="45" t="str">
        <f t="shared" si="42"/>
        <v/>
      </c>
      <c r="CD13" s="25"/>
      <c r="CE13" s="45" t="str">
        <f t="shared" si="43"/>
        <v/>
      </c>
      <c r="CF13" s="47"/>
      <c r="CG13" s="22" t="str">
        <f t="shared" si="44"/>
        <v/>
      </c>
      <c r="CH13" s="23"/>
      <c r="CI13" s="45" t="str">
        <f t="shared" si="45"/>
        <v/>
      </c>
      <c r="CJ13" s="25"/>
      <c r="CK13" s="45" t="str">
        <f t="shared" si="46"/>
        <v/>
      </c>
      <c r="CL13" s="20">
        <v>0.0</v>
      </c>
      <c r="CM13" s="5"/>
      <c r="CN13" s="5"/>
      <c r="CO13" s="5"/>
    </row>
    <row r="14">
      <c r="A14" s="20" t="str">
        <f t="shared" si="1"/>
        <v/>
      </c>
      <c r="B14" s="21"/>
      <c r="C14" s="22" t="str">
        <f>IFERROR(__xludf.DUMMYFUNCTION("IFERROR(
IF(A14&lt;&gt;"""",
""EVASTRS00""&amp;A14,
IF(B14&lt;&gt;"""",
INDEX(FILTER($F$4:F14,$A$4:A14&lt;&gt;""""),COUNTA(FILTER($F$4:F14,$A$4:A14&lt;&gt;"""")))&amp;B14,
IF(C14&lt;&gt;"""",
INDEX(FILTER($F$4:F14,$B$4:B14&lt;&gt;""""),COUNTA(FILTER($F$4:F14,$B$4:B14&lt;&gt;"""")))&amp;C14,
""""))),
"""")"),"")</f>
        <v/>
      </c>
      <c r="D14" s="22"/>
      <c r="E14" s="20"/>
      <c r="F14" s="20"/>
      <c r="G14" s="20"/>
      <c r="H14" s="23"/>
      <c r="I14" s="5"/>
      <c r="J14" s="22" t="str">
        <f t="shared" si="2"/>
        <v/>
      </c>
      <c r="K14" s="23"/>
      <c r="L14" s="45" t="str">
        <f t="shared" si="3"/>
        <v/>
      </c>
      <c r="M14" s="25"/>
      <c r="N14" s="45" t="str">
        <f t="shared" si="4"/>
        <v/>
      </c>
      <c r="O14" s="29" t="str">
        <f t="shared" si="5"/>
        <v/>
      </c>
      <c r="P14" s="29">
        <f t="shared" si="6"/>
        <v>0</v>
      </c>
      <c r="Q14" s="29">
        <f t="shared" si="7"/>
        <v>0</v>
      </c>
      <c r="R14" s="22" t="str">
        <f t="shared" si="8"/>
        <v/>
      </c>
      <c r="S14" s="23"/>
      <c r="T14" s="45" t="str">
        <f t="shared" si="9"/>
        <v/>
      </c>
      <c r="U14" s="25"/>
      <c r="V14" s="45" t="str">
        <f t="shared" si="10"/>
        <v/>
      </c>
      <c r="W14" s="47"/>
      <c r="X14" s="22" t="str">
        <f t="shared" si="11"/>
        <v/>
      </c>
      <c r="Y14" s="23"/>
      <c r="Z14" s="45" t="str">
        <f t="shared" si="12"/>
        <v/>
      </c>
      <c r="AA14" s="25"/>
      <c r="AB14" s="45" t="str">
        <f t="shared" si="13"/>
        <v/>
      </c>
      <c r="AC14" s="47"/>
      <c r="AD14" s="22" t="str">
        <f t="shared" si="14"/>
        <v/>
      </c>
      <c r="AE14" s="23"/>
      <c r="AF14" s="45" t="str">
        <f t="shared" si="15"/>
        <v/>
      </c>
      <c r="AG14" s="25"/>
      <c r="AH14" s="45" t="str">
        <f t="shared" si="16"/>
        <v/>
      </c>
      <c r="AI14" s="20">
        <v>0.0</v>
      </c>
      <c r="AJ14" s="5"/>
      <c r="AK14" s="22" t="str">
        <f t="shared" si="17"/>
        <v/>
      </c>
      <c r="AL14" s="20"/>
      <c r="AM14" s="23"/>
      <c r="AN14" s="45" t="str">
        <f t="shared" si="18"/>
        <v/>
      </c>
      <c r="AO14" s="25"/>
      <c r="AP14" s="45" t="str">
        <f t="shared" si="19"/>
        <v/>
      </c>
      <c r="AQ14" s="29" t="str">
        <f t="shared" si="20"/>
        <v/>
      </c>
      <c r="AR14" s="29">
        <f t="shared" si="21"/>
        <v>0</v>
      </c>
      <c r="AS14" s="29">
        <f t="shared" si="22"/>
        <v>0</v>
      </c>
      <c r="AT14" s="22" t="str">
        <f t="shared" si="23"/>
        <v/>
      </c>
      <c r="AU14" s="23"/>
      <c r="AV14" s="45" t="str">
        <f t="shared" si="24"/>
        <v/>
      </c>
      <c r="AW14" s="25"/>
      <c r="AX14" s="45" t="str">
        <f t="shared" si="25"/>
        <v/>
      </c>
      <c r="AY14" s="47"/>
      <c r="AZ14" s="22" t="str">
        <f t="shared" si="26"/>
        <v/>
      </c>
      <c r="BA14" s="23"/>
      <c r="BB14" s="45" t="str">
        <f t="shared" si="27"/>
        <v/>
      </c>
      <c r="BC14" s="25"/>
      <c r="BD14" s="45" t="str">
        <f t="shared" si="28"/>
        <v/>
      </c>
      <c r="BE14" s="47"/>
      <c r="BF14" s="22" t="str">
        <f t="shared" si="29"/>
        <v/>
      </c>
      <c r="BG14" s="23"/>
      <c r="BH14" s="45" t="str">
        <f t="shared" si="30"/>
        <v/>
      </c>
      <c r="BI14" s="25"/>
      <c r="BJ14" s="45" t="str">
        <f t="shared" si="31"/>
        <v/>
      </c>
      <c r="BK14" s="20">
        <v>0.0</v>
      </c>
      <c r="BL14" s="5"/>
      <c r="BM14" s="22" t="str">
        <f t="shared" si="32"/>
        <v/>
      </c>
      <c r="BN14" s="23"/>
      <c r="BO14" s="45" t="str">
        <f t="shared" si="33"/>
        <v/>
      </c>
      <c r="BP14" s="25"/>
      <c r="BQ14" s="45" t="str">
        <f t="shared" si="34"/>
        <v/>
      </c>
      <c r="BR14" s="29" t="str">
        <f t="shared" si="35"/>
        <v/>
      </c>
      <c r="BS14" s="29">
        <f t="shared" si="36"/>
        <v>0</v>
      </c>
      <c r="BT14" s="29">
        <f t="shared" si="37"/>
        <v>0</v>
      </c>
      <c r="BU14" s="22" t="str">
        <f t="shared" si="38"/>
        <v/>
      </c>
      <c r="BV14" s="23"/>
      <c r="BW14" s="45" t="str">
        <f t="shared" si="39"/>
        <v/>
      </c>
      <c r="BX14" s="25"/>
      <c r="BY14" s="45" t="str">
        <f t="shared" si="40"/>
        <v/>
      </c>
      <c r="BZ14" s="47"/>
      <c r="CA14" s="22" t="str">
        <f t="shared" si="41"/>
        <v/>
      </c>
      <c r="CB14" s="23"/>
      <c r="CC14" s="45" t="str">
        <f t="shared" si="42"/>
        <v/>
      </c>
      <c r="CD14" s="25"/>
      <c r="CE14" s="45" t="str">
        <f t="shared" si="43"/>
        <v/>
      </c>
      <c r="CF14" s="47"/>
      <c r="CG14" s="22" t="str">
        <f t="shared" si="44"/>
        <v/>
      </c>
      <c r="CH14" s="23"/>
      <c r="CI14" s="45" t="str">
        <f t="shared" si="45"/>
        <v/>
      </c>
      <c r="CJ14" s="25"/>
      <c r="CK14" s="45" t="str">
        <f t="shared" si="46"/>
        <v/>
      </c>
      <c r="CL14" s="20">
        <v>0.0</v>
      </c>
      <c r="CM14" s="5"/>
      <c r="CN14" s="5"/>
      <c r="CO14" s="5"/>
    </row>
    <row r="15">
      <c r="A15" s="20" t="str">
        <f t="shared" si="1"/>
        <v/>
      </c>
      <c r="B15" s="21"/>
      <c r="C15" s="22" t="str">
        <f>IFERROR(__xludf.DUMMYFUNCTION("IFERROR(
IF(A15&lt;&gt;"""",
""EVASTRS00""&amp;A15,
IF(B15&lt;&gt;"""",
INDEX(FILTER($F$4:F15,$A$4:A15&lt;&gt;""""),COUNTA(FILTER($F$4:F15,$A$4:A15&lt;&gt;"""")))&amp;B15,
IF(C15&lt;&gt;"""",
INDEX(FILTER($F$4:F15,$B$4:B15&lt;&gt;""""),COUNTA(FILTER($F$4:F15,$B$4:B15&lt;&gt;"""")))&amp;C15,
""""))),
"""")"),"")</f>
        <v/>
      </c>
      <c r="D15" s="22"/>
      <c r="E15" s="20"/>
      <c r="F15" s="20"/>
      <c r="G15" s="20"/>
      <c r="H15" s="23"/>
      <c r="I15" s="5"/>
      <c r="J15" s="22" t="str">
        <f t="shared" si="2"/>
        <v/>
      </c>
      <c r="K15" s="23"/>
      <c r="L15" s="45" t="str">
        <f t="shared" si="3"/>
        <v/>
      </c>
      <c r="M15" s="25"/>
      <c r="N15" s="45" t="str">
        <f t="shared" si="4"/>
        <v/>
      </c>
      <c r="O15" s="29" t="str">
        <f t="shared" si="5"/>
        <v/>
      </c>
      <c r="P15" s="29">
        <f t="shared" si="6"/>
        <v>0</v>
      </c>
      <c r="Q15" s="29">
        <f t="shared" si="7"/>
        <v>0</v>
      </c>
      <c r="R15" s="22" t="str">
        <f t="shared" si="8"/>
        <v/>
      </c>
      <c r="S15" s="23"/>
      <c r="T15" s="45" t="str">
        <f t="shared" si="9"/>
        <v/>
      </c>
      <c r="U15" s="25"/>
      <c r="V15" s="45" t="str">
        <f t="shared" si="10"/>
        <v/>
      </c>
      <c r="W15" s="47"/>
      <c r="X15" s="22" t="str">
        <f t="shared" si="11"/>
        <v/>
      </c>
      <c r="Y15" s="23"/>
      <c r="Z15" s="45" t="str">
        <f t="shared" si="12"/>
        <v/>
      </c>
      <c r="AA15" s="25"/>
      <c r="AB15" s="45" t="str">
        <f t="shared" si="13"/>
        <v/>
      </c>
      <c r="AC15" s="47"/>
      <c r="AD15" s="22" t="str">
        <f t="shared" si="14"/>
        <v/>
      </c>
      <c r="AE15" s="23"/>
      <c r="AF15" s="45" t="str">
        <f t="shared" si="15"/>
        <v/>
      </c>
      <c r="AG15" s="25"/>
      <c r="AH15" s="45" t="str">
        <f t="shared" si="16"/>
        <v/>
      </c>
      <c r="AI15" s="20">
        <v>0.0</v>
      </c>
      <c r="AJ15" s="5"/>
      <c r="AK15" s="22" t="str">
        <f t="shared" si="17"/>
        <v/>
      </c>
      <c r="AL15" s="22"/>
      <c r="AM15" s="23"/>
      <c r="AN15" s="45" t="str">
        <f t="shared" si="18"/>
        <v/>
      </c>
      <c r="AO15" s="25"/>
      <c r="AP15" s="45" t="str">
        <f t="shared" si="19"/>
        <v/>
      </c>
      <c r="AQ15" s="29" t="str">
        <f t="shared" si="20"/>
        <v/>
      </c>
      <c r="AR15" s="29">
        <f t="shared" si="21"/>
        <v>0</v>
      </c>
      <c r="AS15" s="29">
        <f t="shared" si="22"/>
        <v>0</v>
      </c>
      <c r="AT15" s="22" t="str">
        <f t="shared" si="23"/>
        <v/>
      </c>
      <c r="AU15" s="23"/>
      <c r="AV15" s="45" t="str">
        <f t="shared" si="24"/>
        <v/>
      </c>
      <c r="AW15" s="25"/>
      <c r="AX15" s="45" t="str">
        <f t="shared" si="25"/>
        <v/>
      </c>
      <c r="AY15" s="47"/>
      <c r="AZ15" s="22" t="str">
        <f t="shared" si="26"/>
        <v/>
      </c>
      <c r="BA15" s="23"/>
      <c r="BB15" s="45" t="str">
        <f t="shared" si="27"/>
        <v/>
      </c>
      <c r="BC15" s="25"/>
      <c r="BD15" s="45" t="str">
        <f t="shared" si="28"/>
        <v/>
      </c>
      <c r="BE15" s="47"/>
      <c r="BF15" s="22" t="str">
        <f t="shared" si="29"/>
        <v/>
      </c>
      <c r="BG15" s="23"/>
      <c r="BH15" s="45" t="str">
        <f t="shared" si="30"/>
        <v/>
      </c>
      <c r="BI15" s="25"/>
      <c r="BJ15" s="45" t="str">
        <f t="shared" si="31"/>
        <v/>
      </c>
      <c r="BK15" s="20">
        <v>0.0</v>
      </c>
      <c r="BL15" s="5"/>
      <c r="BM15" s="22" t="str">
        <f t="shared" si="32"/>
        <v/>
      </c>
      <c r="BN15" s="23"/>
      <c r="BO15" s="45" t="str">
        <f t="shared" si="33"/>
        <v/>
      </c>
      <c r="BP15" s="25"/>
      <c r="BQ15" s="45" t="str">
        <f t="shared" si="34"/>
        <v/>
      </c>
      <c r="BR15" s="29" t="str">
        <f t="shared" si="35"/>
        <v/>
      </c>
      <c r="BS15" s="29">
        <f t="shared" si="36"/>
        <v>0</v>
      </c>
      <c r="BT15" s="29">
        <f t="shared" si="37"/>
        <v>0</v>
      </c>
      <c r="BU15" s="22" t="str">
        <f t="shared" si="38"/>
        <v/>
      </c>
      <c r="BV15" s="23"/>
      <c r="BW15" s="45" t="str">
        <f t="shared" si="39"/>
        <v/>
      </c>
      <c r="BX15" s="25"/>
      <c r="BY15" s="45" t="str">
        <f t="shared" si="40"/>
        <v/>
      </c>
      <c r="BZ15" s="47"/>
      <c r="CA15" s="22" t="str">
        <f t="shared" si="41"/>
        <v/>
      </c>
      <c r="CB15" s="23"/>
      <c r="CC15" s="45" t="str">
        <f t="shared" si="42"/>
        <v/>
      </c>
      <c r="CD15" s="25"/>
      <c r="CE15" s="45" t="str">
        <f t="shared" si="43"/>
        <v/>
      </c>
      <c r="CF15" s="47"/>
      <c r="CG15" s="22" t="str">
        <f t="shared" si="44"/>
        <v/>
      </c>
      <c r="CH15" s="23"/>
      <c r="CI15" s="45" t="str">
        <f t="shared" si="45"/>
        <v/>
      </c>
      <c r="CJ15" s="25"/>
      <c r="CK15" s="45" t="str">
        <f t="shared" si="46"/>
        <v/>
      </c>
      <c r="CL15" s="20">
        <v>0.0</v>
      </c>
      <c r="CM15" s="5"/>
      <c r="CN15" s="5"/>
      <c r="CO15" s="5"/>
    </row>
    <row r="16">
      <c r="A16" s="20" t="str">
        <f t="shared" si="1"/>
        <v/>
      </c>
      <c r="B16" s="21"/>
      <c r="C16" s="22" t="str">
        <f>IFERROR(__xludf.DUMMYFUNCTION("IFERROR(
IF(A16&lt;&gt;"""",
""EVASTRS00""&amp;A16,
IF(B16&lt;&gt;"""",
INDEX(FILTER($F$4:F16,$A$4:A16&lt;&gt;""""),COUNTA(FILTER($F$4:F16,$A$4:A16&lt;&gt;"""")))&amp;B16,
IF(C16&lt;&gt;"""",
INDEX(FILTER($F$4:F16,$B$4:B16&lt;&gt;""""),COUNTA(FILTER($F$4:F16,$B$4:B16&lt;&gt;"""")))&amp;C16,
""""))),
"""")"),"")</f>
        <v/>
      </c>
      <c r="D16" s="22"/>
      <c r="E16" s="20"/>
      <c r="F16" s="20"/>
      <c r="G16" s="20"/>
      <c r="H16" s="55"/>
      <c r="I16" s="5"/>
      <c r="J16" s="22" t="str">
        <f t="shared" si="2"/>
        <v/>
      </c>
      <c r="K16" s="23"/>
      <c r="L16" s="45" t="str">
        <f t="shared" si="3"/>
        <v/>
      </c>
      <c r="M16" s="25"/>
      <c r="N16" s="45" t="str">
        <f t="shared" si="4"/>
        <v/>
      </c>
      <c r="O16" s="29" t="str">
        <f t="shared" si="5"/>
        <v/>
      </c>
      <c r="P16" s="29">
        <f t="shared" si="6"/>
        <v>0</v>
      </c>
      <c r="Q16" s="29">
        <f t="shared" si="7"/>
        <v>0</v>
      </c>
      <c r="R16" s="22" t="str">
        <f t="shared" si="8"/>
        <v/>
      </c>
      <c r="S16" s="23"/>
      <c r="T16" s="45" t="str">
        <f t="shared" si="9"/>
        <v/>
      </c>
      <c r="U16" s="25"/>
      <c r="V16" s="45" t="str">
        <f t="shared" si="10"/>
        <v/>
      </c>
      <c r="W16" s="47"/>
      <c r="X16" s="22" t="str">
        <f t="shared" si="11"/>
        <v/>
      </c>
      <c r="Y16" s="23"/>
      <c r="Z16" s="45" t="str">
        <f t="shared" si="12"/>
        <v/>
      </c>
      <c r="AA16" s="25"/>
      <c r="AB16" s="45" t="str">
        <f t="shared" si="13"/>
        <v/>
      </c>
      <c r="AC16" s="47"/>
      <c r="AD16" s="22" t="str">
        <f t="shared" si="14"/>
        <v/>
      </c>
      <c r="AE16" s="23"/>
      <c r="AF16" s="45" t="str">
        <f t="shared" si="15"/>
        <v/>
      </c>
      <c r="AG16" s="25"/>
      <c r="AH16" s="45" t="str">
        <f t="shared" si="16"/>
        <v/>
      </c>
      <c r="AI16" s="20">
        <v>0.0</v>
      </c>
      <c r="AJ16" s="5"/>
      <c r="AK16" s="22" t="str">
        <f t="shared" si="17"/>
        <v/>
      </c>
      <c r="AL16" s="22"/>
      <c r="AM16" s="23"/>
      <c r="AN16" s="45" t="str">
        <f t="shared" si="18"/>
        <v/>
      </c>
      <c r="AO16" s="25"/>
      <c r="AP16" s="45" t="str">
        <f t="shared" si="19"/>
        <v/>
      </c>
      <c r="AQ16" s="29" t="str">
        <f t="shared" si="20"/>
        <v/>
      </c>
      <c r="AR16" s="29">
        <f t="shared" si="21"/>
        <v>0</v>
      </c>
      <c r="AS16" s="29">
        <f t="shared" si="22"/>
        <v>0</v>
      </c>
      <c r="AT16" s="22" t="str">
        <f t="shared" si="23"/>
        <v/>
      </c>
      <c r="AU16" s="23"/>
      <c r="AV16" s="45" t="str">
        <f t="shared" si="24"/>
        <v/>
      </c>
      <c r="AW16" s="25"/>
      <c r="AX16" s="45" t="str">
        <f t="shared" si="25"/>
        <v/>
      </c>
      <c r="AY16" s="47"/>
      <c r="AZ16" s="22" t="str">
        <f t="shared" si="26"/>
        <v/>
      </c>
      <c r="BA16" s="23"/>
      <c r="BB16" s="45" t="str">
        <f t="shared" si="27"/>
        <v/>
      </c>
      <c r="BC16" s="25"/>
      <c r="BD16" s="45" t="str">
        <f t="shared" si="28"/>
        <v/>
      </c>
      <c r="BE16" s="47"/>
      <c r="BF16" s="22" t="str">
        <f t="shared" si="29"/>
        <v/>
      </c>
      <c r="BG16" s="23"/>
      <c r="BH16" s="45" t="str">
        <f t="shared" si="30"/>
        <v/>
      </c>
      <c r="BI16" s="25"/>
      <c r="BJ16" s="45" t="str">
        <f t="shared" si="31"/>
        <v/>
      </c>
      <c r="BK16" s="20">
        <v>0.0</v>
      </c>
      <c r="BL16" s="5"/>
      <c r="BM16" s="22" t="str">
        <f t="shared" si="32"/>
        <v/>
      </c>
      <c r="BN16" s="23"/>
      <c r="BO16" s="45" t="str">
        <f t="shared" si="33"/>
        <v/>
      </c>
      <c r="BP16" s="25"/>
      <c r="BQ16" s="45" t="str">
        <f t="shared" si="34"/>
        <v/>
      </c>
      <c r="BR16" s="29" t="str">
        <f t="shared" si="35"/>
        <v/>
      </c>
      <c r="BS16" s="29">
        <f t="shared" si="36"/>
        <v>0</v>
      </c>
      <c r="BT16" s="29">
        <f t="shared" si="37"/>
        <v>0</v>
      </c>
      <c r="BU16" s="22" t="str">
        <f t="shared" si="38"/>
        <v/>
      </c>
      <c r="BV16" s="23"/>
      <c r="BW16" s="45" t="str">
        <f t="shared" si="39"/>
        <v/>
      </c>
      <c r="BX16" s="25"/>
      <c r="BY16" s="45" t="str">
        <f t="shared" si="40"/>
        <v/>
      </c>
      <c r="BZ16" s="47"/>
      <c r="CA16" s="22" t="str">
        <f t="shared" si="41"/>
        <v/>
      </c>
      <c r="CB16" s="23"/>
      <c r="CC16" s="45" t="str">
        <f t="shared" si="42"/>
        <v/>
      </c>
      <c r="CD16" s="25"/>
      <c r="CE16" s="45" t="str">
        <f t="shared" si="43"/>
        <v/>
      </c>
      <c r="CF16" s="47"/>
      <c r="CG16" s="22" t="str">
        <f t="shared" si="44"/>
        <v/>
      </c>
      <c r="CH16" s="23"/>
      <c r="CI16" s="45" t="str">
        <f t="shared" si="45"/>
        <v/>
      </c>
      <c r="CJ16" s="25"/>
      <c r="CK16" s="45" t="str">
        <f t="shared" si="46"/>
        <v/>
      </c>
      <c r="CL16" s="20">
        <v>0.0</v>
      </c>
      <c r="CM16" s="5"/>
      <c r="CN16" s="5"/>
      <c r="CO16" s="5"/>
    </row>
    <row r="17">
      <c r="A17" s="20" t="str">
        <f t="shared" si="1"/>
        <v/>
      </c>
      <c r="B17" s="21"/>
      <c r="C17" s="22" t="str">
        <f>IFERROR(__xludf.DUMMYFUNCTION("IFERROR(
IF(A17&lt;&gt;"""",
""EVASTRS00""&amp;A17,
IF(B17&lt;&gt;"""",
INDEX(FILTER($F$4:F17,$A$4:A17&lt;&gt;""""),COUNTA(FILTER($F$4:F17,$A$4:A17&lt;&gt;"""")))&amp;B17,
IF(C17&lt;&gt;"""",
INDEX(FILTER($F$4:F17,$B$4:B17&lt;&gt;""""),COUNTA(FILTER($F$4:F17,$B$4:B17&lt;&gt;"""")))&amp;C17,
""""))),
"""")"),"")</f>
        <v/>
      </c>
      <c r="D17" s="22"/>
      <c r="E17" s="20"/>
      <c r="F17" s="20"/>
      <c r="G17" s="20"/>
      <c r="H17" s="55"/>
      <c r="I17" s="5"/>
      <c r="J17" s="22" t="str">
        <f t="shared" si="2"/>
        <v/>
      </c>
      <c r="K17" s="23"/>
      <c r="L17" s="45" t="str">
        <f t="shared" si="3"/>
        <v/>
      </c>
      <c r="M17" s="25"/>
      <c r="N17" s="45" t="str">
        <f t="shared" si="4"/>
        <v/>
      </c>
      <c r="O17" s="29" t="str">
        <f t="shared" si="5"/>
        <v/>
      </c>
      <c r="P17" s="29">
        <f t="shared" si="6"/>
        <v>0</v>
      </c>
      <c r="Q17" s="29">
        <f t="shared" si="7"/>
        <v>0</v>
      </c>
      <c r="R17" s="22" t="str">
        <f t="shared" si="8"/>
        <v/>
      </c>
      <c r="S17" s="23"/>
      <c r="T17" s="45" t="str">
        <f t="shared" si="9"/>
        <v/>
      </c>
      <c r="U17" s="25"/>
      <c r="V17" s="45" t="str">
        <f t="shared" si="10"/>
        <v/>
      </c>
      <c r="W17" s="47"/>
      <c r="X17" s="22" t="str">
        <f t="shared" si="11"/>
        <v/>
      </c>
      <c r="Y17" s="23"/>
      <c r="Z17" s="45" t="str">
        <f t="shared" si="12"/>
        <v/>
      </c>
      <c r="AA17" s="25"/>
      <c r="AB17" s="45" t="str">
        <f t="shared" si="13"/>
        <v/>
      </c>
      <c r="AC17" s="47"/>
      <c r="AD17" s="22" t="str">
        <f t="shared" si="14"/>
        <v/>
      </c>
      <c r="AE17" s="23"/>
      <c r="AF17" s="45" t="str">
        <f t="shared" si="15"/>
        <v/>
      </c>
      <c r="AG17" s="25"/>
      <c r="AH17" s="45" t="str">
        <f t="shared" si="16"/>
        <v/>
      </c>
      <c r="AI17" s="20">
        <v>0.0</v>
      </c>
      <c r="AJ17" s="5"/>
      <c r="AK17" s="22" t="str">
        <f t="shared" si="17"/>
        <v/>
      </c>
      <c r="AL17" s="22"/>
      <c r="AM17" s="23"/>
      <c r="AN17" s="45" t="str">
        <f t="shared" si="18"/>
        <v/>
      </c>
      <c r="AO17" s="25"/>
      <c r="AP17" s="45" t="str">
        <f t="shared" si="19"/>
        <v/>
      </c>
      <c r="AQ17" s="29" t="str">
        <f t="shared" si="20"/>
        <v/>
      </c>
      <c r="AR17" s="29">
        <f t="shared" si="21"/>
        <v>0</v>
      </c>
      <c r="AS17" s="29">
        <f t="shared" si="22"/>
        <v>0</v>
      </c>
      <c r="AT17" s="22" t="str">
        <f t="shared" si="23"/>
        <v/>
      </c>
      <c r="AU17" s="23"/>
      <c r="AV17" s="45" t="str">
        <f t="shared" si="24"/>
        <v/>
      </c>
      <c r="AW17" s="25"/>
      <c r="AX17" s="45" t="str">
        <f t="shared" si="25"/>
        <v/>
      </c>
      <c r="AY17" s="47"/>
      <c r="AZ17" s="22" t="str">
        <f t="shared" si="26"/>
        <v/>
      </c>
      <c r="BA17" s="23"/>
      <c r="BB17" s="45" t="str">
        <f t="shared" si="27"/>
        <v/>
      </c>
      <c r="BC17" s="25"/>
      <c r="BD17" s="45" t="str">
        <f t="shared" si="28"/>
        <v/>
      </c>
      <c r="BE17" s="47"/>
      <c r="BF17" s="22" t="str">
        <f t="shared" si="29"/>
        <v/>
      </c>
      <c r="BG17" s="23"/>
      <c r="BH17" s="45" t="str">
        <f t="shared" si="30"/>
        <v/>
      </c>
      <c r="BI17" s="25"/>
      <c r="BJ17" s="45" t="str">
        <f t="shared" si="31"/>
        <v/>
      </c>
      <c r="BK17" s="20">
        <v>0.0</v>
      </c>
      <c r="BL17" s="5"/>
      <c r="BM17" s="22" t="str">
        <f t="shared" si="32"/>
        <v/>
      </c>
      <c r="BN17" s="23"/>
      <c r="BO17" s="45" t="str">
        <f t="shared" si="33"/>
        <v/>
      </c>
      <c r="BP17" s="25"/>
      <c r="BQ17" s="45" t="str">
        <f t="shared" si="34"/>
        <v/>
      </c>
      <c r="BR17" s="29" t="str">
        <f t="shared" si="35"/>
        <v/>
      </c>
      <c r="BS17" s="29">
        <f t="shared" si="36"/>
        <v>0</v>
      </c>
      <c r="BT17" s="29">
        <f t="shared" si="37"/>
        <v>0</v>
      </c>
      <c r="BU17" s="22" t="str">
        <f t="shared" si="38"/>
        <v/>
      </c>
      <c r="BV17" s="23"/>
      <c r="BW17" s="45" t="str">
        <f t="shared" si="39"/>
        <v/>
      </c>
      <c r="BX17" s="25"/>
      <c r="BY17" s="45" t="str">
        <f t="shared" si="40"/>
        <v/>
      </c>
      <c r="BZ17" s="47"/>
      <c r="CA17" s="22" t="str">
        <f t="shared" si="41"/>
        <v/>
      </c>
      <c r="CB17" s="23"/>
      <c r="CC17" s="45" t="str">
        <f t="shared" si="42"/>
        <v/>
      </c>
      <c r="CD17" s="25"/>
      <c r="CE17" s="45" t="str">
        <f t="shared" si="43"/>
        <v/>
      </c>
      <c r="CF17" s="47"/>
      <c r="CG17" s="22" t="str">
        <f t="shared" si="44"/>
        <v/>
      </c>
      <c r="CH17" s="23"/>
      <c r="CI17" s="45" t="str">
        <f t="shared" si="45"/>
        <v/>
      </c>
      <c r="CJ17" s="25"/>
      <c r="CK17" s="45" t="str">
        <f t="shared" si="46"/>
        <v/>
      </c>
      <c r="CL17" s="20">
        <v>0.0</v>
      </c>
      <c r="CM17" s="5"/>
      <c r="CN17" s="5"/>
      <c r="CO17" s="5"/>
    </row>
    <row r="18">
      <c r="A18" s="20" t="str">
        <f t="shared" si="1"/>
        <v/>
      </c>
      <c r="B18" s="21"/>
      <c r="C18" s="22" t="str">
        <f>IFERROR(__xludf.DUMMYFUNCTION("IFERROR(
IF(A18&lt;&gt;"""",
""EVASTRS00""&amp;A18,
IF(B18&lt;&gt;"""",
INDEX(FILTER($F$4:F18,$A$4:A18&lt;&gt;""""),COUNTA(FILTER($F$4:F18,$A$4:A18&lt;&gt;"""")))&amp;B18,
IF(C18&lt;&gt;"""",
INDEX(FILTER($F$4:F18,$B$4:B18&lt;&gt;""""),COUNTA(FILTER($F$4:F18,$B$4:B18&lt;&gt;"""")))&amp;C18,
""""))),
"""")"),"")</f>
        <v/>
      </c>
      <c r="D18" s="22"/>
      <c r="E18" s="20"/>
      <c r="F18" s="20"/>
      <c r="G18" s="20"/>
      <c r="H18" s="55"/>
      <c r="I18" s="5"/>
      <c r="J18" s="22" t="str">
        <f t="shared" si="2"/>
        <v/>
      </c>
      <c r="K18" s="23"/>
      <c r="L18" s="45" t="str">
        <f t="shared" si="3"/>
        <v/>
      </c>
      <c r="M18" s="25"/>
      <c r="N18" s="45" t="str">
        <f t="shared" si="4"/>
        <v/>
      </c>
      <c r="O18" s="29" t="str">
        <f t="shared" si="5"/>
        <v/>
      </c>
      <c r="P18" s="29">
        <f t="shared" si="6"/>
        <v>0</v>
      </c>
      <c r="Q18" s="29">
        <f t="shared" si="7"/>
        <v>0</v>
      </c>
      <c r="R18" s="22" t="str">
        <f t="shared" si="8"/>
        <v/>
      </c>
      <c r="S18" s="23"/>
      <c r="T18" s="45" t="str">
        <f t="shared" si="9"/>
        <v/>
      </c>
      <c r="U18" s="25"/>
      <c r="V18" s="45" t="str">
        <f t="shared" si="10"/>
        <v/>
      </c>
      <c r="W18" s="47"/>
      <c r="X18" s="22" t="str">
        <f t="shared" si="11"/>
        <v/>
      </c>
      <c r="Y18" s="23"/>
      <c r="Z18" s="45" t="str">
        <f t="shared" si="12"/>
        <v/>
      </c>
      <c r="AA18" s="25"/>
      <c r="AB18" s="45" t="str">
        <f t="shared" si="13"/>
        <v/>
      </c>
      <c r="AC18" s="47"/>
      <c r="AD18" s="22" t="str">
        <f t="shared" si="14"/>
        <v/>
      </c>
      <c r="AE18" s="23"/>
      <c r="AF18" s="45" t="str">
        <f t="shared" si="15"/>
        <v/>
      </c>
      <c r="AG18" s="25"/>
      <c r="AH18" s="45" t="str">
        <f t="shared" si="16"/>
        <v/>
      </c>
      <c r="AI18" s="20">
        <v>0.0</v>
      </c>
      <c r="AJ18" s="5"/>
      <c r="AK18" s="22" t="str">
        <f t="shared" si="17"/>
        <v/>
      </c>
      <c r="AL18" s="22"/>
      <c r="AM18" s="23"/>
      <c r="AN18" s="45" t="str">
        <f t="shared" si="18"/>
        <v/>
      </c>
      <c r="AO18" s="25"/>
      <c r="AP18" s="45" t="str">
        <f t="shared" si="19"/>
        <v/>
      </c>
      <c r="AQ18" s="29" t="str">
        <f t="shared" si="20"/>
        <v/>
      </c>
      <c r="AR18" s="29">
        <f t="shared" si="21"/>
        <v>0</v>
      </c>
      <c r="AS18" s="29">
        <f t="shared" si="22"/>
        <v>0</v>
      </c>
      <c r="AT18" s="22" t="str">
        <f t="shared" si="23"/>
        <v/>
      </c>
      <c r="AU18" s="23"/>
      <c r="AV18" s="45" t="str">
        <f t="shared" si="24"/>
        <v/>
      </c>
      <c r="AW18" s="25"/>
      <c r="AX18" s="45" t="str">
        <f t="shared" si="25"/>
        <v/>
      </c>
      <c r="AY18" s="47"/>
      <c r="AZ18" s="22" t="str">
        <f t="shared" si="26"/>
        <v/>
      </c>
      <c r="BA18" s="23"/>
      <c r="BB18" s="45" t="str">
        <f t="shared" si="27"/>
        <v/>
      </c>
      <c r="BC18" s="25"/>
      <c r="BD18" s="45" t="str">
        <f t="shared" si="28"/>
        <v/>
      </c>
      <c r="BE18" s="47"/>
      <c r="BF18" s="22" t="str">
        <f t="shared" si="29"/>
        <v/>
      </c>
      <c r="BG18" s="23"/>
      <c r="BH18" s="45" t="str">
        <f t="shared" si="30"/>
        <v/>
      </c>
      <c r="BI18" s="25"/>
      <c r="BJ18" s="45" t="str">
        <f t="shared" si="31"/>
        <v/>
      </c>
      <c r="BK18" s="20">
        <v>0.0</v>
      </c>
      <c r="BL18" s="5"/>
      <c r="BM18" s="22" t="str">
        <f t="shared" si="32"/>
        <v/>
      </c>
      <c r="BN18" s="23"/>
      <c r="BO18" s="45" t="str">
        <f t="shared" si="33"/>
        <v/>
      </c>
      <c r="BP18" s="25"/>
      <c r="BQ18" s="45" t="str">
        <f t="shared" si="34"/>
        <v/>
      </c>
      <c r="BR18" s="29" t="str">
        <f t="shared" si="35"/>
        <v/>
      </c>
      <c r="BS18" s="29">
        <f t="shared" si="36"/>
        <v>0</v>
      </c>
      <c r="BT18" s="29">
        <f t="shared" si="37"/>
        <v>0</v>
      </c>
      <c r="BU18" s="22" t="str">
        <f t="shared" si="38"/>
        <v/>
      </c>
      <c r="BV18" s="23"/>
      <c r="BW18" s="45" t="str">
        <f t="shared" si="39"/>
        <v/>
      </c>
      <c r="BX18" s="25"/>
      <c r="BY18" s="45" t="str">
        <f t="shared" si="40"/>
        <v/>
      </c>
      <c r="BZ18" s="47"/>
      <c r="CA18" s="22" t="str">
        <f t="shared" si="41"/>
        <v/>
      </c>
      <c r="CB18" s="23"/>
      <c r="CC18" s="45" t="str">
        <f t="shared" si="42"/>
        <v/>
      </c>
      <c r="CD18" s="25"/>
      <c r="CE18" s="45" t="str">
        <f t="shared" si="43"/>
        <v/>
      </c>
      <c r="CF18" s="47"/>
      <c r="CG18" s="22" t="str">
        <f t="shared" si="44"/>
        <v/>
      </c>
      <c r="CH18" s="23"/>
      <c r="CI18" s="45" t="str">
        <f t="shared" si="45"/>
        <v/>
      </c>
      <c r="CJ18" s="25"/>
      <c r="CK18" s="45" t="str">
        <f t="shared" si="46"/>
        <v/>
      </c>
      <c r="CL18" s="20">
        <v>0.0</v>
      </c>
      <c r="CM18" s="5"/>
      <c r="CN18" s="5"/>
      <c r="CO18" s="5"/>
    </row>
    <row r="19">
      <c r="A19" s="20" t="str">
        <f t="shared" si="1"/>
        <v/>
      </c>
      <c r="B19" s="21"/>
      <c r="C19" s="22" t="str">
        <f>IFERROR(__xludf.DUMMYFUNCTION("IFERROR(
IF(A19&lt;&gt;"""",
""EVASTRS00""&amp;A19,
IF(B19&lt;&gt;"""",
INDEX(FILTER($F$4:F19,$A$4:A19&lt;&gt;""""),COUNTA(FILTER($F$4:F19,$A$4:A19&lt;&gt;"""")))&amp;B19,
IF(C19&lt;&gt;"""",
INDEX(FILTER($F$4:F19,$B$4:B19&lt;&gt;""""),COUNTA(FILTER($F$4:F19,$B$4:B19&lt;&gt;"""")))&amp;C19,
""""))),
"""")"),"")</f>
        <v/>
      </c>
      <c r="D19" s="22"/>
      <c r="E19" s="20"/>
      <c r="F19" s="20"/>
      <c r="G19" s="20"/>
      <c r="H19" s="55"/>
      <c r="I19" s="5"/>
      <c r="J19" s="22" t="str">
        <f t="shared" si="2"/>
        <v/>
      </c>
      <c r="K19" s="23"/>
      <c r="L19" s="45" t="str">
        <f t="shared" si="3"/>
        <v/>
      </c>
      <c r="M19" s="25"/>
      <c r="N19" s="45" t="str">
        <f t="shared" si="4"/>
        <v/>
      </c>
      <c r="O19" s="29" t="str">
        <f t="shared" si="5"/>
        <v/>
      </c>
      <c r="P19" s="29">
        <f t="shared" si="6"/>
        <v>0</v>
      </c>
      <c r="Q19" s="29">
        <f t="shared" si="7"/>
        <v>0</v>
      </c>
      <c r="R19" s="22" t="str">
        <f t="shared" si="8"/>
        <v/>
      </c>
      <c r="S19" s="23"/>
      <c r="T19" s="45" t="str">
        <f t="shared" si="9"/>
        <v/>
      </c>
      <c r="U19" s="25"/>
      <c r="V19" s="45" t="str">
        <f t="shared" si="10"/>
        <v/>
      </c>
      <c r="W19" s="47"/>
      <c r="X19" s="22" t="str">
        <f t="shared" si="11"/>
        <v/>
      </c>
      <c r="Y19" s="23"/>
      <c r="Z19" s="45" t="str">
        <f t="shared" si="12"/>
        <v/>
      </c>
      <c r="AA19" s="25"/>
      <c r="AB19" s="45" t="str">
        <f t="shared" si="13"/>
        <v/>
      </c>
      <c r="AC19" s="47"/>
      <c r="AD19" s="22" t="str">
        <f t="shared" si="14"/>
        <v/>
      </c>
      <c r="AE19" s="23"/>
      <c r="AF19" s="45" t="str">
        <f t="shared" si="15"/>
        <v/>
      </c>
      <c r="AG19" s="25"/>
      <c r="AH19" s="45" t="str">
        <f t="shared" si="16"/>
        <v/>
      </c>
      <c r="AI19" s="20">
        <v>0.0</v>
      </c>
      <c r="AJ19" s="5"/>
      <c r="AK19" s="22" t="str">
        <f t="shared" si="17"/>
        <v/>
      </c>
      <c r="AL19" s="22"/>
      <c r="AM19" s="23"/>
      <c r="AN19" s="45" t="str">
        <f t="shared" si="18"/>
        <v/>
      </c>
      <c r="AO19" s="25"/>
      <c r="AP19" s="45" t="str">
        <f t="shared" si="19"/>
        <v/>
      </c>
      <c r="AQ19" s="29" t="str">
        <f t="shared" si="20"/>
        <v/>
      </c>
      <c r="AR19" s="29">
        <f t="shared" si="21"/>
        <v>0</v>
      </c>
      <c r="AS19" s="29">
        <f t="shared" si="22"/>
        <v>0</v>
      </c>
      <c r="AT19" s="22" t="str">
        <f t="shared" si="23"/>
        <v/>
      </c>
      <c r="AU19" s="23"/>
      <c r="AV19" s="45" t="str">
        <f t="shared" si="24"/>
        <v/>
      </c>
      <c r="AW19" s="25"/>
      <c r="AX19" s="45" t="str">
        <f t="shared" si="25"/>
        <v/>
      </c>
      <c r="AY19" s="47"/>
      <c r="AZ19" s="22" t="str">
        <f t="shared" si="26"/>
        <v/>
      </c>
      <c r="BA19" s="23"/>
      <c r="BB19" s="45" t="str">
        <f t="shared" si="27"/>
        <v/>
      </c>
      <c r="BC19" s="25"/>
      <c r="BD19" s="45" t="str">
        <f t="shared" si="28"/>
        <v/>
      </c>
      <c r="BE19" s="47"/>
      <c r="BF19" s="22" t="str">
        <f t="shared" si="29"/>
        <v/>
      </c>
      <c r="BG19" s="23"/>
      <c r="BH19" s="45" t="str">
        <f t="shared" si="30"/>
        <v/>
      </c>
      <c r="BI19" s="25"/>
      <c r="BJ19" s="45" t="str">
        <f t="shared" si="31"/>
        <v/>
      </c>
      <c r="BK19" s="20">
        <v>0.0</v>
      </c>
      <c r="BL19" s="5"/>
      <c r="BM19" s="22" t="str">
        <f t="shared" si="32"/>
        <v/>
      </c>
      <c r="BN19" s="23"/>
      <c r="BO19" s="45" t="str">
        <f t="shared" si="33"/>
        <v/>
      </c>
      <c r="BP19" s="25"/>
      <c r="BQ19" s="45" t="str">
        <f t="shared" si="34"/>
        <v/>
      </c>
      <c r="BR19" s="29" t="str">
        <f t="shared" si="35"/>
        <v/>
      </c>
      <c r="BS19" s="29">
        <f t="shared" si="36"/>
        <v>0</v>
      </c>
      <c r="BT19" s="29">
        <f t="shared" si="37"/>
        <v>0</v>
      </c>
      <c r="BU19" s="22" t="str">
        <f t="shared" si="38"/>
        <v/>
      </c>
      <c r="BV19" s="23"/>
      <c r="BW19" s="45" t="str">
        <f t="shared" si="39"/>
        <v/>
      </c>
      <c r="BX19" s="25"/>
      <c r="BY19" s="45" t="str">
        <f t="shared" si="40"/>
        <v/>
      </c>
      <c r="BZ19" s="47"/>
      <c r="CA19" s="22" t="str">
        <f t="shared" si="41"/>
        <v/>
      </c>
      <c r="CB19" s="23"/>
      <c r="CC19" s="45" t="str">
        <f t="shared" si="42"/>
        <v/>
      </c>
      <c r="CD19" s="25"/>
      <c r="CE19" s="45" t="str">
        <f t="shared" si="43"/>
        <v/>
      </c>
      <c r="CF19" s="47"/>
      <c r="CG19" s="22" t="str">
        <f t="shared" si="44"/>
        <v/>
      </c>
      <c r="CH19" s="23"/>
      <c r="CI19" s="45" t="str">
        <f t="shared" si="45"/>
        <v/>
      </c>
      <c r="CJ19" s="25"/>
      <c r="CK19" s="45" t="str">
        <f t="shared" si="46"/>
        <v/>
      </c>
      <c r="CL19" s="20">
        <v>0.0</v>
      </c>
      <c r="CM19" s="5"/>
      <c r="CN19" s="5"/>
      <c r="CO19" s="5"/>
    </row>
    <row r="20">
      <c r="A20" s="20" t="str">
        <f t="shared" si="1"/>
        <v/>
      </c>
      <c r="B20" s="21"/>
      <c r="C20" s="22" t="str">
        <f>IFERROR(__xludf.DUMMYFUNCTION("IFERROR(
IF(A20&lt;&gt;"""",
""EVASTRS00""&amp;A20,
IF(B20&lt;&gt;"""",
INDEX(FILTER($F$4:F20,$A$4:A20&lt;&gt;""""),COUNTA(FILTER($F$4:F20,$A$4:A20&lt;&gt;"""")))&amp;B20,
IF(C20&lt;&gt;"""",
INDEX(FILTER($F$4:F20,$B$4:B20&lt;&gt;""""),COUNTA(FILTER($F$4:F20,$B$4:B20&lt;&gt;"""")))&amp;C20,
""""))),
"""")"),"")</f>
        <v/>
      </c>
      <c r="D20" s="22"/>
      <c r="E20" s="20"/>
      <c r="F20" s="20"/>
      <c r="G20" s="20"/>
      <c r="H20" s="55"/>
      <c r="I20" s="5"/>
      <c r="J20" s="22" t="str">
        <f t="shared" si="2"/>
        <v/>
      </c>
      <c r="K20" s="23"/>
      <c r="L20" s="45" t="str">
        <f t="shared" si="3"/>
        <v/>
      </c>
      <c r="M20" s="25"/>
      <c r="N20" s="45" t="str">
        <f t="shared" si="4"/>
        <v/>
      </c>
      <c r="O20" s="29" t="str">
        <f t="shared" si="5"/>
        <v/>
      </c>
      <c r="P20" s="29">
        <f t="shared" si="6"/>
        <v>0</v>
      </c>
      <c r="Q20" s="29">
        <f t="shared" si="7"/>
        <v>0</v>
      </c>
      <c r="R20" s="22" t="str">
        <f t="shared" si="8"/>
        <v/>
      </c>
      <c r="S20" s="23"/>
      <c r="T20" s="45" t="str">
        <f t="shared" si="9"/>
        <v/>
      </c>
      <c r="U20" s="25"/>
      <c r="V20" s="45" t="str">
        <f t="shared" si="10"/>
        <v/>
      </c>
      <c r="W20" s="47"/>
      <c r="X20" s="22" t="str">
        <f t="shared" si="11"/>
        <v/>
      </c>
      <c r="Y20" s="23"/>
      <c r="Z20" s="45" t="str">
        <f t="shared" si="12"/>
        <v/>
      </c>
      <c r="AA20" s="25"/>
      <c r="AB20" s="45" t="str">
        <f t="shared" si="13"/>
        <v/>
      </c>
      <c r="AC20" s="47"/>
      <c r="AD20" s="22" t="str">
        <f t="shared" si="14"/>
        <v/>
      </c>
      <c r="AE20" s="23"/>
      <c r="AF20" s="45" t="str">
        <f t="shared" si="15"/>
        <v/>
      </c>
      <c r="AG20" s="25"/>
      <c r="AH20" s="45" t="str">
        <f t="shared" si="16"/>
        <v/>
      </c>
      <c r="AI20" s="20">
        <v>0.0</v>
      </c>
      <c r="AJ20" s="5"/>
      <c r="AK20" s="22" t="str">
        <f t="shared" si="17"/>
        <v/>
      </c>
      <c r="AL20" s="22"/>
      <c r="AM20" s="23"/>
      <c r="AN20" s="45" t="str">
        <f t="shared" si="18"/>
        <v/>
      </c>
      <c r="AO20" s="25"/>
      <c r="AP20" s="45" t="str">
        <f t="shared" si="19"/>
        <v/>
      </c>
      <c r="AQ20" s="29" t="str">
        <f t="shared" si="20"/>
        <v/>
      </c>
      <c r="AR20" s="29">
        <f t="shared" si="21"/>
        <v>0</v>
      </c>
      <c r="AS20" s="29">
        <f t="shared" si="22"/>
        <v>0</v>
      </c>
      <c r="AT20" s="22" t="str">
        <f t="shared" si="23"/>
        <v/>
      </c>
      <c r="AU20" s="23"/>
      <c r="AV20" s="45" t="str">
        <f t="shared" si="24"/>
        <v/>
      </c>
      <c r="AW20" s="25"/>
      <c r="AX20" s="45" t="str">
        <f t="shared" si="25"/>
        <v/>
      </c>
      <c r="AY20" s="47"/>
      <c r="AZ20" s="22" t="str">
        <f t="shared" si="26"/>
        <v/>
      </c>
      <c r="BA20" s="23"/>
      <c r="BB20" s="45" t="str">
        <f t="shared" si="27"/>
        <v/>
      </c>
      <c r="BC20" s="25"/>
      <c r="BD20" s="45" t="str">
        <f t="shared" si="28"/>
        <v/>
      </c>
      <c r="BE20" s="47"/>
      <c r="BF20" s="22" t="str">
        <f t="shared" si="29"/>
        <v/>
      </c>
      <c r="BG20" s="23"/>
      <c r="BH20" s="45" t="str">
        <f t="shared" si="30"/>
        <v/>
      </c>
      <c r="BI20" s="25"/>
      <c r="BJ20" s="45" t="str">
        <f t="shared" si="31"/>
        <v/>
      </c>
      <c r="BK20" s="20">
        <v>0.0</v>
      </c>
      <c r="BL20" s="5"/>
      <c r="BM20" s="22" t="str">
        <f t="shared" si="32"/>
        <v/>
      </c>
      <c r="BN20" s="23"/>
      <c r="BO20" s="45" t="str">
        <f t="shared" si="33"/>
        <v/>
      </c>
      <c r="BP20" s="25"/>
      <c r="BQ20" s="45" t="str">
        <f t="shared" si="34"/>
        <v/>
      </c>
      <c r="BR20" s="29" t="str">
        <f t="shared" si="35"/>
        <v/>
      </c>
      <c r="BS20" s="29">
        <f t="shared" si="36"/>
        <v>0</v>
      </c>
      <c r="BT20" s="29">
        <f t="shared" si="37"/>
        <v>0</v>
      </c>
      <c r="BU20" s="22" t="str">
        <f t="shared" si="38"/>
        <v/>
      </c>
      <c r="BV20" s="23"/>
      <c r="BW20" s="45" t="str">
        <f t="shared" si="39"/>
        <v/>
      </c>
      <c r="BX20" s="25"/>
      <c r="BY20" s="45" t="str">
        <f t="shared" si="40"/>
        <v/>
      </c>
      <c r="BZ20" s="47"/>
      <c r="CA20" s="22" t="str">
        <f t="shared" si="41"/>
        <v/>
      </c>
      <c r="CB20" s="23"/>
      <c r="CC20" s="45" t="str">
        <f t="shared" si="42"/>
        <v/>
      </c>
      <c r="CD20" s="25"/>
      <c r="CE20" s="45" t="str">
        <f t="shared" si="43"/>
        <v/>
      </c>
      <c r="CF20" s="47"/>
      <c r="CG20" s="22" t="str">
        <f t="shared" si="44"/>
        <v/>
      </c>
      <c r="CH20" s="23"/>
      <c r="CI20" s="45" t="str">
        <f t="shared" si="45"/>
        <v/>
      </c>
      <c r="CJ20" s="25"/>
      <c r="CK20" s="45" t="str">
        <f t="shared" si="46"/>
        <v/>
      </c>
      <c r="CL20" s="20">
        <v>0.0</v>
      </c>
      <c r="CM20" s="5"/>
      <c r="CN20" s="5"/>
      <c r="CO20" s="5"/>
    </row>
    <row r="21">
      <c r="A21" s="20" t="str">
        <f t="shared" si="1"/>
        <v/>
      </c>
      <c r="B21" s="21"/>
      <c r="C21" s="22" t="str">
        <f>IFERROR(__xludf.DUMMYFUNCTION("IFERROR(
IF(A21&lt;&gt;"""",
""EVASTRS00""&amp;A21,
IF(B21&lt;&gt;"""",
INDEX(FILTER($F$4:F21,$A$4:A21&lt;&gt;""""),COUNTA(FILTER($F$4:F21,$A$4:A21&lt;&gt;"""")))&amp;B21,
IF(C21&lt;&gt;"""",
INDEX(FILTER($F$4:F21,$B$4:B21&lt;&gt;""""),COUNTA(FILTER($F$4:F21,$B$4:B21&lt;&gt;"""")))&amp;C21,
""""))),
"""")"),"")</f>
        <v/>
      </c>
      <c r="D21" s="22"/>
      <c r="E21" s="20"/>
      <c r="F21" s="20"/>
      <c r="G21" s="20"/>
      <c r="H21" s="55"/>
      <c r="I21" s="5"/>
      <c r="J21" s="22" t="str">
        <f t="shared" si="2"/>
        <v/>
      </c>
      <c r="K21" s="23"/>
      <c r="L21" s="45" t="str">
        <f t="shared" si="3"/>
        <v/>
      </c>
      <c r="M21" s="25"/>
      <c r="N21" s="45" t="str">
        <f t="shared" si="4"/>
        <v/>
      </c>
      <c r="O21" s="29" t="str">
        <f t="shared" si="5"/>
        <v/>
      </c>
      <c r="P21" s="29">
        <f t="shared" si="6"/>
        <v>0</v>
      </c>
      <c r="Q21" s="29">
        <f t="shared" si="7"/>
        <v>0</v>
      </c>
      <c r="R21" s="22" t="str">
        <f t="shared" si="8"/>
        <v/>
      </c>
      <c r="S21" s="23"/>
      <c r="T21" s="45" t="str">
        <f t="shared" si="9"/>
        <v/>
      </c>
      <c r="U21" s="25"/>
      <c r="V21" s="45" t="str">
        <f t="shared" si="10"/>
        <v/>
      </c>
      <c r="W21" s="47"/>
      <c r="X21" s="22" t="str">
        <f t="shared" si="11"/>
        <v/>
      </c>
      <c r="Y21" s="23"/>
      <c r="Z21" s="45" t="str">
        <f t="shared" si="12"/>
        <v/>
      </c>
      <c r="AA21" s="25"/>
      <c r="AB21" s="45" t="str">
        <f t="shared" si="13"/>
        <v/>
      </c>
      <c r="AC21" s="47"/>
      <c r="AD21" s="22" t="str">
        <f t="shared" si="14"/>
        <v/>
      </c>
      <c r="AE21" s="23"/>
      <c r="AF21" s="45" t="str">
        <f t="shared" si="15"/>
        <v/>
      </c>
      <c r="AG21" s="25"/>
      <c r="AH21" s="45" t="str">
        <f t="shared" si="16"/>
        <v/>
      </c>
      <c r="AI21" s="20">
        <v>0.0</v>
      </c>
      <c r="AJ21" s="5"/>
      <c r="AK21" s="22" t="str">
        <f t="shared" si="17"/>
        <v/>
      </c>
      <c r="AL21" s="22"/>
      <c r="AM21" s="23"/>
      <c r="AN21" s="45" t="str">
        <f t="shared" si="18"/>
        <v/>
      </c>
      <c r="AO21" s="25"/>
      <c r="AP21" s="45" t="str">
        <f t="shared" si="19"/>
        <v/>
      </c>
      <c r="AQ21" s="29" t="str">
        <f t="shared" si="20"/>
        <v/>
      </c>
      <c r="AR21" s="29">
        <f t="shared" si="21"/>
        <v>0</v>
      </c>
      <c r="AS21" s="29">
        <f t="shared" si="22"/>
        <v>0</v>
      </c>
      <c r="AT21" s="22" t="str">
        <f t="shared" si="23"/>
        <v/>
      </c>
      <c r="AU21" s="23"/>
      <c r="AV21" s="45" t="str">
        <f t="shared" si="24"/>
        <v/>
      </c>
      <c r="AW21" s="25"/>
      <c r="AX21" s="45" t="str">
        <f t="shared" si="25"/>
        <v/>
      </c>
      <c r="AY21" s="47"/>
      <c r="AZ21" s="22" t="str">
        <f t="shared" si="26"/>
        <v/>
      </c>
      <c r="BA21" s="23"/>
      <c r="BB21" s="45" t="str">
        <f t="shared" si="27"/>
        <v/>
      </c>
      <c r="BC21" s="25"/>
      <c r="BD21" s="45" t="str">
        <f t="shared" si="28"/>
        <v/>
      </c>
      <c r="BE21" s="47"/>
      <c r="BF21" s="22" t="str">
        <f t="shared" si="29"/>
        <v/>
      </c>
      <c r="BG21" s="23"/>
      <c r="BH21" s="45" t="str">
        <f t="shared" si="30"/>
        <v/>
      </c>
      <c r="BI21" s="25"/>
      <c r="BJ21" s="45" t="str">
        <f t="shared" si="31"/>
        <v/>
      </c>
      <c r="BK21" s="20">
        <v>0.0</v>
      </c>
      <c r="BL21" s="5"/>
      <c r="BM21" s="22" t="str">
        <f t="shared" si="32"/>
        <v/>
      </c>
      <c r="BN21" s="23"/>
      <c r="BO21" s="45" t="str">
        <f t="shared" si="33"/>
        <v/>
      </c>
      <c r="BP21" s="25"/>
      <c r="BQ21" s="45" t="str">
        <f t="shared" si="34"/>
        <v/>
      </c>
      <c r="BR21" s="29" t="str">
        <f t="shared" si="35"/>
        <v/>
      </c>
      <c r="BS21" s="29">
        <f t="shared" si="36"/>
        <v>0</v>
      </c>
      <c r="BT21" s="29">
        <f t="shared" si="37"/>
        <v>0</v>
      </c>
      <c r="BU21" s="22" t="str">
        <f t="shared" si="38"/>
        <v/>
      </c>
      <c r="BV21" s="23"/>
      <c r="BW21" s="45" t="str">
        <f t="shared" si="39"/>
        <v/>
      </c>
      <c r="BX21" s="25"/>
      <c r="BY21" s="45" t="str">
        <f t="shared" si="40"/>
        <v/>
      </c>
      <c r="BZ21" s="47"/>
      <c r="CA21" s="22" t="str">
        <f t="shared" si="41"/>
        <v/>
      </c>
      <c r="CB21" s="23"/>
      <c r="CC21" s="45" t="str">
        <f t="shared" si="42"/>
        <v/>
      </c>
      <c r="CD21" s="25"/>
      <c r="CE21" s="45" t="str">
        <f t="shared" si="43"/>
        <v/>
      </c>
      <c r="CF21" s="47"/>
      <c r="CG21" s="22" t="str">
        <f t="shared" si="44"/>
        <v/>
      </c>
      <c r="CH21" s="23"/>
      <c r="CI21" s="45" t="str">
        <f t="shared" si="45"/>
        <v/>
      </c>
      <c r="CJ21" s="25"/>
      <c r="CK21" s="45" t="str">
        <f t="shared" si="46"/>
        <v/>
      </c>
      <c r="CL21" s="20">
        <v>0.0</v>
      </c>
      <c r="CM21" s="5"/>
      <c r="CN21" s="5"/>
      <c r="CO21" s="5"/>
    </row>
    <row r="22">
      <c r="A22" s="20" t="str">
        <f t="shared" si="1"/>
        <v/>
      </c>
      <c r="B22" s="21"/>
      <c r="C22" s="22" t="str">
        <f>IFERROR(__xludf.DUMMYFUNCTION("IFERROR(
IF(A22&lt;&gt;"""",
""EVASTRS00""&amp;A22,
IF(B22&lt;&gt;"""",
INDEX(FILTER($F$4:F22,$A$4:A22&lt;&gt;""""),COUNTA(FILTER($F$4:F22,$A$4:A22&lt;&gt;"""")))&amp;B22,
IF(C22&lt;&gt;"""",
INDEX(FILTER($F$4:F22,$B$4:B22&lt;&gt;""""),COUNTA(FILTER($F$4:F22,$B$4:B22&lt;&gt;"""")))&amp;C22,
""""))),
"""")"),"")</f>
        <v/>
      </c>
      <c r="D22" s="22"/>
      <c r="E22" s="20"/>
      <c r="F22" s="20"/>
      <c r="G22" s="20"/>
      <c r="H22" s="55"/>
      <c r="I22" s="5"/>
      <c r="J22" s="22" t="str">
        <f t="shared" si="2"/>
        <v/>
      </c>
      <c r="K22" s="23"/>
      <c r="L22" s="45" t="str">
        <f t="shared" si="3"/>
        <v/>
      </c>
      <c r="M22" s="25"/>
      <c r="N22" s="45" t="str">
        <f t="shared" si="4"/>
        <v/>
      </c>
      <c r="O22" s="29" t="str">
        <f t="shared" si="5"/>
        <v/>
      </c>
      <c r="P22" s="29">
        <f t="shared" si="6"/>
        <v>0</v>
      </c>
      <c r="Q22" s="29">
        <f t="shared" si="7"/>
        <v>0</v>
      </c>
      <c r="R22" s="22" t="str">
        <f t="shared" si="8"/>
        <v/>
      </c>
      <c r="S22" s="23"/>
      <c r="T22" s="45" t="str">
        <f t="shared" si="9"/>
        <v/>
      </c>
      <c r="U22" s="25"/>
      <c r="V22" s="45" t="str">
        <f t="shared" si="10"/>
        <v/>
      </c>
      <c r="W22" s="47"/>
      <c r="X22" s="22" t="str">
        <f t="shared" si="11"/>
        <v/>
      </c>
      <c r="Y22" s="23"/>
      <c r="Z22" s="45" t="str">
        <f t="shared" si="12"/>
        <v/>
      </c>
      <c r="AA22" s="25"/>
      <c r="AB22" s="45" t="str">
        <f t="shared" si="13"/>
        <v/>
      </c>
      <c r="AC22" s="47"/>
      <c r="AD22" s="22" t="str">
        <f t="shared" si="14"/>
        <v/>
      </c>
      <c r="AE22" s="23"/>
      <c r="AF22" s="45" t="str">
        <f t="shared" si="15"/>
        <v/>
      </c>
      <c r="AG22" s="25"/>
      <c r="AH22" s="45" t="str">
        <f t="shared" si="16"/>
        <v/>
      </c>
      <c r="AI22" s="20">
        <v>0.0</v>
      </c>
      <c r="AJ22" s="5"/>
      <c r="AK22" s="22" t="str">
        <f t="shared" si="17"/>
        <v/>
      </c>
      <c r="AL22" s="22"/>
      <c r="AM22" s="23"/>
      <c r="AN22" s="45" t="str">
        <f t="shared" si="18"/>
        <v/>
      </c>
      <c r="AO22" s="25"/>
      <c r="AP22" s="45" t="str">
        <f t="shared" si="19"/>
        <v/>
      </c>
      <c r="AQ22" s="29" t="str">
        <f t="shared" si="20"/>
        <v/>
      </c>
      <c r="AR22" s="29">
        <f t="shared" si="21"/>
        <v>0</v>
      </c>
      <c r="AS22" s="29">
        <f t="shared" si="22"/>
        <v>0</v>
      </c>
      <c r="AT22" s="22" t="str">
        <f t="shared" si="23"/>
        <v/>
      </c>
      <c r="AU22" s="23"/>
      <c r="AV22" s="45" t="str">
        <f t="shared" si="24"/>
        <v/>
      </c>
      <c r="AW22" s="25"/>
      <c r="AX22" s="45" t="str">
        <f t="shared" si="25"/>
        <v/>
      </c>
      <c r="AY22" s="47"/>
      <c r="AZ22" s="22" t="str">
        <f t="shared" si="26"/>
        <v/>
      </c>
      <c r="BA22" s="23"/>
      <c r="BB22" s="45" t="str">
        <f t="shared" si="27"/>
        <v/>
      </c>
      <c r="BC22" s="25"/>
      <c r="BD22" s="45" t="str">
        <f t="shared" si="28"/>
        <v/>
      </c>
      <c r="BE22" s="47"/>
      <c r="BF22" s="22" t="str">
        <f t="shared" si="29"/>
        <v/>
      </c>
      <c r="BG22" s="23"/>
      <c r="BH22" s="45" t="str">
        <f t="shared" si="30"/>
        <v/>
      </c>
      <c r="BI22" s="25"/>
      <c r="BJ22" s="45" t="str">
        <f t="shared" si="31"/>
        <v/>
      </c>
      <c r="BK22" s="20">
        <v>0.0</v>
      </c>
      <c r="BL22" s="5"/>
      <c r="BM22" s="22" t="str">
        <f t="shared" si="32"/>
        <v/>
      </c>
      <c r="BN22" s="23"/>
      <c r="BO22" s="45" t="str">
        <f t="shared" si="33"/>
        <v/>
      </c>
      <c r="BP22" s="25"/>
      <c r="BQ22" s="45" t="str">
        <f t="shared" si="34"/>
        <v/>
      </c>
      <c r="BR22" s="29" t="str">
        <f t="shared" si="35"/>
        <v/>
      </c>
      <c r="BS22" s="29">
        <f t="shared" si="36"/>
        <v>0</v>
      </c>
      <c r="BT22" s="29">
        <f t="shared" si="37"/>
        <v>0</v>
      </c>
      <c r="BU22" s="22" t="str">
        <f t="shared" si="38"/>
        <v/>
      </c>
      <c r="BV22" s="23"/>
      <c r="BW22" s="45" t="str">
        <f t="shared" si="39"/>
        <v/>
      </c>
      <c r="BX22" s="25"/>
      <c r="BY22" s="45" t="str">
        <f t="shared" si="40"/>
        <v/>
      </c>
      <c r="BZ22" s="47"/>
      <c r="CA22" s="22" t="str">
        <f t="shared" si="41"/>
        <v/>
      </c>
      <c r="CB22" s="23"/>
      <c r="CC22" s="45" t="str">
        <f t="shared" si="42"/>
        <v/>
      </c>
      <c r="CD22" s="25"/>
      <c r="CE22" s="45" t="str">
        <f t="shared" si="43"/>
        <v/>
      </c>
      <c r="CF22" s="47"/>
      <c r="CG22" s="22" t="str">
        <f t="shared" si="44"/>
        <v/>
      </c>
      <c r="CH22" s="23"/>
      <c r="CI22" s="45" t="str">
        <f t="shared" si="45"/>
        <v/>
      </c>
      <c r="CJ22" s="25"/>
      <c r="CK22" s="45" t="str">
        <f t="shared" si="46"/>
        <v/>
      </c>
      <c r="CL22" s="20">
        <v>0.0</v>
      </c>
      <c r="CM22" s="5"/>
      <c r="CN22" s="5"/>
      <c r="CO22" s="5"/>
    </row>
    <row r="23">
      <c r="A23" s="20" t="str">
        <f t="shared" si="1"/>
        <v/>
      </c>
      <c r="B23" s="21"/>
      <c r="C23" s="22" t="str">
        <f>IFERROR(__xludf.DUMMYFUNCTION("IFERROR(
IF(A23&lt;&gt;"""",
""EVASTRS00""&amp;A23,
IF(B23&lt;&gt;"""",
INDEX(FILTER($F$4:F23,$A$4:A23&lt;&gt;""""),COUNTA(FILTER($F$4:F23,$A$4:A23&lt;&gt;"""")))&amp;B23,
IF(C23&lt;&gt;"""",
INDEX(FILTER($F$4:F23,$B$4:B23&lt;&gt;""""),COUNTA(FILTER($F$4:F23,$B$4:B23&lt;&gt;"""")))&amp;C23,
""""))),
"""")"),"")</f>
        <v/>
      </c>
      <c r="D23" s="22"/>
      <c r="E23" s="20"/>
      <c r="F23" s="20"/>
      <c r="G23" s="20"/>
      <c r="H23" s="55"/>
      <c r="I23" s="5"/>
      <c r="J23" s="22" t="str">
        <f t="shared" si="2"/>
        <v/>
      </c>
      <c r="K23" s="23"/>
      <c r="L23" s="45" t="str">
        <f t="shared" si="3"/>
        <v/>
      </c>
      <c r="M23" s="25"/>
      <c r="N23" s="45" t="str">
        <f t="shared" si="4"/>
        <v/>
      </c>
      <c r="O23" s="29" t="str">
        <f t="shared" si="5"/>
        <v/>
      </c>
      <c r="P23" s="29">
        <f t="shared" si="6"/>
        <v>0</v>
      </c>
      <c r="Q23" s="29">
        <f t="shared" si="7"/>
        <v>0</v>
      </c>
      <c r="R23" s="22" t="str">
        <f t="shared" si="8"/>
        <v/>
      </c>
      <c r="S23" s="23"/>
      <c r="T23" s="45" t="str">
        <f t="shared" si="9"/>
        <v/>
      </c>
      <c r="U23" s="25"/>
      <c r="V23" s="45" t="str">
        <f t="shared" si="10"/>
        <v/>
      </c>
      <c r="W23" s="47"/>
      <c r="X23" s="22" t="str">
        <f t="shared" si="11"/>
        <v/>
      </c>
      <c r="Y23" s="23"/>
      <c r="Z23" s="45" t="str">
        <f t="shared" si="12"/>
        <v/>
      </c>
      <c r="AA23" s="25"/>
      <c r="AB23" s="45" t="str">
        <f t="shared" si="13"/>
        <v/>
      </c>
      <c r="AC23" s="47"/>
      <c r="AD23" s="22" t="str">
        <f t="shared" si="14"/>
        <v/>
      </c>
      <c r="AE23" s="23"/>
      <c r="AF23" s="45" t="str">
        <f t="shared" si="15"/>
        <v/>
      </c>
      <c r="AG23" s="25"/>
      <c r="AH23" s="45" t="str">
        <f t="shared" si="16"/>
        <v/>
      </c>
      <c r="AI23" s="20">
        <v>0.0</v>
      </c>
      <c r="AJ23" s="5"/>
      <c r="AK23" s="22" t="str">
        <f t="shared" si="17"/>
        <v/>
      </c>
      <c r="AL23" s="22"/>
      <c r="AM23" s="23"/>
      <c r="AN23" s="45" t="str">
        <f t="shared" si="18"/>
        <v/>
      </c>
      <c r="AO23" s="25"/>
      <c r="AP23" s="45" t="str">
        <f t="shared" si="19"/>
        <v/>
      </c>
      <c r="AQ23" s="29" t="str">
        <f t="shared" si="20"/>
        <v/>
      </c>
      <c r="AR23" s="29">
        <f t="shared" si="21"/>
        <v>0</v>
      </c>
      <c r="AS23" s="29">
        <f t="shared" si="22"/>
        <v>0</v>
      </c>
      <c r="AT23" s="22" t="str">
        <f t="shared" si="23"/>
        <v/>
      </c>
      <c r="AU23" s="23"/>
      <c r="AV23" s="45" t="str">
        <f t="shared" si="24"/>
        <v/>
      </c>
      <c r="AW23" s="25"/>
      <c r="AX23" s="45" t="str">
        <f t="shared" si="25"/>
        <v/>
      </c>
      <c r="AY23" s="47"/>
      <c r="AZ23" s="22" t="str">
        <f t="shared" si="26"/>
        <v/>
      </c>
      <c r="BA23" s="23"/>
      <c r="BB23" s="45" t="str">
        <f t="shared" si="27"/>
        <v/>
      </c>
      <c r="BC23" s="25"/>
      <c r="BD23" s="45" t="str">
        <f t="shared" si="28"/>
        <v/>
      </c>
      <c r="BE23" s="47"/>
      <c r="BF23" s="22" t="str">
        <f t="shared" si="29"/>
        <v/>
      </c>
      <c r="BG23" s="23"/>
      <c r="BH23" s="45" t="str">
        <f t="shared" si="30"/>
        <v/>
      </c>
      <c r="BI23" s="25"/>
      <c r="BJ23" s="45" t="str">
        <f t="shared" si="31"/>
        <v/>
      </c>
      <c r="BK23" s="20">
        <v>0.0</v>
      </c>
      <c r="BL23" s="5"/>
      <c r="BM23" s="22" t="str">
        <f t="shared" si="32"/>
        <v/>
      </c>
      <c r="BN23" s="23"/>
      <c r="BO23" s="45" t="str">
        <f t="shared" si="33"/>
        <v/>
      </c>
      <c r="BP23" s="25"/>
      <c r="BQ23" s="45" t="str">
        <f t="shared" si="34"/>
        <v/>
      </c>
      <c r="BR23" s="29" t="str">
        <f t="shared" si="35"/>
        <v/>
      </c>
      <c r="BS23" s="29">
        <f t="shared" si="36"/>
        <v>0</v>
      </c>
      <c r="BT23" s="29">
        <f t="shared" si="37"/>
        <v>0</v>
      </c>
      <c r="BU23" s="22" t="str">
        <f t="shared" si="38"/>
        <v/>
      </c>
      <c r="BV23" s="23"/>
      <c r="BW23" s="45" t="str">
        <f t="shared" si="39"/>
        <v/>
      </c>
      <c r="BX23" s="25"/>
      <c r="BY23" s="45" t="str">
        <f t="shared" si="40"/>
        <v/>
      </c>
      <c r="BZ23" s="47"/>
      <c r="CA23" s="22" t="str">
        <f t="shared" si="41"/>
        <v/>
      </c>
      <c r="CB23" s="23"/>
      <c r="CC23" s="45" t="str">
        <f t="shared" si="42"/>
        <v/>
      </c>
      <c r="CD23" s="25"/>
      <c r="CE23" s="45" t="str">
        <f t="shared" si="43"/>
        <v/>
      </c>
      <c r="CF23" s="47"/>
      <c r="CG23" s="22" t="str">
        <f t="shared" si="44"/>
        <v/>
      </c>
      <c r="CH23" s="23"/>
      <c r="CI23" s="45" t="str">
        <f t="shared" si="45"/>
        <v/>
      </c>
      <c r="CJ23" s="25"/>
      <c r="CK23" s="45" t="str">
        <f t="shared" si="46"/>
        <v/>
      </c>
      <c r="CL23" s="20">
        <v>0.0</v>
      </c>
      <c r="CM23" s="5"/>
      <c r="CN23" s="5"/>
      <c r="CO23" s="5"/>
    </row>
    <row r="24">
      <c r="A24" s="20" t="str">
        <f t="shared" si="1"/>
        <v/>
      </c>
      <c r="B24" s="21"/>
      <c r="C24" s="22" t="str">
        <f>IFERROR(__xludf.DUMMYFUNCTION("IFERROR(
IF(A24&lt;&gt;"""",
""EVASTRS00""&amp;A24,
IF(B24&lt;&gt;"""",
INDEX(FILTER($F$4:F24,$A$4:A24&lt;&gt;""""),COUNTA(FILTER($F$4:F24,$A$4:A24&lt;&gt;"""")))&amp;B24,
IF(C24&lt;&gt;"""",
INDEX(FILTER($F$4:F24,$B$4:B24&lt;&gt;""""),COUNTA(FILTER($F$4:F24,$B$4:B24&lt;&gt;"""")))&amp;C24,
""""))),
"""")"),"")</f>
        <v/>
      </c>
      <c r="D24" s="22"/>
      <c r="E24" s="20"/>
      <c r="F24" s="20"/>
      <c r="G24" s="20"/>
      <c r="H24" s="55"/>
      <c r="I24" s="5"/>
      <c r="J24" s="22" t="str">
        <f t="shared" si="2"/>
        <v/>
      </c>
      <c r="K24" s="23"/>
      <c r="L24" s="45" t="str">
        <f t="shared" si="3"/>
        <v/>
      </c>
      <c r="M24" s="25"/>
      <c r="N24" s="45" t="str">
        <f t="shared" si="4"/>
        <v/>
      </c>
      <c r="O24" s="29" t="str">
        <f t="shared" si="5"/>
        <v/>
      </c>
      <c r="P24" s="29">
        <f t="shared" si="6"/>
        <v>0</v>
      </c>
      <c r="Q24" s="29">
        <f t="shared" si="7"/>
        <v>0</v>
      </c>
      <c r="R24" s="22" t="str">
        <f t="shared" si="8"/>
        <v/>
      </c>
      <c r="S24" s="23"/>
      <c r="T24" s="45" t="str">
        <f t="shared" si="9"/>
        <v/>
      </c>
      <c r="U24" s="25"/>
      <c r="V24" s="45" t="str">
        <f t="shared" si="10"/>
        <v/>
      </c>
      <c r="W24" s="47"/>
      <c r="X24" s="22" t="str">
        <f t="shared" si="11"/>
        <v/>
      </c>
      <c r="Y24" s="23"/>
      <c r="Z24" s="45" t="str">
        <f t="shared" si="12"/>
        <v/>
      </c>
      <c r="AA24" s="25"/>
      <c r="AB24" s="45" t="str">
        <f t="shared" si="13"/>
        <v/>
      </c>
      <c r="AC24" s="47"/>
      <c r="AD24" s="22" t="str">
        <f t="shared" si="14"/>
        <v/>
      </c>
      <c r="AE24" s="23"/>
      <c r="AF24" s="45" t="str">
        <f t="shared" si="15"/>
        <v/>
      </c>
      <c r="AG24" s="25"/>
      <c r="AH24" s="45" t="str">
        <f t="shared" si="16"/>
        <v/>
      </c>
      <c r="AI24" s="20">
        <v>0.0</v>
      </c>
      <c r="AJ24" s="5"/>
      <c r="AK24" s="22" t="str">
        <f t="shared" si="17"/>
        <v/>
      </c>
      <c r="AL24" s="20"/>
      <c r="AM24" s="23"/>
      <c r="AN24" s="45" t="str">
        <f t="shared" si="18"/>
        <v/>
      </c>
      <c r="AO24" s="25"/>
      <c r="AP24" s="45" t="str">
        <f t="shared" si="19"/>
        <v/>
      </c>
      <c r="AQ24" s="29" t="str">
        <f t="shared" si="20"/>
        <v/>
      </c>
      <c r="AR24" s="29">
        <f t="shared" si="21"/>
        <v>0</v>
      </c>
      <c r="AS24" s="29">
        <f t="shared" si="22"/>
        <v>0</v>
      </c>
      <c r="AT24" s="22" t="str">
        <f t="shared" si="23"/>
        <v/>
      </c>
      <c r="AU24" s="23"/>
      <c r="AV24" s="45" t="str">
        <f t="shared" si="24"/>
        <v/>
      </c>
      <c r="AW24" s="25"/>
      <c r="AX24" s="45" t="str">
        <f t="shared" si="25"/>
        <v/>
      </c>
      <c r="AY24" s="47"/>
      <c r="AZ24" s="22" t="str">
        <f t="shared" si="26"/>
        <v/>
      </c>
      <c r="BA24" s="23"/>
      <c r="BB24" s="45" t="str">
        <f t="shared" si="27"/>
        <v/>
      </c>
      <c r="BC24" s="25"/>
      <c r="BD24" s="45" t="str">
        <f t="shared" si="28"/>
        <v/>
      </c>
      <c r="BE24" s="47"/>
      <c r="BF24" s="22" t="str">
        <f t="shared" si="29"/>
        <v/>
      </c>
      <c r="BG24" s="23"/>
      <c r="BH24" s="45" t="str">
        <f t="shared" si="30"/>
        <v/>
      </c>
      <c r="BI24" s="25"/>
      <c r="BJ24" s="45" t="str">
        <f t="shared" si="31"/>
        <v/>
      </c>
      <c r="BK24" s="20">
        <v>0.0</v>
      </c>
      <c r="BL24" s="5"/>
      <c r="BM24" s="22" t="str">
        <f t="shared" si="32"/>
        <v/>
      </c>
      <c r="BN24" s="23"/>
      <c r="BO24" s="45" t="str">
        <f t="shared" si="33"/>
        <v/>
      </c>
      <c r="BP24" s="25"/>
      <c r="BQ24" s="45" t="str">
        <f t="shared" si="34"/>
        <v/>
      </c>
      <c r="BR24" s="29" t="str">
        <f t="shared" si="35"/>
        <v/>
      </c>
      <c r="BS24" s="29">
        <f t="shared" si="36"/>
        <v>0</v>
      </c>
      <c r="BT24" s="29">
        <f t="shared" si="37"/>
        <v>0</v>
      </c>
      <c r="BU24" s="22" t="str">
        <f t="shared" si="38"/>
        <v/>
      </c>
      <c r="BV24" s="23"/>
      <c r="BW24" s="45" t="str">
        <f t="shared" si="39"/>
        <v/>
      </c>
      <c r="BX24" s="25"/>
      <c r="BY24" s="45" t="str">
        <f t="shared" si="40"/>
        <v/>
      </c>
      <c r="BZ24" s="47"/>
      <c r="CA24" s="22" t="str">
        <f t="shared" si="41"/>
        <v/>
      </c>
      <c r="CB24" s="23"/>
      <c r="CC24" s="45" t="str">
        <f t="shared" si="42"/>
        <v/>
      </c>
      <c r="CD24" s="25"/>
      <c r="CE24" s="45" t="str">
        <f t="shared" si="43"/>
        <v/>
      </c>
      <c r="CF24" s="47"/>
      <c r="CG24" s="22" t="str">
        <f t="shared" si="44"/>
        <v/>
      </c>
      <c r="CH24" s="23"/>
      <c r="CI24" s="45" t="str">
        <f t="shared" si="45"/>
        <v/>
      </c>
      <c r="CJ24" s="25"/>
      <c r="CK24" s="45" t="str">
        <f t="shared" si="46"/>
        <v/>
      </c>
      <c r="CL24" s="20">
        <v>0.0</v>
      </c>
      <c r="CM24" s="5"/>
      <c r="CN24" s="5"/>
      <c r="CO24" s="5"/>
    </row>
    <row r="25">
      <c r="A25" s="20" t="str">
        <f t="shared" si="1"/>
        <v/>
      </c>
      <c r="B25" s="21"/>
      <c r="C25" s="22" t="str">
        <f>IFERROR(__xludf.DUMMYFUNCTION("IFERROR(
IF(A25&lt;&gt;"""",
""EVASTRS00""&amp;A25,
IF(B25&lt;&gt;"""",
INDEX(FILTER($F$4:F25,$A$4:A25&lt;&gt;""""),COUNTA(FILTER($F$4:F25,$A$4:A25&lt;&gt;"""")))&amp;B25,
IF(C25&lt;&gt;"""",
INDEX(FILTER($F$4:F25,$B$4:B25&lt;&gt;""""),COUNTA(FILTER($F$4:F25,$B$4:B25&lt;&gt;"""")))&amp;C25,
""""))),
"""")"),"")</f>
        <v/>
      </c>
      <c r="D25" s="22"/>
      <c r="E25" s="20"/>
      <c r="F25" s="20"/>
      <c r="G25" s="20"/>
      <c r="H25" s="55"/>
      <c r="I25" s="5"/>
      <c r="J25" s="22" t="str">
        <f t="shared" si="2"/>
        <v/>
      </c>
      <c r="K25" s="23"/>
      <c r="L25" s="45" t="str">
        <f t="shared" si="3"/>
        <v/>
      </c>
      <c r="M25" s="25"/>
      <c r="N25" s="45" t="str">
        <f t="shared" si="4"/>
        <v/>
      </c>
      <c r="O25" s="29" t="str">
        <f t="shared" si="5"/>
        <v/>
      </c>
      <c r="P25" s="29">
        <f t="shared" si="6"/>
        <v>0</v>
      </c>
      <c r="Q25" s="29">
        <f t="shared" si="7"/>
        <v>0</v>
      </c>
      <c r="R25" s="22" t="str">
        <f t="shared" si="8"/>
        <v/>
      </c>
      <c r="S25" s="23"/>
      <c r="T25" s="45" t="str">
        <f t="shared" si="9"/>
        <v/>
      </c>
      <c r="U25" s="25"/>
      <c r="V25" s="45" t="str">
        <f t="shared" si="10"/>
        <v/>
      </c>
      <c r="W25" s="47"/>
      <c r="X25" s="22" t="str">
        <f t="shared" si="11"/>
        <v/>
      </c>
      <c r="Y25" s="23"/>
      <c r="Z25" s="45" t="str">
        <f t="shared" si="12"/>
        <v/>
      </c>
      <c r="AA25" s="25"/>
      <c r="AB25" s="45" t="str">
        <f t="shared" si="13"/>
        <v/>
      </c>
      <c r="AC25" s="47"/>
      <c r="AD25" s="22" t="str">
        <f t="shared" si="14"/>
        <v/>
      </c>
      <c r="AE25" s="23"/>
      <c r="AF25" s="45" t="str">
        <f t="shared" si="15"/>
        <v/>
      </c>
      <c r="AG25" s="25"/>
      <c r="AH25" s="45" t="str">
        <f t="shared" si="16"/>
        <v/>
      </c>
      <c r="AI25" s="20">
        <v>0.0</v>
      </c>
      <c r="AJ25" s="5"/>
      <c r="AK25" s="22" t="str">
        <f t="shared" si="17"/>
        <v/>
      </c>
      <c r="AL25" s="22"/>
      <c r="AM25" s="23"/>
      <c r="AN25" s="45" t="str">
        <f t="shared" si="18"/>
        <v/>
      </c>
      <c r="AO25" s="25"/>
      <c r="AP25" s="45" t="str">
        <f t="shared" si="19"/>
        <v/>
      </c>
      <c r="AQ25" s="29" t="str">
        <f t="shared" si="20"/>
        <v/>
      </c>
      <c r="AR25" s="29">
        <f t="shared" si="21"/>
        <v>0</v>
      </c>
      <c r="AS25" s="29">
        <f t="shared" si="22"/>
        <v>0</v>
      </c>
      <c r="AT25" s="22" t="str">
        <f t="shared" si="23"/>
        <v/>
      </c>
      <c r="AU25" s="23"/>
      <c r="AV25" s="45" t="str">
        <f t="shared" si="24"/>
        <v/>
      </c>
      <c r="AW25" s="25"/>
      <c r="AX25" s="45" t="str">
        <f t="shared" si="25"/>
        <v/>
      </c>
      <c r="AY25" s="47"/>
      <c r="AZ25" s="22" t="str">
        <f t="shared" si="26"/>
        <v/>
      </c>
      <c r="BA25" s="23"/>
      <c r="BB25" s="45" t="str">
        <f t="shared" si="27"/>
        <v/>
      </c>
      <c r="BC25" s="25"/>
      <c r="BD25" s="45" t="str">
        <f t="shared" si="28"/>
        <v/>
      </c>
      <c r="BE25" s="47"/>
      <c r="BF25" s="22" t="str">
        <f t="shared" si="29"/>
        <v/>
      </c>
      <c r="BG25" s="23"/>
      <c r="BH25" s="45" t="str">
        <f t="shared" si="30"/>
        <v/>
      </c>
      <c r="BI25" s="25"/>
      <c r="BJ25" s="45" t="str">
        <f t="shared" si="31"/>
        <v/>
      </c>
      <c r="BK25" s="20">
        <v>0.0</v>
      </c>
      <c r="BL25" s="5"/>
      <c r="BM25" s="22" t="str">
        <f t="shared" si="32"/>
        <v/>
      </c>
      <c r="BN25" s="23"/>
      <c r="BO25" s="45" t="str">
        <f t="shared" si="33"/>
        <v/>
      </c>
      <c r="BP25" s="25"/>
      <c r="BQ25" s="45" t="str">
        <f t="shared" si="34"/>
        <v/>
      </c>
      <c r="BR25" s="29" t="str">
        <f t="shared" si="35"/>
        <v/>
      </c>
      <c r="BS25" s="29">
        <f t="shared" si="36"/>
        <v>0</v>
      </c>
      <c r="BT25" s="29">
        <f t="shared" si="37"/>
        <v>0</v>
      </c>
      <c r="BU25" s="22" t="str">
        <f t="shared" si="38"/>
        <v/>
      </c>
      <c r="BV25" s="23"/>
      <c r="BW25" s="45" t="str">
        <f t="shared" si="39"/>
        <v/>
      </c>
      <c r="BX25" s="25"/>
      <c r="BY25" s="45" t="str">
        <f t="shared" si="40"/>
        <v/>
      </c>
      <c r="BZ25" s="47"/>
      <c r="CA25" s="22" t="str">
        <f t="shared" si="41"/>
        <v/>
      </c>
      <c r="CB25" s="23"/>
      <c r="CC25" s="45" t="str">
        <f t="shared" si="42"/>
        <v/>
      </c>
      <c r="CD25" s="25"/>
      <c r="CE25" s="45" t="str">
        <f t="shared" si="43"/>
        <v/>
      </c>
      <c r="CF25" s="47"/>
      <c r="CG25" s="22" t="str">
        <f t="shared" si="44"/>
        <v/>
      </c>
      <c r="CH25" s="23"/>
      <c r="CI25" s="45" t="str">
        <f t="shared" si="45"/>
        <v/>
      </c>
      <c r="CJ25" s="25"/>
      <c r="CK25" s="45" t="str">
        <f t="shared" si="46"/>
        <v/>
      </c>
      <c r="CL25" s="20">
        <v>0.0</v>
      </c>
      <c r="CM25" s="5"/>
      <c r="CN25" s="5"/>
      <c r="CO25" s="5"/>
    </row>
    <row r="26">
      <c r="A26" s="20" t="str">
        <f t="shared" si="1"/>
        <v/>
      </c>
      <c r="B26" s="21"/>
      <c r="C26" s="22" t="str">
        <f>IFERROR(__xludf.DUMMYFUNCTION("IFERROR(
IF(A26&lt;&gt;"""",
""EVASTRS00""&amp;A26,
IF(B26&lt;&gt;"""",
INDEX(FILTER($F$4:F26,$A$4:A26&lt;&gt;""""),COUNTA(FILTER($F$4:F26,$A$4:A26&lt;&gt;"""")))&amp;B26,
IF(C26&lt;&gt;"""",
INDEX(FILTER($F$4:F26,$B$4:B26&lt;&gt;""""),COUNTA(FILTER($F$4:F26,$B$4:B26&lt;&gt;"""")))&amp;C26,
""""))),
"""")"),"")</f>
        <v/>
      </c>
      <c r="D26" s="22"/>
      <c r="E26" s="20"/>
      <c r="F26" s="20"/>
      <c r="G26" s="20"/>
      <c r="H26" s="55"/>
      <c r="I26" s="5"/>
      <c r="J26" s="22" t="str">
        <f t="shared" si="2"/>
        <v/>
      </c>
      <c r="K26" s="23"/>
      <c r="L26" s="45" t="str">
        <f t="shared" si="3"/>
        <v/>
      </c>
      <c r="M26" s="25"/>
      <c r="N26" s="45" t="str">
        <f t="shared" si="4"/>
        <v/>
      </c>
      <c r="O26" s="29" t="str">
        <f t="shared" si="5"/>
        <v/>
      </c>
      <c r="P26" s="29">
        <f t="shared" si="6"/>
        <v>0</v>
      </c>
      <c r="Q26" s="29">
        <f t="shared" si="7"/>
        <v>0</v>
      </c>
      <c r="R26" s="22" t="str">
        <f t="shared" si="8"/>
        <v/>
      </c>
      <c r="S26" s="23"/>
      <c r="T26" s="45" t="str">
        <f t="shared" si="9"/>
        <v/>
      </c>
      <c r="U26" s="25"/>
      <c r="V26" s="45" t="str">
        <f t="shared" si="10"/>
        <v/>
      </c>
      <c r="W26" s="47"/>
      <c r="X26" s="22" t="str">
        <f t="shared" si="11"/>
        <v/>
      </c>
      <c r="Y26" s="23"/>
      <c r="Z26" s="45" t="str">
        <f t="shared" si="12"/>
        <v/>
      </c>
      <c r="AA26" s="25"/>
      <c r="AB26" s="45" t="str">
        <f t="shared" si="13"/>
        <v/>
      </c>
      <c r="AC26" s="47"/>
      <c r="AD26" s="22" t="str">
        <f t="shared" si="14"/>
        <v/>
      </c>
      <c r="AE26" s="23"/>
      <c r="AF26" s="45" t="str">
        <f t="shared" si="15"/>
        <v/>
      </c>
      <c r="AG26" s="25"/>
      <c r="AH26" s="45" t="str">
        <f t="shared" si="16"/>
        <v/>
      </c>
      <c r="AI26" s="20">
        <v>0.0</v>
      </c>
      <c r="AJ26" s="5"/>
      <c r="AK26" s="22" t="str">
        <f t="shared" si="17"/>
        <v/>
      </c>
      <c r="AL26" s="22"/>
      <c r="AM26" s="23"/>
      <c r="AN26" s="45" t="str">
        <f t="shared" si="18"/>
        <v/>
      </c>
      <c r="AO26" s="25"/>
      <c r="AP26" s="45" t="str">
        <f t="shared" si="19"/>
        <v/>
      </c>
      <c r="AQ26" s="29" t="str">
        <f t="shared" si="20"/>
        <v/>
      </c>
      <c r="AR26" s="29">
        <f t="shared" si="21"/>
        <v>0</v>
      </c>
      <c r="AS26" s="29">
        <f t="shared" si="22"/>
        <v>0</v>
      </c>
      <c r="AT26" s="22" t="str">
        <f t="shared" si="23"/>
        <v/>
      </c>
      <c r="AU26" s="23"/>
      <c r="AV26" s="45" t="str">
        <f t="shared" si="24"/>
        <v/>
      </c>
      <c r="AW26" s="25"/>
      <c r="AX26" s="45" t="str">
        <f t="shared" si="25"/>
        <v/>
      </c>
      <c r="AY26" s="47"/>
      <c r="AZ26" s="22" t="str">
        <f t="shared" si="26"/>
        <v/>
      </c>
      <c r="BA26" s="23"/>
      <c r="BB26" s="45" t="str">
        <f t="shared" si="27"/>
        <v/>
      </c>
      <c r="BC26" s="25"/>
      <c r="BD26" s="45" t="str">
        <f t="shared" si="28"/>
        <v/>
      </c>
      <c r="BE26" s="47"/>
      <c r="BF26" s="22" t="str">
        <f t="shared" si="29"/>
        <v/>
      </c>
      <c r="BG26" s="23"/>
      <c r="BH26" s="45" t="str">
        <f t="shared" si="30"/>
        <v/>
      </c>
      <c r="BI26" s="25"/>
      <c r="BJ26" s="45" t="str">
        <f t="shared" si="31"/>
        <v/>
      </c>
      <c r="BK26" s="20">
        <v>0.0</v>
      </c>
      <c r="BL26" s="5"/>
      <c r="BM26" s="22" t="str">
        <f t="shared" si="32"/>
        <v/>
      </c>
      <c r="BN26" s="23"/>
      <c r="BO26" s="45" t="str">
        <f t="shared" si="33"/>
        <v/>
      </c>
      <c r="BP26" s="25"/>
      <c r="BQ26" s="45" t="str">
        <f t="shared" si="34"/>
        <v/>
      </c>
      <c r="BR26" s="29" t="str">
        <f t="shared" si="35"/>
        <v/>
      </c>
      <c r="BS26" s="29">
        <f t="shared" si="36"/>
        <v>0</v>
      </c>
      <c r="BT26" s="29">
        <f t="shared" si="37"/>
        <v>0</v>
      </c>
      <c r="BU26" s="22" t="str">
        <f t="shared" si="38"/>
        <v/>
      </c>
      <c r="BV26" s="23"/>
      <c r="BW26" s="45" t="str">
        <f t="shared" si="39"/>
        <v/>
      </c>
      <c r="BX26" s="25"/>
      <c r="BY26" s="45" t="str">
        <f t="shared" si="40"/>
        <v/>
      </c>
      <c r="BZ26" s="47"/>
      <c r="CA26" s="22" t="str">
        <f t="shared" si="41"/>
        <v/>
      </c>
      <c r="CB26" s="23"/>
      <c r="CC26" s="45" t="str">
        <f t="shared" si="42"/>
        <v/>
      </c>
      <c r="CD26" s="25"/>
      <c r="CE26" s="45" t="str">
        <f t="shared" si="43"/>
        <v/>
      </c>
      <c r="CF26" s="47"/>
      <c r="CG26" s="22" t="str">
        <f t="shared" si="44"/>
        <v/>
      </c>
      <c r="CH26" s="23"/>
      <c r="CI26" s="45" t="str">
        <f t="shared" si="45"/>
        <v/>
      </c>
      <c r="CJ26" s="25"/>
      <c r="CK26" s="45" t="str">
        <f t="shared" si="46"/>
        <v/>
      </c>
      <c r="CL26" s="20">
        <v>0.0</v>
      </c>
      <c r="CM26" s="5"/>
      <c r="CN26" s="5"/>
      <c r="CO26" s="5"/>
    </row>
    <row r="27">
      <c r="A27" s="20" t="str">
        <f t="shared" si="1"/>
        <v/>
      </c>
      <c r="B27" s="21"/>
      <c r="C27" s="22" t="str">
        <f>IFERROR(__xludf.DUMMYFUNCTION("IFERROR(
IF(A27&lt;&gt;"""",
""EVASTRS00""&amp;A27,
IF(B27&lt;&gt;"""",
INDEX(FILTER($F$4:F27,$A$4:A27&lt;&gt;""""),COUNTA(FILTER($F$4:F27,$A$4:A27&lt;&gt;"""")))&amp;B27,
IF(C27&lt;&gt;"""",
INDEX(FILTER($F$4:F27,$B$4:B27&lt;&gt;""""),COUNTA(FILTER($F$4:F27,$B$4:B27&lt;&gt;"""")))&amp;C27,
""""))),
"""")"),"")</f>
        <v/>
      </c>
      <c r="D27" s="22"/>
      <c r="E27" s="20"/>
      <c r="F27" s="20"/>
      <c r="G27" s="20"/>
      <c r="H27" s="55"/>
      <c r="I27" s="5"/>
      <c r="J27" s="22" t="str">
        <f t="shared" si="2"/>
        <v/>
      </c>
      <c r="K27" s="23"/>
      <c r="L27" s="45" t="str">
        <f t="shared" si="3"/>
        <v/>
      </c>
      <c r="M27" s="25"/>
      <c r="N27" s="45" t="str">
        <f t="shared" si="4"/>
        <v/>
      </c>
      <c r="O27" s="29" t="str">
        <f t="shared" si="5"/>
        <v/>
      </c>
      <c r="P27" s="29">
        <f t="shared" si="6"/>
        <v>0</v>
      </c>
      <c r="Q27" s="29">
        <f t="shared" si="7"/>
        <v>0</v>
      </c>
      <c r="R27" s="22" t="str">
        <f t="shared" si="8"/>
        <v/>
      </c>
      <c r="S27" s="23"/>
      <c r="T27" s="45" t="str">
        <f t="shared" si="9"/>
        <v/>
      </c>
      <c r="U27" s="25"/>
      <c r="V27" s="45" t="str">
        <f t="shared" si="10"/>
        <v/>
      </c>
      <c r="W27" s="47"/>
      <c r="X27" s="22" t="str">
        <f t="shared" si="11"/>
        <v/>
      </c>
      <c r="Y27" s="23"/>
      <c r="Z27" s="45" t="str">
        <f t="shared" si="12"/>
        <v/>
      </c>
      <c r="AA27" s="25"/>
      <c r="AB27" s="45" t="str">
        <f t="shared" si="13"/>
        <v/>
      </c>
      <c r="AC27" s="47"/>
      <c r="AD27" s="22" t="str">
        <f t="shared" si="14"/>
        <v/>
      </c>
      <c r="AE27" s="23"/>
      <c r="AF27" s="45" t="str">
        <f t="shared" si="15"/>
        <v/>
      </c>
      <c r="AG27" s="25"/>
      <c r="AH27" s="45" t="str">
        <f t="shared" si="16"/>
        <v/>
      </c>
      <c r="AI27" s="20">
        <v>0.0</v>
      </c>
      <c r="AJ27" s="5"/>
      <c r="AK27" s="22" t="str">
        <f t="shared" si="17"/>
        <v/>
      </c>
      <c r="AL27" s="22"/>
      <c r="AM27" s="23"/>
      <c r="AN27" s="45" t="str">
        <f t="shared" si="18"/>
        <v/>
      </c>
      <c r="AO27" s="25"/>
      <c r="AP27" s="45" t="str">
        <f t="shared" si="19"/>
        <v/>
      </c>
      <c r="AQ27" s="29" t="str">
        <f t="shared" si="20"/>
        <v/>
      </c>
      <c r="AR27" s="29">
        <f t="shared" si="21"/>
        <v>0</v>
      </c>
      <c r="AS27" s="29">
        <f t="shared" si="22"/>
        <v>0</v>
      </c>
      <c r="AT27" s="22" t="str">
        <f t="shared" si="23"/>
        <v/>
      </c>
      <c r="AU27" s="23"/>
      <c r="AV27" s="45" t="str">
        <f t="shared" si="24"/>
        <v/>
      </c>
      <c r="AW27" s="25"/>
      <c r="AX27" s="45" t="str">
        <f t="shared" si="25"/>
        <v/>
      </c>
      <c r="AY27" s="47"/>
      <c r="AZ27" s="22" t="str">
        <f t="shared" si="26"/>
        <v/>
      </c>
      <c r="BA27" s="23"/>
      <c r="BB27" s="45" t="str">
        <f t="shared" si="27"/>
        <v/>
      </c>
      <c r="BC27" s="25"/>
      <c r="BD27" s="45" t="str">
        <f t="shared" si="28"/>
        <v/>
      </c>
      <c r="BE27" s="47"/>
      <c r="BF27" s="22" t="str">
        <f t="shared" si="29"/>
        <v/>
      </c>
      <c r="BG27" s="23"/>
      <c r="BH27" s="45" t="str">
        <f t="shared" si="30"/>
        <v/>
      </c>
      <c r="BI27" s="25"/>
      <c r="BJ27" s="45" t="str">
        <f t="shared" si="31"/>
        <v/>
      </c>
      <c r="BK27" s="20">
        <v>0.0</v>
      </c>
      <c r="BL27" s="5"/>
      <c r="BM27" s="22" t="str">
        <f t="shared" si="32"/>
        <v/>
      </c>
      <c r="BN27" s="23"/>
      <c r="BO27" s="45" t="str">
        <f t="shared" si="33"/>
        <v/>
      </c>
      <c r="BP27" s="25"/>
      <c r="BQ27" s="45" t="str">
        <f t="shared" si="34"/>
        <v/>
      </c>
      <c r="BR27" s="29" t="str">
        <f t="shared" si="35"/>
        <v/>
      </c>
      <c r="BS27" s="29">
        <f t="shared" si="36"/>
        <v>0</v>
      </c>
      <c r="BT27" s="29">
        <f t="shared" si="37"/>
        <v>0</v>
      </c>
      <c r="BU27" s="22" t="str">
        <f t="shared" si="38"/>
        <v/>
      </c>
      <c r="BV27" s="23"/>
      <c r="BW27" s="45" t="str">
        <f t="shared" si="39"/>
        <v/>
      </c>
      <c r="BX27" s="25"/>
      <c r="BY27" s="45" t="str">
        <f t="shared" si="40"/>
        <v/>
      </c>
      <c r="BZ27" s="47"/>
      <c r="CA27" s="22" t="str">
        <f t="shared" si="41"/>
        <v/>
      </c>
      <c r="CB27" s="23"/>
      <c r="CC27" s="45" t="str">
        <f t="shared" si="42"/>
        <v/>
      </c>
      <c r="CD27" s="25"/>
      <c r="CE27" s="45" t="str">
        <f t="shared" si="43"/>
        <v/>
      </c>
      <c r="CF27" s="47"/>
      <c r="CG27" s="22" t="str">
        <f t="shared" si="44"/>
        <v/>
      </c>
      <c r="CH27" s="23"/>
      <c r="CI27" s="45" t="str">
        <f t="shared" si="45"/>
        <v/>
      </c>
      <c r="CJ27" s="25"/>
      <c r="CK27" s="45" t="str">
        <f t="shared" si="46"/>
        <v/>
      </c>
      <c r="CL27" s="20">
        <v>0.0</v>
      </c>
      <c r="CM27" s="5"/>
      <c r="CN27" s="5"/>
      <c r="CO27" s="5"/>
    </row>
    <row r="28">
      <c r="A28" s="20" t="str">
        <f t="shared" si="1"/>
        <v/>
      </c>
      <c r="B28" s="21"/>
      <c r="C28" s="22" t="str">
        <f>IFERROR(__xludf.DUMMYFUNCTION("IFERROR(
IF(A28&lt;&gt;"""",
""EVASTRS00""&amp;A28,
IF(B28&lt;&gt;"""",
INDEX(FILTER($F$4:F28,$A$4:A28&lt;&gt;""""),COUNTA(FILTER($F$4:F28,$A$4:A28&lt;&gt;"""")))&amp;B28,
IF(C28&lt;&gt;"""",
INDEX(FILTER($F$4:F28,$B$4:B28&lt;&gt;""""),COUNTA(FILTER($F$4:F28,$B$4:B28&lt;&gt;"""")))&amp;C28,
""""))),
"""")"),"")</f>
        <v/>
      </c>
      <c r="D28" s="22"/>
      <c r="E28" s="20"/>
      <c r="F28" s="20"/>
      <c r="G28" s="20"/>
      <c r="H28" s="55"/>
      <c r="I28" s="5"/>
      <c r="J28" s="22" t="str">
        <f t="shared" si="2"/>
        <v/>
      </c>
      <c r="K28" s="23"/>
      <c r="L28" s="45" t="str">
        <f t="shared" si="3"/>
        <v/>
      </c>
      <c r="M28" s="25"/>
      <c r="N28" s="45" t="str">
        <f t="shared" si="4"/>
        <v/>
      </c>
      <c r="O28" s="29" t="str">
        <f t="shared" si="5"/>
        <v/>
      </c>
      <c r="P28" s="29">
        <f t="shared" si="6"/>
        <v>0</v>
      </c>
      <c r="Q28" s="29">
        <f t="shared" si="7"/>
        <v>0</v>
      </c>
      <c r="R28" s="22" t="str">
        <f t="shared" si="8"/>
        <v/>
      </c>
      <c r="S28" s="23"/>
      <c r="T28" s="45" t="str">
        <f t="shared" si="9"/>
        <v/>
      </c>
      <c r="U28" s="25"/>
      <c r="V28" s="45" t="str">
        <f t="shared" si="10"/>
        <v/>
      </c>
      <c r="W28" s="47"/>
      <c r="X28" s="22" t="str">
        <f t="shared" si="11"/>
        <v/>
      </c>
      <c r="Y28" s="23"/>
      <c r="Z28" s="45" t="str">
        <f t="shared" si="12"/>
        <v/>
      </c>
      <c r="AA28" s="25"/>
      <c r="AB28" s="45" t="str">
        <f t="shared" si="13"/>
        <v/>
      </c>
      <c r="AC28" s="47"/>
      <c r="AD28" s="22" t="str">
        <f t="shared" si="14"/>
        <v/>
      </c>
      <c r="AE28" s="23"/>
      <c r="AF28" s="45" t="str">
        <f t="shared" si="15"/>
        <v/>
      </c>
      <c r="AG28" s="25"/>
      <c r="AH28" s="45" t="str">
        <f t="shared" si="16"/>
        <v/>
      </c>
      <c r="AI28" s="20">
        <v>0.0</v>
      </c>
      <c r="AJ28" s="5"/>
      <c r="AK28" s="22" t="str">
        <f t="shared" si="17"/>
        <v/>
      </c>
      <c r="AL28" s="22"/>
      <c r="AM28" s="23"/>
      <c r="AN28" s="45" t="str">
        <f t="shared" si="18"/>
        <v/>
      </c>
      <c r="AO28" s="25"/>
      <c r="AP28" s="45" t="str">
        <f t="shared" si="19"/>
        <v/>
      </c>
      <c r="AQ28" s="29" t="str">
        <f t="shared" si="20"/>
        <v/>
      </c>
      <c r="AR28" s="29">
        <f t="shared" si="21"/>
        <v>0</v>
      </c>
      <c r="AS28" s="29">
        <f t="shared" si="22"/>
        <v>0</v>
      </c>
      <c r="AT28" s="22" t="str">
        <f t="shared" si="23"/>
        <v/>
      </c>
      <c r="AU28" s="23"/>
      <c r="AV28" s="45" t="str">
        <f t="shared" si="24"/>
        <v/>
      </c>
      <c r="AW28" s="25"/>
      <c r="AX28" s="45" t="str">
        <f t="shared" si="25"/>
        <v/>
      </c>
      <c r="AY28" s="47"/>
      <c r="AZ28" s="22" t="str">
        <f t="shared" si="26"/>
        <v/>
      </c>
      <c r="BA28" s="23"/>
      <c r="BB28" s="45" t="str">
        <f t="shared" si="27"/>
        <v/>
      </c>
      <c r="BC28" s="25"/>
      <c r="BD28" s="45" t="str">
        <f t="shared" si="28"/>
        <v/>
      </c>
      <c r="BE28" s="47"/>
      <c r="BF28" s="22" t="str">
        <f t="shared" si="29"/>
        <v/>
      </c>
      <c r="BG28" s="23"/>
      <c r="BH28" s="45" t="str">
        <f t="shared" si="30"/>
        <v/>
      </c>
      <c r="BI28" s="25"/>
      <c r="BJ28" s="45" t="str">
        <f t="shared" si="31"/>
        <v/>
      </c>
      <c r="BK28" s="20">
        <v>0.0</v>
      </c>
      <c r="BL28" s="5"/>
      <c r="BM28" s="22" t="str">
        <f t="shared" si="32"/>
        <v/>
      </c>
      <c r="BN28" s="23"/>
      <c r="BO28" s="45" t="str">
        <f t="shared" si="33"/>
        <v/>
      </c>
      <c r="BP28" s="25"/>
      <c r="BQ28" s="45" t="str">
        <f t="shared" si="34"/>
        <v/>
      </c>
      <c r="BR28" s="29" t="str">
        <f t="shared" si="35"/>
        <v/>
      </c>
      <c r="BS28" s="29">
        <f t="shared" si="36"/>
        <v>0</v>
      </c>
      <c r="BT28" s="29">
        <f t="shared" si="37"/>
        <v>0</v>
      </c>
      <c r="BU28" s="22" t="str">
        <f t="shared" si="38"/>
        <v/>
      </c>
      <c r="BV28" s="23"/>
      <c r="BW28" s="45" t="str">
        <f t="shared" si="39"/>
        <v/>
      </c>
      <c r="BX28" s="25"/>
      <c r="BY28" s="45" t="str">
        <f t="shared" si="40"/>
        <v/>
      </c>
      <c r="BZ28" s="47"/>
      <c r="CA28" s="22" t="str">
        <f t="shared" si="41"/>
        <v/>
      </c>
      <c r="CB28" s="23"/>
      <c r="CC28" s="45" t="str">
        <f t="shared" si="42"/>
        <v/>
      </c>
      <c r="CD28" s="25"/>
      <c r="CE28" s="45" t="str">
        <f t="shared" si="43"/>
        <v/>
      </c>
      <c r="CF28" s="47"/>
      <c r="CG28" s="22" t="str">
        <f t="shared" si="44"/>
        <v/>
      </c>
      <c r="CH28" s="23"/>
      <c r="CI28" s="45" t="str">
        <f t="shared" si="45"/>
        <v/>
      </c>
      <c r="CJ28" s="25"/>
      <c r="CK28" s="45" t="str">
        <f t="shared" si="46"/>
        <v/>
      </c>
      <c r="CL28" s="20">
        <v>0.0</v>
      </c>
      <c r="CM28" s="5"/>
      <c r="CN28" s="5"/>
      <c r="CO28" s="5"/>
    </row>
    <row r="29">
      <c r="A29" s="20" t="str">
        <f t="shared" si="1"/>
        <v/>
      </c>
      <c r="B29" s="21"/>
      <c r="C29" s="22" t="str">
        <f>IFERROR(__xludf.DUMMYFUNCTION("IFERROR(
IF(A29&lt;&gt;"""",
""EVASTRS00""&amp;A29,
IF(B29&lt;&gt;"""",
INDEX(FILTER($F$4:F29,$A$4:A29&lt;&gt;""""),COUNTA(FILTER($F$4:F29,$A$4:A29&lt;&gt;"""")))&amp;B29,
IF(C29&lt;&gt;"""",
INDEX(FILTER($F$4:F29,$B$4:B29&lt;&gt;""""),COUNTA(FILTER($F$4:F29,$B$4:B29&lt;&gt;"""")))&amp;C29,
""""))),
"""")"),"")</f>
        <v/>
      </c>
      <c r="D29" s="22"/>
      <c r="E29" s="20"/>
      <c r="F29" s="20"/>
      <c r="G29" s="20"/>
      <c r="H29" s="55"/>
      <c r="I29" s="5"/>
      <c r="J29" s="22" t="str">
        <f t="shared" si="2"/>
        <v/>
      </c>
      <c r="K29" s="23"/>
      <c r="L29" s="45" t="str">
        <f t="shared" si="3"/>
        <v/>
      </c>
      <c r="M29" s="25"/>
      <c r="N29" s="45" t="str">
        <f t="shared" si="4"/>
        <v/>
      </c>
      <c r="O29" s="29" t="str">
        <f t="shared" si="5"/>
        <v/>
      </c>
      <c r="P29" s="29">
        <f t="shared" si="6"/>
        <v>0</v>
      </c>
      <c r="Q29" s="29">
        <f t="shared" si="7"/>
        <v>0</v>
      </c>
      <c r="R29" s="22" t="str">
        <f t="shared" si="8"/>
        <v/>
      </c>
      <c r="S29" s="23"/>
      <c r="T29" s="45" t="str">
        <f t="shared" si="9"/>
        <v/>
      </c>
      <c r="U29" s="25"/>
      <c r="V29" s="45" t="str">
        <f t="shared" si="10"/>
        <v/>
      </c>
      <c r="W29" s="47"/>
      <c r="X29" s="22" t="str">
        <f t="shared" si="11"/>
        <v/>
      </c>
      <c r="Y29" s="23"/>
      <c r="Z29" s="45" t="str">
        <f t="shared" si="12"/>
        <v/>
      </c>
      <c r="AA29" s="25"/>
      <c r="AB29" s="45" t="str">
        <f t="shared" si="13"/>
        <v/>
      </c>
      <c r="AC29" s="47"/>
      <c r="AD29" s="22" t="str">
        <f t="shared" si="14"/>
        <v/>
      </c>
      <c r="AE29" s="23"/>
      <c r="AF29" s="45" t="str">
        <f t="shared" si="15"/>
        <v/>
      </c>
      <c r="AG29" s="25"/>
      <c r="AH29" s="45" t="str">
        <f t="shared" si="16"/>
        <v/>
      </c>
      <c r="AI29" s="20">
        <v>0.0</v>
      </c>
      <c r="AJ29" s="5"/>
      <c r="AK29" s="22" t="str">
        <f t="shared" si="17"/>
        <v/>
      </c>
      <c r="AL29" s="22"/>
      <c r="AM29" s="23"/>
      <c r="AN29" s="45" t="str">
        <f t="shared" si="18"/>
        <v/>
      </c>
      <c r="AO29" s="25"/>
      <c r="AP29" s="45" t="str">
        <f t="shared" si="19"/>
        <v/>
      </c>
      <c r="AQ29" s="29" t="str">
        <f t="shared" si="20"/>
        <v/>
      </c>
      <c r="AR29" s="29">
        <f t="shared" si="21"/>
        <v>0</v>
      </c>
      <c r="AS29" s="29">
        <f t="shared" si="22"/>
        <v>0</v>
      </c>
      <c r="AT29" s="22" t="str">
        <f t="shared" si="23"/>
        <v/>
      </c>
      <c r="AU29" s="23"/>
      <c r="AV29" s="45" t="str">
        <f t="shared" si="24"/>
        <v/>
      </c>
      <c r="AW29" s="25"/>
      <c r="AX29" s="45" t="str">
        <f t="shared" si="25"/>
        <v/>
      </c>
      <c r="AY29" s="47"/>
      <c r="AZ29" s="22" t="str">
        <f t="shared" si="26"/>
        <v/>
      </c>
      <c r="BA29" s="23"/>
      <c r="BB29" s="45" t="str">
        <f t="shared" si="27"/>
        <v/>
      </c>
      <c r="BC29" s="25"/>
      <c r="BD29" s="45" t="str">
        <f t="shared" si="28"/>
        <v/>
      </c>
      <c r="BE29" s="47"/>
      <c r="BF29" s="22" t="str">
        <f t="shared" si="29"/>
        <v/>
      </c>
      <c r="BG29" s="23"/>
      <c r="BH29" s="45" t="str">
        <f t="shared" si="30"/>
        <v/>
      </c>
      <c r="BI29" s="25"/>
      <c r="BJ29" s="45" t="str">
        <f t="shared" si="31"/>
        <v/>
      </c>
      <c r="BK29" s="20">
        <v>0.0</v>
      </c>
      <c r="BL29" s="5"/>
      <c r="BM29" s="22" t="str">
        <f t="shared" si="32"/>
        <v/>
      </c>
      <c r="BN29" s="23"/>
      <c r="BO29" s="45" t="str">
        <f t="shared" si="33"/>
        <v/>
      </c>
      <c r="BP29" s="25"/>
      <c r="BQ29" s="45" t="str">
        <f t="shared" si="34"/>
        <v/>
      </c>
      <c r="BR29" s="29" t="str">
        <f t="shared" si="35"/>
        <v/>
      </c>
      <c r="BS29" s="29">
        <f t="shared" si="36"/>
        <v>0</v>
      </c>
      <c r="BT29" s="29">
        <f t="shared" si="37"/>
        <v>0</v>
      </c>
      <c r="BU29" s="22" t="str">
        <f t="shared" si="38"/>
        <v/>
      </c>
      <c r="BV29" s="23"/>
      <c r="BW29" s="45" t="str">
        <f t="shared" si="39"/>
        <v/>
      </c>
      <c r="BX29" s="25"/>
      <c r="BY29" s="45" t="str">
        <f t="shared" si="40"/>
        <v/>
      </c>
      <c r="BZ29" s="47"/>
      <c r="CA29" s="22" t="str">
        <f t="shared" si="41"/>
        <v/>
      </c>
      <c r="CB29" s="23"/>
      <c r="CC29" s="45" t="str">
        <f t="shared" si="42"/>
        <v/>
      </c>
      <c r="CD29" s="25"/>
      <c r="CE29" s="45" t="str">
        <f t="shared" si="43"/>
        <v/>
      </c>
      <c r="CF29" s="47"/>
      <c r="CG29" s="22" t="str">
        <f t="shared" si="44"/>
        <v/>
      </c>
      <c r="CH29" s="23"/>
      <c r="CI29" s="45" t="str">
        <f t="shared" si="45"/>
        <v/>
      </c>
      <c r="CJ29" s="25"/>
      <c r="CK29" s="45" t="str">
        <f t="shared" si="46"/>
        <v/>
      </c>
      <c r="CL29" s="20">
        <v>0.0</v>
      </c>
      <c r="CM29" s="5"/>
      <c r="CN29" s="5"/>
      <c r="CO29" s="5"/>
    </row>
    <row r="30">
      <c r="A30" s="20" t="str">
        <f t="shared" si="1"/>
        <v/>
      </c>
      <c r="B30" s="21"/>
      <c r="C30" s="22" t="str">
        <f>IFERROR(__xludf.DUMMYFUNCTION("IFERROR(
IF(A30&lt;&gt;"""",
""EVASTRS00""&amp;A30,
IF(B30&lt;&gt;"""",
INDEX(FILTER($F$4:F30,$A$4:A30&lt;&gt;""""),COUNTA(FILTER($F$4:F30,$A$4:A30&lt;&gt;"""")))&amp;B30,
IF(C30&lt;&gt;"""",
INDEX(FILTER($F$4:F30,$B$4:B30&lt;&gt;""""),COUNTA(FILTER($F$4:F30,$B$4:B30&lt;&gt;"""")))&amp;C30,
""""))),
"""")"),"")</f>
        <v/>
      </c>
      <c r="D30" s="22"/>
      <c r="E30" s="20"/>
      <c r="F30" s="20"/>
      <c r="G30" s="20"/>
      <c r="H30" s="55"/>
      <c r="I30" s="5"/>
      <c r="J30" s="22" t="str">
        <f t="shared" si="2"/>
        <v/>
      </c>
      <c r="K30" s="23"/>
      <c r="L30" s="45" t="str">
        <f t="shared" si="3"/>
        <v/>
      </c>
      <c r="M30" s="25"/>
      <c r="N30" s="45" t="str">
        <f t="shared" si="4"/>
        <v/>
      </c>
      <c r="O30" s="29" t="str">
        <f t="shared" si="5"/>
        <v/>
      </c>
      <c r="P30" s="29">
        <f t="shared" si="6"/>
        <v>0</v>
      </c>
      <c r="Q30" s="29">
        <f t="shared" si="7"/>
        <v>0</v>
      </c>
      <c r="R30" s="22" t="str">
        <f t="shared" si="8"/>
        <v/>
      </c>
      <c r="S30" s="23"/>
      <c r="T30" s="45" t="str">
        <f t="shared" si="9"/>
        <v/>
      </c>
      <c r="U30" s="25"/>
      <c r="V30" s="45" t="str">
        <f t="shared" si="10"/>
        <v/>
      </c>
      <c r="W30" s="47"/>
      <c r="X30" s="22" t="str">
        <f t="shared" si="11"/>
        <v/>
      </c>
      <c r="Y30" s="23"/>
      <c r="Z30" s="45" t="str">
        <f t="shared" si="12"/>
        <v/>
      </c>
      <c r="AA30" s="25"/>
      <c r="AB30" s="45" t="str">
        <f t="shared" si="13"/>
        <v/>
      </c>
      <c r="AC30" s="47"/>
      <c r="AD30" s="22" t="str">
        <f t="shared" si="14"/>
        <v/>
      </c>
      <c r="AE30" s="23"/>
      <c r="AF30" s="45" t="str">
        <f t="shared" si="15"/>
        <v/>
      </c>
      <c r="AG30" s="25"/>
      <c r="AH30" s="45" t="str">
        <f t="shared" si="16"/>
        <v/>
      </c>
      <c r="AI30" s="20">
        <v>0.0</v>
      </c>
      <c r="AJ30" s="5"/>
      <c r="AK30" s="22" t="str">
        <f t="shared" si="17"/>
        <v/>
      </c>
      <c r="AL30" s="22"/>
      <c r="AM30" s="23"/>
      <c r="AN30" s="45" t="str">
        <f t="shared" si="18"/>
        <v/>
      </c>
      <c r="AO30" s="25"/>
      <c r="AP30" s="45" t="str">
        <f t="shared" si="19"/>
        <v/>
      </c>
      <c r="AQ30" s="29" t="str">
        <f t="shared" si="20"/>
        <v/>
      </c>
      <c r="AR30" s="29">
        <f t="shared" si="21"/>
        <v>0</v>
      </c>
      <c r="AS30" s="29">
        <f t="shared" si="22"/>
        <v>0</v>
      </c>
      <c r="AT30" s="22" t="str">
        <f t="shared" si="23"/>
        <v/>
      </c>
      <c r="AU30" s="23"/>
      <c r="AV30" s="45" t="str">
        <f t="shared" si="24"/>
        <v/>
      </c>
      <c r="AW30" s="25"/>
      <c r="AX30" s="45" t="str">
        <f t="shared" si="25"/>
        <v/>
      </c>
      <c r="AY30" s="47"/>
      <c r="AZ30" s="22" t="str">
        <f t="shared" si="26"/>
        <v/>
      </c>
      <c r="BA30" s="23"/>
      <c r="BB30" s="45" t="str">
        <f t="shared" si="27"/>
        <v/>
      </c>
      <c r="BC30" s="25"/>
      <c r="BD30" s="45" t="str">
        <f t="shared" si="28"/>
        <v/>
      </c>
      <c r="BE30" s="47"/>
      <c r="BF30" s="22" t="str">
        <f t="shared" si="29"/>
        <v/>
      </c>
      <c r="BG30" s="23"/>
      <c r="BH30" s="45" t="str">
        <f t="shared" si="30"/>
        <v/>
      </c>
      <c r="BI30" s="25"/>
      <c r="BJ30" s="45" t="str">
        <f t="shared" si="31"/>
        <v/>
      </c>
      <c r="BK30" s="20">
        <v>0.0</v>
      </c>
      <c r="BL30" s="5"/>
      <c r="BM30" s="22" t="str">
        <f t="shared" si="32"/>
        <v/>
      </c>
      <c r="BN30" s="23"/>
      <c r="BO30" s="45" t="str">
        <f t="shared" si="33"/>
        <v/>
      </c>
      <c r="BP30" s="25"/>
      <c r="BQ30" s="45" t="str">
        <f t="shared" si="34"/>
        <v/>
      </c>
      <c r="BR30" s="29" t="str">
        <f t="shared" si="35"/>
        <v/>
      </c>
      <c r="BS30" s="29">
        <f t="shared" si="36"/>
        <v>0</v>
      </c>
      <c r="BT30" s="29">
        <f t="shared" si="37"/>
        <v>0</v>
      </c>
      <c r="BU30" s="22" t="str">
        <f t="shared" si="38"/>
        <v/>
      </c>
      <c r="BV30" s="23"/>
      <c r="BW30" s="45" t="str">
        <f t="shared" si="39"/>
        <v/>
      </c>
      <c r="BX30" s="25"/>
      <c r="BY30" s="45" t="str">
        <f t="shared" si="40"/>
        <v/>
      </c>
      <c r="BZ30" s="47"/>
      <c r="CA30" s="22" t="str">
        <f t="shared" si="41"/>
        <v/>
      </c>
      <c r="CB30" s="23"/>
      <c r="CC30" s="45" t="str">
        <f t="shared" si="42"/>
        <v/>
      </c>
      <c r="CD30" s="25"/>
      <c r="CE30" s="45" t="str">
        <f t="shared" si="43"/>
        <v/>
      </c>
      <c r="CF30" s="47"/>
      <c r="CG30" s="22" t="str">
        <f t="shared" si="44"/>
        <v/>
      </c>
      <c r="CH30" s="23"/>
      <c r="CI30" s="45" t="str">
        <f t="shared" si="45"/>
        <v/>
      </c>
      <c r="CJ30" s="25"/>
      <c r="CK30" s="45" t="str">
        <f t="shared" si="46"/>
        <v/>
      </c>
      <c r="CL30" s="20">
        <v>0.0</v>
      </c>
      <c r="CM30" s="5"/>
      <c r="CN30" s="5"/>
      <c r="CO30" s="5"/>
    </row>
  </sheetData>
  <mergeCells count="33">
    <mergeCell ref="A1:D1"/>
    <mergeCell ref="E1:H1"/>
    <mergeCell ref="I1:I2"/>
    <mergeCell ref="J1:Q1"/>
    <mergeCell ref="R1:R2"/>
    <mergeCell ref="S1:W1"/>
    <mergeCell ref="X1:X2"/>
    <mergeCell ref="Y1:AC1"/>
    <mergeCell ref="AD1:AD2"/>
    <mergeCell ref="AE1:AI1"/>
    <mergeCell ref="AJ1:AJ2"/>
    <mergeCell ref="AK1:AR1"/>
    <mergeCell ref="AT1:AT2"/>
    <mergeCell ref="AZ1:AZ2"/>
    <mergeCell ref="BF1:BF2"/>
    <mergeCell ref="AU1:AY1"/>
    <mergeCell ref="BA1:BE1"/>
    <mergeCell ref="BG1:BK1"/>
    <mergeCell ref="BM1:BT1"/>
    <mergeCell ref="BU1:BU2"/>
    <mergeCell ref="BV1:BV2"/>
    <mergeCell ref="BW1:BW2"/>
    <mergeCell ref="CE1:CE2"/>
    <mergeCell ref="CF1:CF2"/>
    <mergeCell ref="CG1:CG2"/>
    <mergeCell ref="CH1:CL1"/>
    <mergeCell ref="BX1:BX2"/>
    <mergeCell ref="BY1:BY2"/>
    <mergeCell ref="BZ1:BZ2"/>
    <mergeCell ref="CA1:CA2"/>
    <mergeCell ref="CB1:CB2"/>
    <mergeCell ref="CC1:CC2"/>
    <mergeCell ref="CD1:CD2"/>
  </mergeCells>
  <dataValidations>
    <dataValidation type="list" allowBlank="1" showErrorMessage="1" sqref="AL3:AL30">
      <formula1>"Interior,Eksterior"</formula1>
    </dataValidation>
    <dataValidation type="list" allowBlank="1" showErrorMessage="1" sqref="E3:G30">
      <formula1>"1,2,3,4,5"</formula1>
    </dataValidation>
    <dataValidation type="list" allowBlank="1" showErrorMessage="1" sqref="H3:H30 K3:K30 S3:S30 Y3:Y30 AE3:AE30 AM3:AM30 AU3:AU30 BA3:BA30 BG3:BG30 BN3:BN30 BV3:BV30 CB3:CB30 CH3:CH30">
      <formula1>'List Personnel'!$A$2:$A$56</formula1>
    </dataValidation>
    <dataValidation type="list" allowBlank="1" showErrorMessage="1" sqref="W3:W30 AC3:AC30 AY3:AY30 BE3:BE30 BZ3:BZ30 CF3:CF30">
      <formula1>"5%,10%,20%,30%,40%,50%,60%,70%,80%,90%,100%"</formula1>
    </dataValidation>
    <dataValidation type="list" allowBlank="1" showErrorMessage="1" sqref="M3:M30 U3:U30 AA3:AA30 AG3:AG30 AO3:AO30 AW3:AW30 BC3:BC30 BI3:BI30 BP3:BP30 BX3:BX30 CD3:CD30 CJ3:CJ30">
      <formula1>"Ongoing,Done,Pending,Revision"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 outlineLevelCol="1"/>
  <cols>
    <col customWidth="1" min="1" max="1" width="5.88"/>
    <col customWidth="1" min="2" max="2" width="17.25"/>
    <col customWidth="1" min="3" max="3" width="25.13"/>
    <col customWidth="1" min="4" max="6" width="18.5"/>
    <col customWidth="1" min="7" max="7" width="19.75"/>
    <col customWidth="1" min="8" max="8" width="3.5"/>
    <col customWidth="1" min="9" max="9" width="9.75"/>
    <col customWidth="1" min="10" max="10" width="22.5"/>
    <col customWidth="1" min="11" max="11" width="20.88"/>
    <col collapsed="1" customWidth="1" min="13" max="13" width="19.13"/>
    <col hidden="1" min="14" max="16" width="12.63" outlineLevel="1"/>
    <col collapsed="1" min="17" max="17" width="12.63"/>
    <col hidden="1" min="18" max="22" width="12.63" outlineLevel="1"/>
    <col collapsed="1" min="23" max="23" width="12.63"/>
    <col hidden="1" min="24" max="28" width="12.63" outlineLevel="1"/>
    <col collapsed="1" customWidth="1" min="29" max="29" width="16.5"/>
    <col hidden="1" min="30" max="34" width="12.63" outlineLevel="1"/>
    <col customWidth="1" min="35" max="35" width="3.63"/>
    <col customWidth="1" min="37" max="37" width="13.88"/>
    <col customWidth="1" min="38" max="38" width="22.5"/>
    <col customWidth="1" min="39" max="39" width="20.88"/>
    <col collapsed="1" customWidth="1" min="41" max="41" width="19.13"/>
    <col hidden="1" min="42" max="44" width="12.63" outlineLevel="1"/>
    <col collapsed="1" min="45" max="45" width="12.63"/>
    <col hidden="1" min="46" max="50" width="12.63" outlineLevel="1"/>
    <col collapsed="1" min="51" max="51" width="12.63"/>
    <col hidden="1" min="52" max="56" width="12.63" outlineLevel="1"/>
    <col collapsed="1" customWidth="1" min="57" max="57" width="20.38"/>
    <col hidden="1" min="58" max="62" width="12.63" outlineLevel="1"/>
    <col customWidth="1" min="63" max="63" width="3.63"/>
    <col customWidth="1" min="65" max="65" width="22.5"/>
    <col customWidth="1" min="66" max="66" width="20.88"/>
    <col collapsed="1" customWidth="1" min="68" max="68" width="19.13"/>
    <col hidden="1" min="69" max="71" width="12.63" outlineLevel="1"/>
    <col collapsed="1" min="72" max="72" width="12.63"/>
    <col hidden="1" min="73" max="77" width="12.63" outlineLevel="1"/>
    <col collapsed="1" min="78" max="78" width="12.63"/>
    <col hidden="1" min="79" max="83" width="12.63" outlineLevel="1"/>
    <col collapsed="1" customWidth="1" min="84" max="84" width="16.63"/>
    <col hidden="1" min="85" max="89" width="12.63" outlineLevel="1"/>
    <col customWidth="1" min="90" max="92" width="3.63"/>
  </cols>
  <sheetData>
    <row r="1">
      <c r="A1" s="97" t="s">
        <v>0</v>
      </c>
      <c r="D1" s="97" t="s">
        <v>2</v>
      </c>
      <c r="H1" s="5"/>
      <c r="I1" s="97" t="s">
        <v>340</v>
      </c>
      <c r="Q1" s="99" t="s">
        <v>8</v>
      </c>
      <c r="R1" s="103" t="s">
        <v>8</v>
      </c>
      <c r="W1" s="99" t="s">
        <v>10</v>
      </c>
      <c r="X1" s="103" t="s">
        <v>10</v>
      </c>
      <c r="AC1" s="98" t="s">
        <v>426</v>
      </c>
      <c r="AD1" s="1" t="s">
        <v>14</v>
      </c>
      <c r="AI1" s="5"/>
      <c r="AJ1" s="97" t="s">
        <v>427</v>
      </c>
      <c r="AR1" s="104"/>
      <c r="AS1" s="99" t="s">
        <v>8</v>
      </c>
      <c r="AT1" s="103" t="s">
        <v>8</v>
      </c>
      <c r="AY1" s="99" t="s">
        <v>10</v>
      </c>
      <c r="AZ1" s="103" t="s">
        <v>10</v>
      </c>
      <c r="BE1" s="98" t="s">
        <v>344</v>
      </c>
      <c r="BF1" s="104" t="s">
        <v>14</v>
      </c>
      <c r="BK1" s="5"/>
      <c r="BL1" s="97" t="s">
        <v>428</v>
      </c>
      <c r="BT1" s="98" t="s">
        <v>8</v>
      </c>
      <c r="BU1" s="105" t="s">
        <v>8</v>
      </c>
      <c r="BV1" s="106" t="s">
        <v>38</v>
      </c>
      <c r="BW1" s="106" t="s">
        <v>39</v>
      </c>
      <c r="BX1" s="106" t="s">
        <v>40</v>
      </c>
      <c r="BY1" s="106" t="s">
        <v>47</v>
      </c>
      <c r="BZ1" s="98" t="s">
        <v>10</v>
      </c>
      <c r="CA1" s="105" t="s">
        <v>10</v>
      </c>
      <c r="CB1" s="106" t="s">
        <v>38</v>
      </c>
      <c r="CC1" s="106" t="s">
        <v>39</v>
      </c>
      <c r="CD1" s="106" t="s">
        <v>40</v>
      </c>
      <c r="CE1" s="106" t="s">
        <v>47</v>
      </c>
      <c r="CF1" s="98" t="s">
        <v>429</v>
      </c>
      <c r="CG1" s="104" t="s">
        <v>139</v>
      </c>
      <c r="CL1" s="5"/>
      <c r="CM1" s="5"/>
      <c r="CN1" s="5"/>
    </row>
    <row r="2">
      <c r="A2" s="15" t="s">
        <v>24</v>
      </c>
      <c r="B2" s="16" t="s">
        <v>26</v>
      </c>
      <c r="C2" s="16" t="s">
        <v>25</v>
      </c>
      <c r="D2" s="16" t="s">
        <v>345</v>
      </c>
      <c r="E2" s="16" t="s">
        <v>346</v>
      </c>
      <c r="F2" s="16" t="s">
        <v>430</v>
      </c>
      <c r="G2" s="17" t="s">
        <v>31</v>
      </c>
      <c r="I2" s="15" t="s">
        <v>35</v>
      </c>
      <c r="J2" s="15" t="s">
        <v>36</v>
      </c>
      <c r="K2" s="17" t="s">
        <v>38</v>
      </c>
      <c r="L2" s="17" t="s">
        <v>39</v>
      </c>
      <c r="M2" s="17" t="s">
        <v>40</v>
      </c>
      <c r="N2" s="17" t="s">
        <v>42</v>
      </c>
      <c r="O2" s="17" t="s">
        <v>44</v>
      </c>
      <c r="P2" s="17" t="s">
        <v>45</v>
      </c>
      <c r="R2" s="103" t="s">
        <v>46</v>
      </c>
      <c r="S2" s="103" t="s">
        <v>38</v>
      </c>
      <c r="T2" s="103" t="s">
        <v>39</v>
      </c>
      <c r="U2" s="103" t="s">
        <v>40</v>
      </c>
      <c r="V2" s="107" t="s">
        <v>47</v>
      </c>
      <c r="X2" s="103" t="s">
        <v>48</v>
      </c>
      <c r="Y2" s="103" t="s">
        <v>38</v>
      </c>
      <c r="Z2" s="103" t="s">
        <v>39</v>
      </c>
      <c r="AA2" s="103" t="s">
        <v>40</v>
      </c>
      <c r="AB2" s="107" t="s">
        <v>47</v>
      </c>
      <c r="AD2" s="15" t="s">
        <v>49</v>
      </c>
      <c r="AE2" s="15" t="s">
        <v>38</v>
      </c>
      <c r="AF2" s="15" t="s">
        <v>39</v>
      </c>
      <c r="AG2" s="15" t="s">
        <v>40</v>
      </c>
      <c r="AH2" s="18" t="s">
        <v>51</v>
      </c>
      <c r="AJ2" s="15" t="s">
        <v>35</v>
      </c>
      <c r="AK2" s="18" t="s">
        <v>65</v>
      </c>
      <c r="AL2" s="15" t="s">
        <v>36</v>
      </c>
      <c r="AM2" s="17" t="s">
        <v>38</v>
      </c>
      <c r="AN2" s="17" t="s">
        <v>39</v>
      </c>
      <c r="AO2" s="17" t="s">
        <v>40</v>
      </c>
      <c r="AP2" s="17" t="s">
        <v>42</v>
      </c>
      <c r="AQ2" s="17" t="s">
        <v>44</v>
      </c>
      <c r="AR2" s="17" t="s">
        <v>45</v>
      </c>
      <c r="AT2" s="103" t="s">
        <v>46</v>
      </c>
      <c r="AU2" s="103" t="s">
        <v>38</v>
      </c>
      <c r="AV2" s="103" t="s">
        <v>39</v>
      </c>
      <c r="AW2" s="103" t="s">
        <v>40</v>
      </c>
      <c r="AX2" s="107" t="s">
        <v>47</v>
      </c>
      <c r="AZ2" s="103" t="s">
        <v>48</v>
      </c>
      <c r="BA2" s="103" t="s">
        <v>38</v>
      </c>
      <c r="BB2" s="103" t="s">
        <v>39</v>
      </c>
      <c r="BC2" s="103" t="s">
        <v>40</v>
      </c>
      <c r="BD2" s="107" t="s">
        <v>47</v>
      </c>
      <c r="BF2" s="15" t="s">
        <v>49</v>
      </c>
      <c r="BG2" s="15" t="s">
        <v>38</v>
      </c>
      <c r="BH2" s="15" t="s">
        <v>39</v>
      </c>
      <c r="BI2" s="15" t="s">
        <v>40</v>
      </c>
      <c r="BJ2" s="18" t="s">
        <v>51</v>
      </c>
      <c r="BK2" s="5"/>
      <c r="BL2" s="15" t="s">
        <v>35</v>
      </c>
      <c r="BM2" s="15" t="s">
        <v>36</v>
      </c>
      <c r="BN2" s="17" t="s">
        <v>38</v>
      </c>
      <c r="BO2" s="17" t="s">
        <v>39</v>
      </c>
      <c r="BP2" s="17" t="s">
        <v>40</v>
      </c>
      <c r="BQ2" s="17" t="s">
        <v>42</v>
      </c>
      <c r="BR2" s="17" t="s">
        <v>44</v>
      </c>
      <c r="BS2" s="17" t="s">
        <v>45</v>
      </c>
      <c r="CG2" s="15" t="s">
        <v>49</v>
      </c>
      <c r="CH2" s="15" t="s">
        <v>38</v>
      </c>
      <c r="CI2" s="15" t="s">
        <v>39</v>
      </c>
      <c r="CJ2" s="15" t="s">
        <v>40</v>
      </c>
      <c r="CK2" s="18" t="s">
        <v>51</v>
      </c>
      <c r="CL2" s="5"/>
      <c r="CM2" s="5"/>
      <c r="CN2" s="5"/>
    </row>
    <row r="3">
      <c r="A3" s="20" t="str">
        <f t="shared" ref="A3:A30" si="1">IF(B3="","",COUNTA($B$3:B3))</f>
        <v/>
      </c>
      <c r="B3" s="21"/>
      <c r="C3" s="22"/>
      <c r="D3" s="20"/>
      <c r="E3" s="20"/>
      <c r="F3" s="20"/>
      <c r="G3" s="23"/>
      <c r="H3" s="5"/>
      <c r="I3" s="22" t="str">
        <f t="shared" ref="I3:I30" si="2">D3</f>
        <v/>
      </c>
      <c r="J3" s="23"/>
      <c r="K3" s="45" t="str">
        <f t="shared" ref="K3:K30" si="3">if(J3&lt;&gt;"", if(K3="",NOW(),K3),"")</f>
        <v/>
      </c>
      <c r="L3" s="25"/>
      <c r="M3" s="45" t="str">
        <f t="shared" ref="M3:M30" si="4">if(L3="Done", if(M3="",NOW(),M3),"")</f>
        <v/>
      </c>
      <c r="N3" s="29" t="str">
        <f t="shared" ref="N3:N30" si="5">IF(AND(K3&lt;&gt;"",M3&lt;&gt;""),(M3-K3)*1440,"")</f>
        <v/>
      </c>
      <c r="O3" s="29">
        <f t="shared" ref="O3:O30" si="6">IF(
  INT(K3)=INT(M3),
  IF(
    AND(MOD(K3,1)&lt;TIME(12,0,0), MOD(M3,1)&gt;TIME(12,0,0)),
    60,
    0
  ),
  IF(
    MOD(M3,1)&lt;=TIME(12,0,0),
    (INT(M3)-INT(K3))*960,
    (INT(M3)-INT(K3))*1020
  )
)</f>
        <v>0</v>
      </c>
      <c r="P3" s="29">
        <f t="shared" ref="P3:P30" si="7">(N3-O3)/60</f>
        <v>0</v>
      </c>
      <c r="Q3" s="22" t="str">
        <f t="shared" ref="Q3:Q30" si="8">T3</f>
        <v/>
      </c>
      <c r="R3" s="23"/>
      <c r="S3" s="45" t="str">
        <f t="shared" ref="S3:S30" si="9">if(R3&lt;&gt;"", if(S3="",NOW(),S3),"")</f>
        <v/>
      </c>
      <c r="T3" s="25"/>
      <c r="U3" s="45" t="str">
        <f t="shared" ref="U3:U30" si="10">if(T3="Done", if(U3="",NOW(),U3),"")</f>
        <v/>
      </c>
      <c r="V3" s="47"/>
      <c r="W3" s="22" t="str">
        <f t="shared" ref="W3:W30" si="11">Z3</f>
        <v/>
      </c>
      <c r="X3" s="23"/>
      <c r="Y3" s="45" t="str">
        <f t="shared" ref="Y3:Y30" si="12">if(X3&lt;&gt;"", if(Y3="",NOW(),Y3),"")</f>
        <v/>
      </c>
      <c r="Z3" s="25"/>
      <c r="AA3" s="45" t="str">
        <f t="shared" ref="AA3:AA30" si="13">if(Z3="Done", if(AA3="",NOW(),AA3),"")</f>
        <v/>
      </c>
      <c r="AB3" s="47"/>
      <c r="AC3" s="22" t="str">
        <f t="shared" ref="AC3:AC30" si="14">AF3</f>
        <v/>
      </c>
      <c r="AD3" s="23"/>
      <c r="AE3" s="45" t="str">
        <f t="shared" ref="AE3:AE30" si="15">if(AD3&lt;&gt;"", if(AE3="",NOW(),AE3),"")</f>
        <v/>
      </c>
      <c r="AF3" s="25"/>
      <c r="AG3" s="45" t="str">
        <f t="shared" ref="AG3:AG30" si="16">if(AF3="Done", if(AG3="",NOW(),AG3),"")</f>
        <v/>
      </c>
      <c r="AH3" s="20">
        <v>0.0</v>
      </c>
      <c r="AI3" s="5"/>
      <c r="AJ3" s="22" t="str">
        <f t="shared" ref="AJ3:AJ30" si="17">E3</f>
        <v/>
      </c>
      <c r="AK3" s="22"/>
      <c r="AL3" s="23"/>
      <c r="AM3" s="45" t="str">
        <f t="shared" ref="AM3:AM30" si="18">if(AL3&lt;&gt;"", if(AM3="",NOW(),AM3),"")</f>
        <v/>
      </c>
      <c r="AN3" s="25"/>
      <c r="AO3" s="45" t="str">
        <f t="shared" ref="AO3:AO30" si="19">if(AN3="Done", if(AO3="",NOW(),AO3),"")</f>
        <v/>
      </c>
      <c r="AP3" s="29" t="str">
        <f t="shared" ref="AP3:AP30" si="20">IF(AND(AM3&lt;&gt;"",AO3&lt;&gt;""),(AO3-AM3)*1440,"")</f>
        <v/>
      </c>
      <c r="AQ3" s="29">
        <f t="shared" ref="AQ3:AQ30" si="21">IF(
  INT(AM3)=INT(AO3),
  IF(
    AND(MOD(AM3,1)&lt;TIME(12,0,0), MOD(AO3,1)&gt;TIME(12,0,0)),
    60,
    0
  ),
  IF(
    MOD(AO3,1)&lt;=TIME(12,0,0),
    (INT(AO3)-INT(AM3))*960,
    (INT(AO3)-INT(AM3))*1020
  )
)</f>
        <v>0</v>
      </c>
      <c r="AR3" s="29">
        <f t="shared" ref="AR3:AR30" si="22">(AP3-AQ3)/60</f>
        <v>0</v>
      </c>
      <c r="AS3" s="22" t="str">
        <f t="shared" ref="AS3:AS30" si="23">AV3</f>
        <v/>
      </c>
      <c r="AT3" s="23"/>
      <c r="AU3" s="45" t="str">
        <f t="shared" ref="AU3:AU30" si="24">if(AT3&lt;&gt;"", if(AU3="",NOW(),AU3),"")</f>
        <v/>
      </c>
      <c r="AV3" s="25"/>
      <c r="AW3" s="45" t="str">
        <f t="shared" ref="AW3:AW30" si="25">if(AV3="Done", if(AW3="",NOW(),AW3),"")</f>
        <v/>
      </c>
      <c r="AX3" s="47"/>
      <c r="AY3" s="22" t="str">
        <f t="shared" ref="AY3:AY30" si="26">BB3</f>
        <v/>
      </c>
      <c r="AZ3" s="23"/>
      <c r="BA3" s="45" t="str">
        <f t="shared" ref="BA3:BA30" si="27">if(AZ3&lt;&gt;"", if(BA3="",NOW(),BA3),"")</f>
        <v/>
      </c>
      <c r="BB3" s="25"/>
      <c r="BC3" s="45" t="str">
        <f t="shared" ref="BC3:BC30" si="28">if(BB3="Done", if(BC3="",NOW(),BC3),"")</f>
        <v/>
      </c>
      <c r="BD3" s="47"/>
      <c r="BE3" s="22" t="str">
        <f t="shared" ref="BE3:BE30" si="29">BH3</f>
        <v/>
      </c>
      <c r="BF3" s="23"/>
      <c r="BG3" s="45" t="str">
        <f t="shared" ref="BG3:BG30" si="30">if(BF3&lt;&gt;"", if(BG3="",NOW(),BG3),"")</f>
        <v/>
      </c>
      <c r="BH3" s="25"/>
      <c r="BI3" s="45" t="str">
        <f t="shared" ref="BI3:BI30" si="31">if(BH3="Done", if(BI3="",NOW(),BI3),"")</f>
        <v/>
      </c>
      <c r="BJ3" s="20">
        <v>0.0</v>
      </c>
      <c r="BK3" s="5"/>
      <c r="BL3" s="22" t="str">
        <f t="shared" ref="BL3:BL30" si="32">F3</f>
        <v/>
      </c>
      <c r="BM3" s="23"/>
      <c r="BN3" s="45" t="str">
        <f t="shared" ref="BN3:BN30" si="33">if(BM3&lt;&gt;"", if(BN3="",NOW(),BN3),"")</f>
        <v/>
      </c>
      <c r="BO3" s="25"/>
      <c r="BP3" s="45" t="str">
        <f t="shared" ref="BP3:BP30" si="34">if(BO3="Done", if(BP3="",NOW(),BP3),"")</f>
        <v/>
      </c>
      <c r="BQ3" s="29" t="str">
        <f t="shared" ref="BQ3:BQ30" si="35">IF(AND(BN3&lt;&gt;"",BP3&lt;&gt;""),(BP3-BN3)*1440,"")</f>
        <v/>
      </c>
      <c r="BR3" s="29">
        <f t="shared" ref="BR3:BR30" si="36">IF(
  INT(BN3)=INT(BP3),
  IF(
    AND(MOD(BN3,1)&lt;TIME(12,0,0), MOD(BP3,1)&gt;TIME(12,0,0)),
    60,
    0
  ),
  IF(
    MOD(BP3,1)&lt;=TIME(12,0,0),
    (INT(BP3)-INT(BN3))*960,
    (INT(BP3)-INT(BN3))*1020
  )
)</f>
        <v>0</v>
      </c>
      <c r="BS3" s="29">
        <f t="shared" ref="BS3:BS30" si="37">(BQ3-BR3)/60</f>
        <v>0</v>
      </c>
      <c r="BT3" s="22" t="str">
        <f t="shared" ref="BT3:BT30" si="38">BW3</f>
        <v/>
      </c>
      <c r="BU3" s="23"/>
      <c r="BV3" s="45" t="str">
        <f t="shared" ref="BV3:BV30" si="39">if(BU3&lt;&gt;"", if(BV3="",NOW(),BV3),"")</f>
        <v/>
      </c>
      <c r="BW3" s="25"/>
      <c r="BX3" s="45" t="str">
        <f t="shared" ref="BX3:BX30" si="40">if(BW3="Done", if(BX3="",NOW(),BX3),"")</f>
        <v/>
      </c>
      <c r="BY3" s="47"/>
      <c r="BZ3" s="22" t="str">
        <f t="shared" ref="BZ3:BZ30" si="41">CC3</f>
        <v/>
      </c>
      <c r="CA3" s="23"/>
      <c r="CB3" s="45" t="str">
        <f t="shared" ref="CB3:CB30" si="42">if(CA3&lt;&gt;"", if(CB3="",NOW(),CB3),"")</f>
        <v/>
      </c>
      <c r="CC3" s="25"/>
      <c r="CD3" s="45" t="str">
        <f t="shared" ref="CD3:CD30" si="43">if(CC3="Done", if(CD3="",NOW(),CD3),"")</f>
        <v/>
      </c>
      <c r="CE3" s="47"/>
      <c r="CF3" s="22" t="str">
        <f t="shared" ref="CF3:CF30" si="44">CI3</f>
        <v/>
      </c>
      <c r="CG3" s="23"/>
      <c r="CH3" s="45" t="str">
        <f t="shared" ref="CH3:CH30" si="45">if(CG3&lt;&gt;"", if(CH3="",NOW(),CH3),"")</f>
        <v/>
      </c>
      <c r="CI3" s="25"/>
      <c r="CJ3" s="45" t="str">
        <f t="shared" ref="CJ3:CJ30" si="46">if(CI3="Done", if(CJ3="",NOW(),CJ3),"")</f>
        <v/>
      </c>
      <c r="CK3" s="20">
        <v>0.0</v>
      </c>
      <c r="CL3" s="5"/>
      <c r="CM3" s="5"/>
      <c r="CN3" s="5"/>
    </row>
    <row r="4">
      <c r="A4" s="20" t="str">
        <f t="shared" si="1"/>
        <v/>
      </c>
      <c r="B4" s="21"/>
      <c r="C4" s="22"/>
      <c r="D4" s="20"/>
      <c r="E4" s="20"/>
      <c r="F4" s="20"/>
      <c r="G4" s="23"/>
      <c r="H4" s="5"/>
      <c r="I4" s="22" t="str">
        <f t="shared" si="2"/>
        <v/>
      </c>
      <c r="J4" s="23"/>
      <c r="K4" s="45" t="str">
        <f t="shared" si="3"/>
        <v/>
      </c>
      <c r="L4" s="25"/>
      <c r="M4" s="45" t="str">
        <f t="shared" si="4"/>
        <v/>
      </c>
      <c r="N4" s="29" t="str">
        <f t="shared" si="5"/>
        <v/>
      </c>
      <c r="O4" s="29">
        <f t="shared" si="6"/>
        <v>0</v>
      </c>
      <c r="P4" s="29">
        <f t="shared" si="7"/>
        <v>0</v>
      </c>
      <c r="Q4" s="22" t="str">
        <f t="shared" si="8"/>
        <v/>
      </c>
      <c r="R4" s="23"/>
      <c r="S4" s="45" t="str">
        <f t="shared" si="9"/>
        <v/>
      </c>
      <c r="T4" s="25"/>
      <c r="U4" s="45" t="str">
        <f t="shared" si="10"/>
        <v/>
      </c>
      <c r="V4" s="47"/>
      <c r="W4" s="22" t="str">
        <f t="shared" si="11"/>
        <v/>
      </c>
      <c r="X4" s="23"/>
      <c r="Y4" s="45" t="str">
        <f t="shared" si="12"/>
        <v/>
      </c>
      <c r="Z4" s="25"/>
      <c r="AA4" s="45" t="str">
        <f t="shared" si="13"/>
        <v/>
      </c>
      <c r="AB4" s="47"/>
      <c r="AC4" s="22" t="str">
        <f t="shared" si="14"/>
        <v/>
      </c>
      <c r="AD4" s="23"/>
      <c r="AE4" s="45" t="str">
        <f t="shared" si="15"/>
        <v/>
      </c>
      <c r="AF4" s="25"/>
      <c r="AG4" s="45" t="str">
        <f t="shared" si="16"/>
        <v/>
      </c>
      <c r="AH4" s="20">
        <v>0.0</v>
      </c>
      <c r="AI4" s="5"/>
      <c r="AJ4" s="22" t="str">
        <f t="shared" si="17"/>
        <v/>
      </c>
      <c r="AK4" s="22"/>
      <c r="AL4" s="23"/>
      <c r="AM4" s="45" t="str">
        <f t="shared" si="18"/>
        <v/>
      </c>
      <c r="AN4" s="25"/>
      <c r="AO4" s="45" t="str">
        <f t="shared" si="19"/>
        <v/>
      </c>
      <c r="AP4" s="29" t="str">
        <f t="shared" si="20"/>
        <v/>
      </c>
      <c r="AQ4" s="29">
        <f t="shared" si="21"/>
        <v>0</v>
      </c>
      <c r="AR4" s="29">
        <f t="shared" si="22"/>
        <v>0</v>
      </c>
      <c r="AS4" s="22" t="str">
        <f t="shared" si="23"/>
        <v/>
      </c>
      <c r="AT4" s="23"/>
      <c r="AU4" s="45" t="str">
        <f t="shared" si="24"/>
        <v/>
      </c>
      <c r="AV4" s="25"/>
      <c r="AW4" s="45" t="str">
        <f t="shared" si="25"/>
        <v/>
      </c>
      <c r="AX4" s="47"/>
      <c r="AY4" s="22" t="str">
        <f t="shared" si="26"/>
        <v/>
      </c>
      <c r="AZ4" s="23"/>
      <c r="BA4" s="45" t="str">
        <f t="shared" si="27"/>
        <v/>
      </c>
      <c r="BB4" s="25"/>
      <c r="BC4" s="45" t="str">
        <f t="shared" si="28"/>
        <v/>
      </c>
      <c r="BD4" s="47"/>
      <c r="BE4" s="22" t="str">
        <f t="shared" si="29"/>
        <v/>
      </c>
      <c r="BF4" s="23"/>
      <c r="BG4" s="45" t="str">
        <f t="shared" si="30"/>
        <v/>
      </c>
      <c r="BH4" s="25"/>
      <c r="BI4" s="45" t="str">
        <f t="shared" si="31"/>
        <v/>
      </c>
      <c r="BJ4" s="20">
        <v>0.0</v>
      </c>
      <c r="BK4" s="5"/>
      <c r="BL4" s="22" t="str">
        <f t="shared" si="32"/>
        <v/>
      </c>
      <c r="BM4" s="23"/>
      <c r="BN4" s="45" t="str">
        <f t="shared" si="33"/>
        <v/>
      </c>
      <c r="BO4" s="25"/>
      <c r="BP4" s="45" t="str">
        <f t="shared" si="34"/>
        <v/>
      </c>
      <c r="BQ4" s="29" t="str">
        <f t="shared" si="35"/>
        <v/>
      </c>
      <c r="BR4" s="29">
        <f t="shared" si="36"/>
        <v>0</v>
      </c>
      <c r="BS4" s="29">
        <f t="shared" si="37"/>
        <v>0</v>
      </c>
      <c r="BT4" s="22" t="str">
        <f t="shared" si="38"/>
        <v/>
      </c>
      <c r="BU4" s="23"/>
      <c r="BV4" s="45" t="str">
        <f t="shared" si="39"/>
        <v/>
      </c>
      <c r="BW4" s="25"/>
      <c r="BX4" s="45" t="str">
        <f t="shared" si="40"/>
        <v/>
      </c>
      <c r="BY4" s="47"/>
      <c r="BZ4" s="22" t="str">
        <f t="shared" si="41"/>
        <v/>
      </c>
      <c r="CA4" s="23"/>
      <c r="CB4" s="45" t="str">
        <f t="shared" si="42"/>
        <v/>
      </c>
      <c r="CC4" s="25"/>
      <c r="CD4" s="45" t="str">
        <f t="shared" si="43"/>
        <v/>
      </c>
      <c r="CE4" s="47"/>
      <c r="CF4" s="22" t="str">
        <f t="shared" si="44"/>
        <v/>
      </c>
      <c r="CG4" s="23"/>
      <c r="CH4" s="45" t="str">
        <f t="shared" si="45"/>
        <v/>
      </c>
      <c r="CI4" s="25"/>
      <c r="CJ4" s="45" t="str">
        <f t="shared" si="46"/>
        <v/>
      </c>
      <c r="CK4" s="20">
        <v>0.0</v>
      </c>
      <c r="CL4" s="5"/>
      <c r="CM4" s="5"/>
      <c r="CN4" s="5"/>
    </row>
    <row r="5">
      <c r="A5" s="20" t="str">
        <f t="shared" si="1"/>
        <v/>
      </c>
      <c r="B5" s="21"/>
      <c r="C5" s="22"/>
      <c r="D5" s="20"/>
      <c r="E5" s="20"/>
      <c r="F5" s="20"/>
      <c r="G5" s="23"/>
      <c r="H5" s="5"/>
      <c r="I5" s="22" t="str">
        <f t="shared" si="2"/>
        <v/>
      </c>
      <c r="J5" s="23"/>
      <c r="K5" s="45" t="str">
        <f t="shared" si="3"/>
        <v/>
      </c>
      <c r="L5" s="25"/>
      <c r="M5" s="45" t="str">
        <f t="shared" si="4"/>
        <v/>
      </c>
      <c r="N5" s="29" t="str">
        <f t="shared" si="5"/>
        <v/>
      </c>
      <c r="O5" s="29">
        <f t="shared" si="6"/>
        <v>0</v>
      </c>
      <c r="P5" s="29">
        <f t="shared" si="7"/>
        <v>0</v>
      </c>
      <c r="Q5" s="22" t="str">
        <f t="shared" si="8"/>
        <v/>
      </c>
      <c r="R5" s="23"/>
      <c r="S5" s="45" t="str">
        <f t="shared" si="9"/>
        <v/>
      </c>
      <c r="T5" s="25"/>
      <c r="U5" s="45" t="str">
        <f t="shared" si="10"/>
        <v/>
      </c>
      <c r="V5" s="47"/>
      <c r="W5" s="22" t="str">
        <f t="shared" si="11"/>
        <v/>
      </c>
      <c r="X5" s="23"/>
      <c r="Y5" s="45" t="str">
        <f t="shared" si="12"/>
        <v/>
      </c>
      <c r="Z5" s="25"/>
      <c r="AA5" s="45" t="str">
        <f t="shared" si="13"/>
        <v/>
      </c>
      <c r="AB5" s="47"/>
      <c r="AC5" s="22" t="str">
        <f t="shared" si="14"/>
        <v/>
      </c>
      <c r="AD5" s="23"/>
      <c r="AE5" s="45" t="str">
        <f t="shared" si="15"/>
        <v/>
      </c>
      <c r="AF5" s="25"/>
      <c r="AG5" s="45" t="str">
        <f t="shared" si="16"/>
        <v/>
      </c>
      <c r="AH5" s="20">
        <v>0.0</v>
      </c>
      <c r="AI5" s="5"/>
      <c r="AJ5" s="22" t="str">
        <f t="shared" si="17"/>
        <v/>
      </c>
      <c r="AK5" s="22"/>
      <c r="AL5" s="23"/>
      <c r="AM5" s="45" t="str">
        <f t="shared" si="18"/>
        <v/>
      </c>
      <c r="AN5" s="25"/>
      <c r="AO5" s="45" t="str">
        <f t="shared" si="19"/>
        <v/>
      </c>
      <c r="AP5" s="29" t="str">
        <f t="shared" si="20"/>
        <v/>
      </c>
      <c r="AQ5" s="29">
        <f t="shared" si="21"/>
        <v>0</v>
      </c>
      <c r="AR5" s="29">
        <f t="shared" si="22"/>
        <v>0</v>
      </c>
      <c r="AS5" s="22" t="str">
        <f t="shared" si="23"/>
        <v/>
      </c>
      <c r="AT5" s="23"/>
      <c r="AU5" s="45" t="str">
        <f t="shared" si="24"/>
        <v/>
      </c>
      <c r="AV5" s="25"/>
      <c r="AW5" s="45" t="str">
        <f t="shared" si="25"/>
        <v/>
      </c>
      <c r="AX5" s="47"/>
      <c r="AY5" s="22" t="str">
        <f t="shared" si="26"/>
        <v/>
      </c>
      <c r="AZ5" s="23"/>
      <c r="BA5" s="45" t="str">
        <f t="shared" si="27"/>
        <v/>
      </c>
      <c r="BB5" s="25"/>
      <c r="BC5" s="45" t="str">
        <f t="shared" si="28"/>
        <v/>
      </c>
      <c r="BD5" s="47"/>
      <c r="BE5" s="22" t="str">
        <f t="shared" si="29"/>
        <v/>
      </c>
      <c r="BF5" s="23"/>
      <c r="BG5" s="45" t="str">
        <f t="shared" si="30"/>
        <v/>
      </c>
      <c r="BH5" s="25"/>
      <c r="BI5" s="45" t="str">
        <f t="shared" si="31"/>
        <v/>
      </c>
      <c r="BJ5" s="20">
        <v>0.0</v>
      </c>
      <c r="BK5" s="5"/>
      <c r="BL5" s="22" t="str">
        <f t="shared" si="32"/>
        <v/>
      </c>
      <c r="BM5" s="23"/>
      <c r="BN5" s="45" t="str">
        <f t="shared" si="33"/>
        <v/>
      </c>
      <c r="BO5" s="25"/>
      <c r="BP5" s="45" t="str">
        <f t="shared" si="34"/>
        <v/>
      </c>
      <c r="BQ5" s="29" t="str">
        <f t="shared" si="35"/>
        <v/>
      </c>
      <c r="BR5" s="29">
        <f t="shared" si="36"/>
        <v>0</v>
      </c>
      <c r="BS5" s="29">
        <f t="shared" si="37"/>
        <v>0</v>
      </c>
      <c r="BT5" s="22" t="str">
        <f t="shared" si="38"/>
        <v/>
      </c>
      <c r="BU5" s="23"/>
      <c r="BV5" s="45" t="str">
        <f t="shared" si="39"/>
        <v/>
      </c>
      <c r="BW5" s="25"/>
      <c r="BX5" s="45" t="str">
        <f t="shared" si="40"/>
        <v/>
      </c>
      <c r="BY5" s="47"/>
      <c r="BZ5" s="22" t="str">
        <f t="shared" si="41"/>
        <v/>
      </c>
      <c r="CA5" s="23"/>
      <c r="CB5" s="45" t="str">
        <f t="shared" si="42"/>
        <v/>
      </c>
      <c r="CC5" s="25"/>
      <c r="CD5" s="45" t="str">
        <f t="shared" si="43"/>
        <v/>
      </c>
      <c r="CE5" s="47"/>
      <c r="CF5" s="22" t="str">
        <f t="shared" si="44"/>
        <v/>
      </c>
      <c r="CG5" s="23"/>
      <c r="CH5" s="45" t="str">
        <f t="shared" si="45"/>
        <v/>
      </c>
      <c r="CI5" s="25"/>
      <c r="CJ5" s="45" t="str">
        <f t="shared" si="46"/>
        <v/>
      </c>
      <c r="CK5" s="20">
        <v>0.0</v>
      </c>
      <c r="CL5" s="5"/>
      <c r="CM5" s="5"/>
      <c r="CN5" s="5"/>
    </row>
    <row r="6">
      <c r="A6" s="20" t="str">
        <f t="shared" si="1"/>
        <v/>
      </c>
      <c r="B6" s="21"/>
      <c r="C6" s="22"/>
      <c r="D6" s="20"/>
      <c r="E6" s="20"/>
      <c r="F6" s="20"/>
      <c r="G6" s="23"/>
      <c r="H6" s="5"/>
      <c r="I6" s="22" t="str">
        <f t="shared" si="2"/>
        <v/>
      </c>
      <c r="J6" s="23"/>
      <c r="K6" s="45" t="str">
        <f t="shared" si="3"/>
        <v/>
      </c>
      <c r="L6" s="25"/>
      <c r="M6" s="45" t="str">
        <f t="shared" si="4"/>
        <v/>
      </c>
      <c r="N6" s="29" t="str">
        <f t="shared" si="5"/>
        <v/>
      </c>
      <c r="O6" s="29">
        <f t="shared" si="6"/>
        <v>0</v>
      </c>
      <c r="P6" s="29">
        <f t="shared" si="7"/>
        <v>0</v>
      </c>
      <c r="Q6" s="22" t="str">
        <f t="shared" si="8"/>
        <v/>
      </c>
      <c r="R6" s="23"/>
      <c r="S6" s="45" t="str">
        <f t="shared" si="9"/>
        <v/>
      </c>
      <c r="T6" s="25"/>
      <c r="U6" s="45" t="str">
        <f t="shared" si="10"/>
        <v/>
      </c>
      <c r="V6" s="47"/>
      <c r="W6" s="22" t="str">
        <f t="shared" si="11"/>
        <v/>
      </c>
      <c r="X6" s="23"/>
      <c r="Y6" s="45" t="str">
        <f t="shared" si="12"/>
        <v/>
      </c>
      <c r="Z6" s="25"/>
      <c r="AA6" s="45" t="str">
        <f t="shared" si="13"/>
        <v/>
      </c>
      <c r="AB6" s="47"/>
      <c r="AC6" s="22" t="str">
        <f t="shared" si="14"/>
        <v/>
      </c>
      <c r="AD6" s="23"/>
      <c r="AE6" s="45" t="str">
        <f t="shared" si="15"/>
        <v/>
      </c>
      <c r="AF6" s="25"/>
      <c r="AG6" s="45" t="str">
        <f t="shared" si="16"/>
        <v/>
      </c>
      <c r="AH6" s="20">
        <v>0.0</v>
      </c>
      <c r="AI6" s="5"/>
      <c r="AJ6" s="22" t="str">
        <f t="shared" si="17"/>
        <v/>
      </c>
      <c r="AK6" s="22"/>
      <c r="AL6" s="23"/>
      <c r="AM6" s="45" t="str">
        <f t="shared" si="18"/>
        <v/>
      </c>
      <c r="AN6" s="25"/>
      <c r="AO6" s="45" t="str">
        <f t="shared" si="19"/>
        <v/>
      </c>
      <c r="AP6" s="29" t="str">
        <f t="shared" si="20"/>
        <v/>
      </c>
      <c r="AQ6" s="29">
        <f t="shared" si="21"/>
        <v>0</v>
      </c>
      <c r="AR6" s="29">
        <f t="shared" si="22"/>
        <v>0</v>
      </c>
      <c r="AS6" s="22" t="str">
        <f t="shared" si="23"/>
        <v/>
      </c>
      <c r="AT6" s="23"/>
      <c r="AU6" s="45" t="str">
        <f t="shared" si="24"/>
        <v/>
      </c>
      <c r="AV6" s="25"/>
      <c r="AW6" s="45" t="str">
        <f t="shared" si="25"/>
        <v/>
      </c>
      <c r="AX6" s="47"/>
      <c r="AY6" s="22" t="str">
        <f t="shared" si="26"/>
        <v/>
      </c>
      <c r="AZ6" s="23"/>
      <c r="BA6" s="45" t="str">
        <f t="shared" si="27"/>
        <v/>
      </c>
      <c r="BB6" s="25"/>
      <c r="BC6" s="45" t="str">
        <f t="shared" si="28"/>
        <v/>
      </c>
      <c r="BD6" s="47"/>
      <c r="BE6" s="22" t="str">
        <f t="shared" si="29"/>
        <v/>
      </c>
      <c r="BF6" s="23"/>
      <c r="BG6" s="45" t="str">
        <f t="shared" si="30"/>
        <v/>
      </c>
      <c r="BH6" s="25"/>
      <c r="BI6" s="45" t="str">
        <f t="shared" si="31"/>
        <v/>
      </c>
      <c r="BJ6" s="20">
        <v>0.0</v>
      </c>
      <c r="BK6" s="5"/>
      <c r="BL6" s="22" t="str">
        <f t="shared" si="32"/>
        <v/>
      </c>
      <c r="BM6" s="23"/>
      <c r="BN6" s="45" t="str">
        <f t="shared" si="33"/>
        <v/>
      </c>
      <c r="BO6" s="25"/>
      <c r="BP6" s="45" t="str">
        <f t="shared" si="34"/>
        <v/>
      </c>
      <c r="BQ6" s="29" t="str">
        <f t="shared" si="35"/>
        <v/>
      </c>
      <c r="BR6" s="29">
        <f t="shared" si="36"/>
        <v>0</v>
      </c>
      <c r="BS6" s="29">
        <f t="shared" si="37"/>
        <v>0</v>
      </c>
      <c r="BT6" s="22" t="str">
        <f t="shared" si="38"/>
        <v/>
      </c>
      <c r="BU6" s="23"/>
      <c r="BV6" s="45" t="str">
        <f t="shared" si="39"/>
        <v/>
      </c>
      <c r="BW6" s="25"/>
      <c r="BX6" s="45" t="str">
        <f t="shared" si="40"/>
        <v/>
      </c>
      <c r="BY6" s="47"/>
      <c r="BZ6" s="22" t="str">
        <f t="shared" si="41"/>
        <v/>
      </c>
      <c r="CA6" s="23"/>
      <c r="CB6" s="45" t="str">
        <f t="shared" si="42"/>
        <v/>
      </c>
      <c r="CC6" s="25"/>
      <c r="CD6" s="45" t="str">
        <f t="shared" si="43"/>
        <v/>
      </c>
      <c r="CE6" s="47"/>
      <c r="CF6" s="22" t="str">
        <f t="shared" si="44"/>
        <v/>
      </c>
      <c r="CG6" s="23"/>
      <c r="CH6" s="45" t="str">
        <f t="shared" si="45"/>
        <v/>
      </c>
      <c r="CI6" s="25"/>
      <c r="CJ6" s="45" t="str">
        <f t="shared" si="46"/>
        <v/>
      </c>
      <c r="CK6" s="20">
        <v>0.0</v>
      </c>
      <c r="CL6" s="5"/>
      <c r="CM6" s="5"/>
      <c r="CN6" s="5"/>
    </row>
    <row r="7">
      <c r="A7" s="20" t="str">
        <f t="shared" si="1"/>
        <v/>
      </c>
      <c r="B7" s="21"/>
      <c r="C7" s="22"/>
      <c r="D7" s="20"/>
      <c r="E7" s="20"/>
      <c r="F7" s="20"/>
      <c r="G7" s="23"/>
      <c r="H7" s="5"/>
      <c r="I7" s="22" t="str">
        <f t="shared" si="2"/>
        <v/>
      </c>
      <c r="J7" s="23"/>
      <c r="K7" s="45" t="str">
        <f t="shared" si="3"/>
        <v/>
      </c>
      <c r="L7" s="25"/>
      <c r="M7" s="45" t="str">
        <f t="shared" si="4"/>
        <v/>
      </c>
      <c r="N7" s="29" t="str">
        <f t="shared" si="5"/>
        <v/>
      </c>
      <c r="O7" s="29">
        <f t="shared" si="6"/>
        <v>0</v>
      </c>
      <c r="P7" s="29">
        <f t="shared" si="7"/>
        <v>0</v>
      </c>
      <c r="Q7" s="22" t="str">
        <f t="shared" si="8"/>
        <v/>
      </c>
      <c r="R7" s="23"/>
      <c r="S7" s="45" t="str">
        <f t="shared" si="9"/>
        <v/>
      </c>
      <c r="T7" s="25"/>
      <c r="U7" s="45" t="str">
        <f t="shared" si="10"/>
        <v/>
      </c>
      <c r="V7" s="47"/>
      <c r="W7" s="22" t="str">
        <f t="shared" si="11"/>
        <v/>
      </c>
      <c r="X7" s="23"/>
      <c r="Y7" s="45" t="str">
        <f t="shared" si="12"/>
        <v/>
      </c>
      <c r="Z7" s="25"/>
      <c r="AA7" s="45" t="str">
        <f t="shared" si="13"/>
        <v/>
      </c>
      <c r="AB7" s="47"/>
      <c r="AC7" s="22" t="str">
        <f t="shared" si="14"/>
        <v/>
      </c>
      <c r="AD7" s="23"/>
      <c r="AE7" s="45" t="str">
        <f t="shared" si="15"/>
        <v/>
      </c>
      <c r="AF7" s="25"/>
      <c r="AG7" s="45" t="str">
        <f t="shared" si="16"/>
        <v/>
      </c>
      <c r="AH7" s="20">
        <v>0.0</v>
      </c>
      <c r="AI7" s="5"/>
      <c r="AJ7" s="22" t="str">
        <f t="shared" si="17"/>
        <v/>
      </c>
      <c r="AK7" s="22"/>
      <c r="AL7" s="23"/>
      <c r="AM7" s="45" t="str">
        <f t="shared" si="18"/>
        <v/>
      </c>
      <c r="AN7" s="25"/>
      <c r="AO7" s="45" t="str">
        <f t="shared" si="19"/>
        <v/>
      </c>
      <c r="AP7" s="29" t="str">
        <f t="shared" si="20"/>
        <v/>
      </c>
      <c r="AQ7" s="29">
        <f t="shared" si="21"/>
        <v>0</v>
      </c>
      <c r="AR7" s="29">
        <f t="shared" si="22"/>
        <v>0</v>
      </c>
      <c r="AS7" s="22" t="str">
        <f t="shared" si="23"/>
        <v/>
      </c>
      <c r="AT7" s="23"/>
      <c r="AU7" s="45" t="str">
        <f t="shared" si="24"/>
        <v/>
      </c>
      <c r="AV7" s="25"/>
      <c r="AW7" s="45" t="str">
        <f t="shared" si="25"/>
        <v/>
      </c>
      <c r="AX7" s="47"/>
      <c r="AY7" s="22" t="str">
        <f t="shared" si="26"/>
        <v/>
      </c>
      <c r="AZ7" s="23"/>
      <c r="BA7" s="45" t="str">
        <f t="shared" si="27"/>
        <v/>
      </c>
      <c r="BB7" s="25"/>
      <c r="BC7" s="45" t="str">
        <f t="shared" si="28"/>
        <v/>
      </c>
      <c r="BD7" s="47"/>
      <c r="BE7" s="22" t="str">
        <f t="shared" si="29"/>
        <v/>
      </c>
      <c r="BF7" s="23"/>
      <c r="BG7" s="45" t="str">
        <f t="shared" si="30"/>
        <v/>
      </c>
      <c r="BH7" s="25"/>
      <c r="BI7" s="45" t="str">
        <f t="shared" si="31"/>
        <v/>
      </c>
      <c r="BJ7" s="20">
        <v>0.0</v>
      </c>
      <c r="BK7" s="5"/>
      <c r="BL7" s="22" t="str">
        <f t="shared" si="32"/>
        <v/>
      </c>
      <c r="BM7" s="23"/>
      <c r="BN7" s="45" t="str">
        <f t="shared" si="33"/>
        <v/>
      </c>
      <c r="BO7" s="25"/>
      <c r="BP7" s="45" t="str">
        <f t="shared" si="34"/>
        <v/>
      </c>
      <c r="BQ7" s="29" t="str">
        <f t="shared" si="35"/>
        <v/>
      </c>
      <c r="BR7" s="29">
        <f t="shared" si="36"/>
        <v>0</v>
      </c>
      <c r="BS7" s="29">
        <f t="shared" si="37"/>
        <v>0</v>
      </c>
      <c r="BT7" s="22" t="str">
        <f t="shared" si="38"/>
        <v/>
      </c>
      <c r="BU7" s="23"/>
      <c r="BV7" s="45" t="str">
        <f t="shared" si="39"/>
        <v/>
      </c>
      <c r="BW7" s="25"/>
      <c r="BX7" s="45" t="str">
        <f t="shared" si="40"/>
        <v/>
      </c>
      <c r="BY7" s="47"/>
      <c r="BZ7" s="22" t="str">
        <f t="shared" si="41"/>
        <v/>
      </c>
      <c r="CA7" s="23"/>
      <c r="CB7" s="45" t="str">
        <f t="shared" si="42"/>
        <v/>
      </c>
      <c r="CC7" s="25"/>
      <c r="CD7" s="45" t="str">
        <f t="shared" si="43"/>
        <v/>
      </c>
      <c r="CE7" s="47"/>
      <c r="CF7" s="22" t="str">
        <f t="shared" si="44"/>
        <v/>
      </c>
      <c r="CG7" s="23"/>
      <c r="CH7" s="45" t="str">
        <f t="shared" si="45"/>
        <v/>
      </c>
      <c r="CI7" s="25"/>
      <c r="CJ7" s="45" t="str">
        <f t="shared" si="46"/>
        <v/>
      </c>
      <c r="CK7" s="20">
        <v>0.0</v>
      </c>
      <c r="CL7" s="5"/>
      <c r="CM7" s="5"/>
      <c r="CN7" s="5"/>
    </row>
    <row r="8">
      <c r="A8" s="20" t="str">
        <f t="shared" si="1"/>
        <v/>
      </c>
      <c r="B8" s="21"/>
      <c r="C8" s="22"/>
      <c r="D8" s="20"/>
      <c r="E8" s="20"/>
      <c r="F8" s="20"/>
      <c r="G8" s="23"/>
      <c r="H8" s="5"/>
      <c r="I8" s="22" t="str">
        <f t="shared" si="2"/>
        <v/>
      </c>
      <c r="J8" s="23"/>
      <c r="K8" s="45" t="str">
        <f t="shared" si="3"/>
        <v/>
      </c>
      <c r="L8" s="25"/>
      <c r="M8" s="45" t="str">
        <f t="shared" si="4"/>
        <v/>
      </c>
      <c r="N8" s="29" t="str">
        <f t="shared" si="5"/>
        <v/>
      </c>
      <c r="O8" s="29">
        <f t="shared" si="6"/>
        <v>0</v>
      </c>
      <c r="P8" s="29">
        <f t="shared" si="7"/>
        <v>0</v>
      </c>
      <c r="Q8" s="22" t="str">
        <f t="shared" si="8"/>
        <v/>
      </c>
      <c r="R8" s="23"/>
      <c r="S8" s="45" t="str">
        <f t="shared" si="9"/>
        <v/>
      </c>
      <c r="T8" s="25"/>
      <c r="U8" s="45" t="str">
        <f t="shared" si="10"/>
        <v/>
      </c>
      <c r="V8" s="47"/>
      <c r="W8" s="22" t="str">
        <f t="shared" si="11"/>
        <v/>
      </c>
      <c r="X8" s="23"/>
      <c r="Y8" s="45" t="str">
        <f t="shared" si="12"/>
        <v/>
      </c>
      <c r="Z8" s="25"/>
      <c r="AA8" s="45" t="str">
        <f t="shared" si="13"/>
        <v/>
      </c>
      <c r="AB8" s="47"/>
      <c r="AC8" s="22" t="str">
        <f t="shared" si="14"/>
        <v/>
      </c>
      <c r="AD8" s="23"/>
      <c r="AE8" s="45" t="str">
        <f t="shared" si="15"/>
        <v/>
      </c>
      <c r="AF8" s="25"/>
      <c r="AG8" s="45" t="str">
        <f t="shared" si="16"/>
        <v/>
      </c>
      <c r="AH8" s="20">
        <v>0.0</v>
      </c>
      <c r="AI8" s="5"/>
      <c r="AJ8" s="22" t="str">
        <f t="shared" si="17"/>
        <v/>
      </c>
      <c r="AK8" s="22"/>
      <c r="AL8" s="23"/>
      <c r="AM8" s="45" t="str">
        <f t="shared" si="18"/>
        <v/>
      </c>
      <c r="AN8" s="25"/>
      <c r="AO8" s="45" t="str">
        <f t="shared" si="19"/>
        <v/>
      </c>
      <c r="AP8" s="29" t="str">
        <f t="shared" si="20"/>
        <v/>
      </c>
      <c r="AQ8" s="29">
        <f t="shared" si="21"/>
        <v>0</v>
      </c>
      <c r="AR8" s="29">
        <f t="shared" si="22"/>
        <v>0</v>
      </c>
      <c r="AS8" s="22" t="str">
        <f t="shared" si="23"/>
        <v/>
      </c>
      <c r="AT8" s="23"/>
      <c r="AU8" s="45" t="str">
        <f t="shared" si="24"/>
        <v/>
      </c>
      <c r="AV8" s="25"/>
      <c r="AW8" s="45" t="str">
        <f t="shared" si="25"/>
        <v/>
      </c>
      <c r="AX8" s="47"/>
      <c r="AY8" s="22" t="str">
        <f t="shared" si="26"/>
        <v/>
      </c>
      <c r="AZ8" s="23"/>
      <c r="BA8" s="45" t="str">
        <f t="shared" si="27"/>
        <v/>
      </c>
      <c r="BB8" s="25"/>
      <c r="BC8" s="45" t="str">
        <f t="shared" si="28"/>
        <v/>
      </c>
      <c r="BD8" s="47"/>
      <c r="BE8" s="22" t="str">
        <f t="shared" si="29"/>
        <v/>
      </c>
      <c r="BF8" s="23"/>
      <c r="BG8" s="45" t="str">
        <f t="shared" si="30"/>
        <v/>
      </c>
      <c r="BH8" s="25"/>
      <c r="BI8" s="45" t="str">
        <f t="shared" si="31"/>
        <v/>
      </c>
      <c r="BJ8" s="20">
        <v>0.0</v>
      </c>
      <c r="BK8" s="5"/>
      <c r="BL8" s="22" t="str">
        <f t="shared" si="32"/>
        <v/>
      </c>
      <c r="BM8" s="23"/>
      <c r="BN8" s="45" t="str">
        <f t="shared" si="33"/>
        <v/>
      </c>
      <c r="BO8" s="25"/>
      <c r="BP8" s="45" t="str">
        <f t="shared" si="34"/>
        <v/>
      </c>
      <c r="BQ8" s="29" t="str">
        <f t="shared" si="35"/>
        <v/>
      </c>
      <c r="BR8" s="29">
        <f t="shared" si="36"/>
        <v>0</v>
      </c>
      <c r="BS8" s="29">
        <f t="shared" si="37"/>
        <v>0</v>
      </c>
      <c r="BT8" s="22" t="str">
        <f t="shared" si="38"/>
        <v/>
      </c>
      <c r="BU8" s="23"/>
      <c r="BV8" s="45" t="str">
        <f t="shared" si="39"/>
        <v/>
      </c>
      <c r="BW8" s="25"/>
      <c r="BX8" s="45" t="str">
        <f t="shared" si="40"/>
        <v/>
      </c>
      <c r="BY8" s="47"/>
      <c r="BZ8" s="22" t="str">
        <f t="shared" si="41"/>
        <v/>
      </c>
      <c r="CA8" s="23"/>
      <c r="CB8" s="45" t="str">
        <f t="shared" si="42"/>
        <v/>
      </c>
      <c r="CC8" s="25"/>
      <c r="CD8" s="45" t="str">
        <f t="shared" si="43"/>
        <v/>
      </c>
      <c r="CE8" s="47"/>
      <c r="CF8" s="22" t="str">
        <f t="shared" si="44"/>
        <v/>
      </c>
      <c r="CG8" s="23"/>
      <c r="CH8" s="45" t="str">
        <f t="shared" si="45"/>
        <v/>
      </c>
      <c r="CI8" s="25"/>
      <c r="CJ8" s="45" t="str">
        <f t="shared" si="46"/>
        <v/>
      </c>
      <c r="CK8" s="20">
        <v>0.0</v>
      </c>
      <c r="CL8" s="5"/>
      <c r="CM8" s="5"/>
      <c r="CN8" s="5"/>
    </row>
    <row r="9">
      <c r="A9" s="20" t="str">
        <f t="shared" si="1"/>
        <v/>
      </c>
      <c r="B9" s="21"/>
      <c r="C9" s="22"/>
      <c r="D9" s="20"/>
      <c r="E9" s="20"/>
      <c r="F9" s="20"/>
      <c r="G9" s="23"/>
      <c r="H9" s="5"/>
      <c r="I9" s="22" t="str">
        <f t="shared" si="2"/>
        <v/>
      </c>
      <c r="J9" s="23"/>
      <c r="K9" s="45" t="str">
        <f t="shared" si="3"/>
        <v/>
      </c>
      <c r="L9" s="25"/>
      <c r="M9" s="45" t="str">
        <f t="shared" si="4"/>
        <v/>
      </c>
      <c r="N9" s="29" t="str">
        <f t="shared" si="5"/>
        <v/>
      </c>
      <c r="O9" s="29">
        <f t="shared" si="6"/>
        <v>0</v>
      </c>
      <c r="P9" s="29">
        <f t="shared" si="7"/>
        <v>0</v>
      </c>
      <c r="Q9" s="22" t="str">
        <f t="shared" si="8"/>
        <v/>
      </c>
      <c r="R9" s="23"/>
      <c r="S9" s="45" t="str">
        <f t="shared" si="9"/>
        <v/>
      </c>
      <c r="T9" s="25"/>
      <c r="U9" s="45" t="str">
        <f t="shared" si="10"/>
        <v/>
      </c>
      <c r="V9" s="47"/>
      <c r="W9" s="22" t="str">
        <f t="shared" si="11"/>
        <v/>
      </c>
      <c r="X9" s="23"/>
      <c r="Y9" s="45" t="str">
        <f t="shared" si="12"/>
        <v/>
      </c>
      <c r="Z9" s="25"/>
      <c r="AA9" s="45" t="str">
        <f t="shared" si="13"/>
        <v/>
      </c>
      <c r="AB9" s="47"/>
      <c r="AC9" s="22" t="str">
        <f t="shared" si="14"/>
        <v/>
      </c>
      <c r="AD9" s="23"/>
      <c r="AE9" s="45" t="str">
        <f t="shared" si="15"/>
        <v/>
      </c>
      <c r="AF9" s="25"/>
      <c r="AG9" s="45" t="str">
        <f t="shared" si="16"/>
        <v/>
      </c>
      <c r="AH9" s="20">
        <v>0.0</v>
      </c>
      <c r="AI9" s="5"/>
      <c r="AJ9" s="22" t="str">
        <f t="shared" si="17"/>
        <v/>
      </c>
      <c r="AK9" s="22"/>
      <c r="AL9" s="23"/>
      <c r="AM9" s="45" t="str">
        <f t="shared" si="18"/>
        <v/>
      </c>
      <c r="AN9" s="25"/>
      <c r="AO9" s="45" t="str">
        <f t="shared" si="19"/>
        <v/>
      </c>
      <c r="AP9" s="29" t="str">
        <f t="shared" si="20"/>
        <v/>
      </c>
      <c r="AQ9" s="29">
        <f t="shared" si="21"/>
        <v>0</v>
      </c>
      <c r="AR9" s="29">
        <f t="shared" si="22"/>
        <v>0</v>
      </c>
      <c r="AS9" s="22" t="str">
        <f t="shared" si="23"/>
        <v/>
      </c>
      <c r="AT9" s="23"/>
      <c r="AU9" s="45" t="str">
        <f t="shared" si="24"/>
        <v/>
      </c>
      <c r="AV9" s="25"/>
      <c r="AW9" s="45" t="str">
        <f t="shared" si="25"/>
        <v/>
      </c>
      <c r="AX9" s="47"/>
      <c r="AY9" s="22" t="str">
        <f t="shared" si="26"/>
        <v/>
      </c>
      <c r="AZ9" s="23"/>
      <c r="BA9" s="45" t="str">
        <f t="shared" si="27"/>
        <v/>
      </c>
      <c r="BB9" s="25"/>
      <c r="BC9" s="45" t="str">
        <f t="shared" si="28"/>
        <v/>
      </c>
      <c r="BD9" s="47"/>
      <c r="BE9" s="22" t="str">
        <f t="shared" si="29"/>
        <v/>
      </c>
      <c r="BF9" s="23"/>
      <c r="BG9" s="45" t="str">
        <f t="shared" si="30"/>
        <v/>
      </c>
      <c r="BH9" s="25"/>
      <c r="BI9" s="45" t="str">
        <f t="shared" si="31"/>
        <v/>
      </c>
      <c r="BJ9" s="20">
        <v>0.0</v>
      </c>
      <c r="BK9" s="5"/>
      <c r="BL9" s="22" t="str">
        <f t="shared" si="32"/>
        <v/>
      </c>
      <c r="BM9" s="23"/>
      <c r="BN9" s="45" t="str">
        <f t="shared" si="33"/>
        <v/>
      </c>
      <c r="BO9" s="25"/>
      <c r="BP9" s="45" t="str">
        <f t="shared" si="34"/>
        <v/>
      </c>
      <c r="BQ9" s="29" t="str">
        <f t="shared" si="35"/>
        <v/>
      </c>
      <c r="BR9" s="29">
        <f t="shared" si="36"/>
        <v>0</v>
      </c>
      <c r="BS9" s="29">
        <f t="shared" si="37"/>
        <v>0</v>
      </c>
      <c r="BT9" s="22" t="str">
        <f t="shared" si="38"/>
        <v/>
      </c>
      <c r="BU9" s="23"/>
      <c r="BV9" s="45" t="str">
        <f t="shared" si="39"/>
        <v/>
      </c>
      <c r="BW9" s="25"/>
      <c r="BX9" s="45" t="str">
        <f t="shared" si="40"/>
        <v/>
      </c>
      <c r="BY9" s="47"/>
      <c r="BZ9" s="22" t="str">
        <f t="shared" si="41"/>
        <v/>
      </c>
      <c r="CA9" s="23"/>
      <c r="CB9" s="45" t="str">
        <f t="shared" si="42"/>
        <v/>
      </c>
      <c r="CC9" s="25"/>
      <c r="CD9" s="45" t="str">
        <f t="shared" si="43"/>
        <v/>
      </c>
      <c r="CE9" s="47"/>
      <c r="CF9" s="22" t="str">
        <f t="shared" si="44"/>
        <v/>
      </c>
      <c r="CG9" s="23"/>
      <c r="CH9" s="45" t="str">
        <f t="shared" si="45"/>
        <v/>
      </c>
      <c r="CI9" s="25"/>
      <c r="CJ9" s="45" t="str">
        <f t="shared" si="46"/>
        <v/>
      </c>
      <c r="CK9" s="20">
        <v>0.0</v>
      </c>
      <c r="CL9" s="5"/>
      <c r="CM9" s="5"/>
      <c r="CN9" s="5"/>
    </row>
    <row r="10">
      <c r="A10" s="20" t="str">
        <f t="shared" si="1"/>
        <v/>
      </c>
      <c r="B10" s="21"/>
      <c r="C10" s="22"/>
      <c r="D10" s="20"/>
      <c r="E10" s="20"/>
      <c r="F10" s="20"/>
      <c r="G10" s="23"/>
      <c r="H10" s="5"/>
      <c r="I10" s="22" t="str">
        <f t="shared" si="2"/>
        <v/>
      </c>
      <c r="J10" s="23"/>
      <c r="K10" s="45" t="str">
        <f t="shared" si="3"/>
        <v/>
      </c>
      <c r="L10" s="25"/>
      <c r="M10" s="45" t="str">
        <f t="shared" si="4"/>
        <v/>
      </c>
      <c r="N10" s="29" t="str">
        <f t="shared" si="5"/>
        <v/>
      </c>
      <c r="O10" s="29">
        <f t="shared" si="6"/>
        <v>0</v>
      </c>
      <c r="P10" s="29">
        <f t="shared" si="7"/>
        <v>0</v>
      </c>
      <c r="Q10" s="22" t="str">
        <f t="shared" si="8"/>
        <v/>
      </c>
      <c r="R10" s="23"/>
      <c r="S10" s="45" t="str">
        <f t="shared" si="9"/>
        <v/>
      </c>
      <c r="T10" s="25"/>
      <c r="U10" s="45" t="str">
        <f t="shared" si="10"/>
        <v/>
      </c>
      <c r="V10" s="47"/>
      <c r="W10" s="22" t="str">
        <f t="shared" si="11"/>
        <v/>
      </c>
      <c r="X10" s="23"/>
      <c r="Y10" s="45" t="str">
        <f t="shared" si="12"/>
        <v/>
      </c>
      <c r="Z10" s="25"/>
      <c r="AA10" s="45" t="str">
        <f t="shared" si="13"/>
        <v/>
      </c>
      <c r="AB10" s="47"/>
      <c r="AC10" s="22" t="str">
        <f t="shared" si="14"/>
        <v/>
      </c>
      <c r="AD10" s="23"/>
      <c r="AE10" s="45" t="str">
        <f t="shared" si="15"/>
        <v/>
      </c>
      <c r="AF10" s="25"/>
      <c r="AG10" s="45" t="str">
        <f t="shared" si="16"/>
        <v/>
      </c>
      <c r="AH10" s="20">
        <v>0.0</v>
      </c>
      <c r="AI10" s="5"/>
      <c r="AJ10" s="22" t="str">
        <f t="shared" si="17"/>
        <v/>
      </c>
      <c r="AK10" s="22"/>
      <c r="AL10" s="23"/>
      <c r="AM10" s="45" t="str">
        <f t="shared" si="18"/>
        <v/>
      </c>
      <c r="AN10" s="25"/>
      <c r="AO10" s="45" t="str">
        <f t="shared" si="19"/>
        <v/>
      </c>
      <c r="AP10" s="29" t="str">
        <f t="shared" si="20"/>
        <v/>
      </c>
      <c r="AQ10" s="29">
        <f t="shared" si="21"/>
        <v>0</v>
      </c>
      <c r="AR10" s="29">
        <f t="shared" si="22"/>
        <v>0</v>
      </c>
      <c r="AS10" s="22" t="str">
        <f t="shared" si="23"/>
        <v/>
      </c>
      <c r="AT10" s="23"/>
      <c r="AU10" s="45" t="str">
        <f t="shared" si="24"/>
        <v/>
      </c>
      <c r="AV10" s="25"/>
      <c r="AW10" s="45" t="str">
        <f t="shared" si="25"/>
        <v/>
      </c>
      <c r="AX10" s="47"/>
      <c r="AY10" s="22" t="str">
        <f t="shared" si="26"/>
        <v/>
      </c>
      <c r="AZ10" s="23"/>
      <c r="BA10" s="45" t="str">
        <f t="shared" si="27"/>
        <v/>
      </c>
      <c r="BB10" s="25"/>
      <c r="BC10" s="45" t="str">
        <f t="shared" si="28"/>
        <v/>
      </c>
      <c r="BD10" s="47"/>
      <c r="BE10" s="22" t="str">
        <f t="shared" si="29"/>
        <v/>
      </c>
      <c r="BF10" s="23"/>
      <c r="BG10" s="45" t="str">
        <f t="shared" si="30"/>
        <v/>
      </c>
      <c r="BH10" s="25"/>
      <c r="BI10" s="45" t="str">
        <f t="shared" si="31"/>
        <v/>
      </c>
      <c r="BJ10" s="20">
        <v>0.0</v>
      </c>
      <c r="BK10" s="5"/>
      <c r="BL10" s="22" t="str">
        <f t="shared" si="32"/>
        <v/>
      </c>
      <c r="BM10" s="23"/>
      <c r="BN10" s="45" t="str">
        <f t="shared" si="33"/>
        <v/>
      </c>
      <c r="BO10" s="25"/>
      <c r="BP10" s="45" t="str">
        <f t="shared" si="34"/>
        <v/>
      </c>
      <c r="BQ10" s="29" t="str">
        <f t="shared" si="35"/>
        <v/>
      </c>
      <c r="BR10" s="29">
        <f t="shared" si="36"/>
        <v>0</v>
      </c>
      <c r="BS10" s="29">
        <f t="shared" si="37"/>
        <v>0</v>
      </c>
      <c r="BT10" s="22" t="str">
        <f t="shared" si="38"/>
        <v/>
      </c>
      <c r="BU10" s="23"/>
      <c r="BV10" s="45" t="str">
        <f t="shared" si="39"/>
        <v/>
      </c>
      <c r="BW10" s="25"/>
      <c r="BX10" s="45" t="str">
        <f t="shared" si="40"/>
        <v/>
      </c>
      <c r="BY10" s="47"/>
      <c r="BZ10" s="22" t="str">
        <f t="shared" si="41"/>
        <v/>
      </c>
      <c r="CA10" s="23"/>
      <c r="CB10" s="45" t="str">
        <f t="shared" si="42"/>
        <v/>
      </c>
      <c r="CC10" s="25"/>
      <c r="CD10" s="45" t="str">
        <f t="shared" si="43"/>
        <v/>
      </c>
      <c r="CE10" s="47"/>
      <c r="CF10" s="22" t="str">
        <f t="shared" si="44"/>
        <v/>
      </c>
      <c r="CG10" s="23"/>
      <c r="CH10" s="45" t="str">
        <f t="shared" si="45"/>
        <v/>
      </c>
      <c r="CI10" s="25"/>
      <c r="CJ10" s="45" t="str">
        <f t="shared" si="46"/>
        <v/>
      </c>
      <c r="CK10" s="20">
        <v>0.0</v>
      </c>
      <c r="CL10" s="5"/>
      <c r="CM10" s="5"/>
      <c r="CN10" s="5"/>
    </row>
    <row r="11">
      <c r="A11" s="20" t="str">
        <f t="shared" si="1"/>
        <v/>
      </c>
      <c r="B11" s="21"/>
      <c r="C11" s="22"/>
      <c r="D11" s="20"/>
      <c r="E11" s="20"/>
      <c r="F11" s="20"/>
      <c r="G11" s="23"/>
      <c r="H11" s="5"/>
      <c r="I11" s="22" t="str">
        <f t="shared" si="2"/>
        <v/>
      </c>
      <c r="J11" s="23"/>
      <c r="K11" s="45" t="str">
        <f t="shared" si="3"/>
        <v/>
      </c>
      <c r="L11" s="25"/>
      <c r="M11" s="45" t="str">
        <f t="shared" si="4"/>
        <v/>
      </c>
      <c r="N11" s="29" t="str">
        <f t="shared" si="5"/>
        <v/>
      </c>
      <c r="O11" s="29">
        <f t="shared" si="6"/>
        <v>0</v>
      </c>
      <c r="P11" s="29">
        <f t="shared" si="7"/>
        <v>0</v>
      </c>
      <c r="Q11" s="22" t="str">
        <f t="shared" si="8"/>
        <v/>
      </c>
      <c r="R11" s="23"/>
      <c r="S11" s="45" t="str">
        <f t="shared" si="9"/>
        <v/>
      </c>
      <c r="T11" s="25"/>
      <c r="U11" s="45" t="str">
        <f t="shared" si="10"/>
        <v/>
      </c>
      <c r="V11" s="47"/>
      <c r="W11" s="22" t="str">
        <f t="shared" si="11"/>
        <v/>
      </c>
      <c r="X11" s="23"/>
      <c r="Y11" s="45" t="str">
        <f t="shared" si="12"/>
        <v/>
      </c>
      <c r="Z11" s="25"/>
      <c r="AA11" s="45" t="str">
        <f t="shared" si="13"/>
        <v/>
      </c>
      <c r="AB11" s="47"/>
      <c r="AC11" s="22" t="str">
        <f t="shared" si="14"/>
        <v/>
      </c>
      <c r="AD11" s="23"/>
      <c r="AE11" s="45" t="str">
        <f t="shared" si="15"/>
        <v/>
      </c>
      <c r="AF11" s="25"/>
      <c r="AG11" s="45" t="str">
        <f t="shared" si="16"/>
        <v/>
      </c>
      <c r="AH11" s="20">
        <v>0.0</v>
      </c>
      <c r="AI11" s="5"/>
      <c r="AJ11" s="22" t="str">
        <f t="shared" si="17"/>
        <v/>
      </c>
      <c r="AK11" s="22"/>
      <c r="AL11" s="23"/>
      <c r="AM11" s="45" t="str">
        <f t="shared" si="18"/>
        <v/>
      </c>
      <c r="AN11" s="25"/>
      <c r="AO11" s="45" t="str">
        <f t="shared" si="19"/>
        <v/>
      </c>
      <c r="AP11" s="29" t="str">
        <f t="shared" si="20"/>
        <v/>
      </c>
      <c r="AQ11" s="29">
        <f t="shared" si="21"/>
        <v>0</v>
      </c>
      <c r="AR11" s="29">
        <f t="shared" si="22"/>
        <v>0</v>
      </c>
      <c r="AS11" s="22" t="str">
        <f t="shared" si="23"/>
        <v/>
      </c>
      <c r="AT11" s="23"/>
      <c r="AU11" s="45" t="str">
        <f t="shared" si="24"/>
        <v/>
      </c>
      <c r="AV11" s="25"/>
      <c r="AW11" s="45" t="str">
        <f t="shared" si="25"/>
        <v/>
      </c>
      <c r="AX11" s="47"/>
      <c r="AY11" s="22" t="str">
        <f t="shared" si="26"/>
        <v/>
      </c>
      <c r="AZ11" s="23"/>
      <c r="BA11" s="45" t="str">
        <f t="shared" si="27"/>
        <v/>
      </c>
      <c r="BB11" s="25"/>
      <c r="BC11" s="45" t="str">
        <f t="shared" si="28"/>
        <v/>
      </c>
      <c r="BD11" s="47"/>
      <c r="BE11" s="22" t="str">
        <f t="shared" si="29"/>
        <v/>
      </c>
      <c r="BF11" s="23"/>
      <c r="BG11" s="45" t="str">
        <f t="shared" si="30"/>
        <v/>
      </c>
      <c r="BH11" s="25"/>
      <c r="BI11" s="45" t="str">
        <f t="shared" si="31"/>
        <v/>
      </c>
      <c r="BJ11" s="20">
        <v>0.0</v>
      </c>
      <c r="BK11" s="5"/>
      <c r="BL11" s="22" t="str">
        <f t="shared" si="32"/>
        <v/>
      </c>
      <c r="BM11" s="23"/>
      <c r="BN11" s="45" t="str">
        <f t="shared" si="33"/>
        <v/>
      </c>
      <c r="BO11" s="25"/>
      <c r="BP11" s="45" t="str">
        <f t="shared" si="34"/>
        <v/>
      </c>
      <c r="BQ11" s="29" t="str">
        <f t="shared" si="35"/>
        <v/>
      </c>
      <c r="BR11" s="29">
        <f t="shared" si="36"/>
        <v>0</v>
      </c>
      <c r="BS11" s="29">
        <f t="shared" si="37"/>
        <v>0</v>
      </c>
      <c r="BT11" s="22" t="str">
        <f t="shared" si="38"/>
        <v/>
      </c>
      <c r="BU11" s="23"/>
      <c r="BV11" s="45" t="str">
        <f t="shared" si="39"/>
        <v/>
      </c>
      <c r="BW11" s="25"/>
      <c r="BX11" s="45" t="str">
        <f t="shared" si="40"/>
        <v/>
      </c>
      <c r="BY11" s="47"/>
      <c r="BZ11" s="22" t="str">
        <f t="shared" si="41"/>
        <v/>
      </c>
      <c r="CA11" s="23"/>
      <c r="CB11" s="45" t="str">
        <f t="shared" si="42"/>
        <v/>
      </c>
      <c r="CC11" s="25"/>
      <c r="CD11" s="45" t="str">
        <f t="shared" si="43"/>
        <v/>
      </c>
      <c r="CE11" s="47"/>
      <c r="CF11" s="22" t="str">
        <f t="shared" si="44"/>
        <v/>
      </c>
      <c r="CG11" s="23"/>
      <c r="CH11" s="45" t="str">
        <f t="shared" si="45"/>
        <v/>
      </c>
      <c r="CI11" s="25"/>
      <c r="CJ11" s="45" t="str">
        <f t="shared" si="46"/>
        <v/>
      </c>
      <c r="CK11" s="20">
        <v>0.0</v>
      </c>
      <c r="CL11" s="5"/>
      <c r="CM11" s="5"/>
      <c r="CN11" s="5"/>
    </row>
    <row r="12">
      <c r="A12" s="20" t="str">
        <f t="shared" si="1"/>
        <v/>
      </c>
      <c r="B12" s="21"/>
      <c r="C12" s="22"/>
      <c r="D12" s="20"/>
      <c r="E12" s="20"/>
      <c r="F12" s="20"/>
      <c r="G12" s="23"/>
      <c r="H12" s="5"/>
      <c r="I12" s="22" t="str">
        <f t="shared" si="2"/>
        <v/>
      </c>
      <c r="J12" s="23"/>
      <c r="K12" s="45" t="str">
        <f t="shared" si="3"/>
        <v/>
      </c>
      <c r="L12" s="25"/>
      <c r="M12" s="45" t="str">
        <f t="shared" si="4"/>
        <v/>
      </c>
      <c r="N12" s="29" t="str">
        <f t="shared" si="5"/>
        <v/>
      </c>
      <c r="O12" s="29">
        <f t="shared" si="6"/>
        <v>0</v>
      </c>
      <c r="P12" s="29">
        <f t="shared" si="7"/>
        <v>0</v>
      </c>
      <c r="Q12" s="22" t="str">
        <f t="shared" si="8"/>
        <v/>
      </c>
      <c r="R12" s="23"/>
      <c r="S12" s="45" t="str">
        <f t="shared" si="9"/>
        <v/>
      </c>
      <c r="T12" s="25"/>
      <c r="U12" s="45" t="str">
        <f t="shared" si="10"/>
        <v/>
      </c>
      <c r="V12" s="47"/>
      <c r="W12" s="22" t="str">
        <f t="shared" si="11"/>
        <v/>
      </c>
      <c r="X12" s="23"/>
      <c r="Y12" s="45" t="str">
        <f t="shared" si="12"/>
        <v/>
      </c>
      <c r="Z12" s="25"/>
      <c r="AA12" s="45" t="str">
        <f t="shared" si="13"/>
        <v/>
      </c>
      <c r="AB12" s="47"/>
      <c r="AC12" s="22" t="str">
        <f t="shared" si="14"/>
        <v/>
      </c>
      <c r="AD12" s="23"/>
      <c r="AE12" s="45" t="str">
        <f t="shared" si="15"/>
        <v/>
      </c>
      <c r="AF12" s="25"/>
      <c r="AG12" s="45" t="str">
        <f t="shared" si="16"/>
        <v/>
      </c>
      <c r="AH12" s="20">
        <v>0.0</v>
      </c>
      <c r="AI12" s="5"/>
      <c r="AJ12" s="22" t="str">
        <f t="shared" si="17"/>
        <v/>
      </c>
      <c r="AK12" s="22"/>
      <c r="AL12" s="23"/>
      <c r="AM12" s="45" t="str">
        <f t="shared" si="18"/>
        <v/>
      </c>
      <c r="AN12" s="25"/>
      <c r="AO12" s="45" t="str">
        <f t="shared" si="19"/>
        <v/>
      </c>
      <c r="AP12" s="29" t="str">
        <f t="shared" si="20"/>
        <v/>
      </c>
      <c r="AQ12" s="29">
        <f t="shared" si="21"/>
        <v>0</v>
      </c>
      <c r="AR12" s="29">
        <f t="shared" si="22"/>
        <v>0</v>
      </c>
      <c r="AS12" s="22" t="str">
        <f t="shared" si="23"/>
        <v/>
      </c>
      <c r="AT12" s="23"/>
      <c r="AU12" s="45" t="str">
        <f t="shared" si="24"/>
        <v/>
      </c>
      <c r="AV12" s="25"/>
      <c r="AW12" s="45" t="str">
        <f t="shared" si="25"/>
        <v/>
      </c>
      <c r="AX12" s="47"/>
      <c r="AY12" s="22" t="str">
        <f t="shared" si="26"/>
        <v/>
      </c>
      <c r="AZ12" s="23"/>
      <c r="BA12" s="45" t="str">
        <f t="shared" si="27"/>
        <v/>
      </c>
      <c r="BB12" s="25"/>
      <c r="BC12" s="45" t="str">
        <f t="shared" si="28"/>
        <v/>
      </c>
      <c r="BD12" s="47"/>
      <c r="BE12" s="22" t="str">
        <f t="shared" si="29"/>
        <v/>
      </c>
      <c r="BF12" s="23"/>
      <c r="BG12" s="45" t="str">
        <f t="shared" si="30"/>
        <v/>
      </c>
      <c r="BH12" s="25"/>
      <c r="BI12" s="45" t="str">
        <f t="shared" si="31"/>
        <v/>
      </c>
      <c r="BJ12" s="20">
        <v>0.0</v>
      </c>
      <c r="BK12" s="5"/>
      <c r="BL12" s="22" t="str">
        <f t="shared" si="32"/>
        <v/>
      </c>
      <c r="BM12" s="23"/>
      <c r="BN12" s="45" t="str">
        <f t="shared" si="33"/>
        <v/>
      </c>
      <c r="BO12" s="25"/>
      <c r="BP12" s="45" t="str">
        <f t="shared" si="34"/>
        <v/>
      </c>
      <c r="BQ12" s="29" t="str">
        <f t="shared" si="35"/>
        <v/>
      </c>
      <c r="BR12" s="29">
        <f t="shared" si="36"/>
        <v>0</v>
      </c>
      <c r="BS12" s="29">
        <f t="shared" si="37"/>
        <v>0</v>
      </c>
      <c r="BT12" s="22" t="str">
        <f t="shared" si="38"/>
        <v/>
      </c>
      <c r="BU12" s="23"/>
      <c r="BV12" s="45" t="str">
        <f t="shared" si="39"/>
        <v/>
      </c>
      <c r="BW12" s="25"/>
      <c r="BX12" s="45" t="str">
        <f t="shared" si="40"/>
        <v/>
      </c>
      <c r="BY12" s="47"/>
      <c r="BZ12" s="22" t="str">
        <f t="shared" si="41"/>
        <v/>
      </c>
      <c r="CA12" s="23"/>
      <c r="CB12" s="45" t="str">
        <f t="shared" si="42"/>
        <v/>
      </c>
      <c r="CC12" s="25"/>
      <c r="CD12" s="45" t="str">
        <f t="shared" si="43"/>
        <v/>
      </c>
      <c r="CE12" s="47"/>
      <c r="CF12" s="22" t="str">
        <f t="shared" si="44"/>
        <v/>
      </c>
      <c r="CG12" s="23"/>
      <c r="CH12" s="45" t="str">
        <f t="shared" si="45"/>
        <v/>
      </c>
      <c r="CI12" s="25"/>
      <c r="CJ12" s="45" t="str">
        <f t="shared" si="46"/>
        <v/>
      </c>
      <c r="CK12" s="20">
        <v>0.0</v>
      </c>
      <c r="CL12" s="5"/>
      <c r="CM12" s="5"/>
      <c r="CN12" s="5"/>
    </row>
    <row r="13">
      <c r="A13" s="20" t="str">
        <f t="shared" si="1"/>
        <v/>
      </c>
      <c r="B13" s="21"/>
      <c r="C13" s="22"/>
      <c r="D13" s="20"/>
      <c r="E13" s="20"/>
      <c r="F13" s="20"/>
      <c r="G13" s="23"/>
      <c r="H13" s="5"/>
      <c r="I13" s="22" t="str">
        <f t="shared" si="2"/>
        <v/>
      </c>
      <c r="J13" s="23"/>
      <c r="K13" s="45" t="str">
        <f t="shared" si="3"/>
        <v/>
      </c>
      <c r="L13" s="25"/>
      <c r="M13" s="45" t="str">
        <f t="shared" si="4"/>
        <v/>
      </c>
      <c r="N13" s="29" t="str">
        <f t="shared" si="5"/>
        <v/>
      </c>
      <c r="O13" s="29">
        <f t="shared" si="6"/>
        <v>0</v>
      </c>
      <c r="P13" s="29">
        <f t="shared" si="7"/>
        <v>0</v>
      </c>
      <c r="Q13" s="22" t="str">
        <f t="shared" si="8"/>
        <v/>
      </c>
      <c r="R13" s="23"/>
      <c r="S13" s="45" t="str">
        <f t="shared" si="9"/>
        <v/>
      </c>
      <c r="T13" s="25"/>
      <c r="U13" s="45" t="str">
        <f t="shared" si="10"/>
        <v/>
      </c>
      <c r="V13" s="47"/>
      <c r="W13" s="22" t="str">
        <f t="shared" si="11"/>
        <v/>
      </c>
      <c r="X13" s="23"/>
      <c r="Y13" s="45" t="str">
        <f t="shared" si="12"/>
        <v/>
      </c>
      <c r="Z13" s="25"/>
      <c r="AA13" s="45" t="str">
        <f t="shared" si="13"/>
        <v/>
      </c>
      <c r="AB13" s="47"/>
      <c r="AC13" s="22" t="str">
        <f t="shared" si="14"/>
        <v/>
      </c>
      <c r="AD13" s="23"/>
      <c r="AE13" s="45" t="str">
        <f t="shared" si="15"/>
        <v/>
      </c>
      <c r="AF13" s="25"/>
      <c r="AG13" s="45" t="str">
        <f t="shared" si="16"/>
        <v/>
      </c>
      <c r="AH13" s="20">
        <v>0.0</v>
      </c>
      <c r="AI13" s="5"/>
      <c r="AJ13" s="22" t="str">
        <f t="shared" si="17"/>
        <v/>
      </c>
      <c r="AK13" s="22"/>
      <c r="AL13" s="23"/>
      <c r="AM13" s="45" t="str">
        <f t="shared" si="18"/>
        <v/>
      </c>
      <c r="AN13" s="25"/>
      <c r="AO13" s="45" t="str">
        <f t="shared" si="19"/>
        <v/>
      </c>
      <c r="AP13" s="29" t="str">
        <f t="shared" si="20"/>
        <v/>
      </c>
      <c r="AQ13" s="29">
        <f t="shared" si="21"/>
        <v>0</v>
      </c>
      <c r="AR13" s="29">
        <f t="shared" si="22"/>
        <v>0</v>
      </c>
      <c r="AS13" s="22" t="str">
        <f t="shared" si="23"/>
        <v/>
      </c>
      <c r="AT13" s="23"/>
      <c r="AU13" s="45" t="str">
        <f t="shared" si="24"/>
        <v/>
      </c>
      <c r="AV13" s="25"/>
      <c r="AW13" s="45" t="str">
        <f t="shared" si="25"/>
        <v/>
      </c>
      <c r="AX13" s="47"/>
      <c r="AY13" s="22" t="str">
        <f t="shared" si="26"/>
        <v/>
      </c>
      <c r="AZ13" s="23"/>
      <c r="BA13" s="45" t="str">
        <f t="shared" si="27"/>
        <v/>
      </c>
      <c r="BB13" s="25"/>
      <c r="BC13" s="45" t="str">
        <f t="shared" si="28"/>
        <v/>
      </c>
      <c r="BD13" s="47"/>
      <c r="BE13" s="22" t="str">
        <f t="shared" si="29"/>
        <v/>
      </c>
      <c r="BF13" s="23"/>
      <c r="BG13" s="45" t="str">
        <f t="shared" si="30"/>
        <v/>
      </c>
      <c r="BH13" s="25"/>
      <c r="BI13" s="45" t="str">
        <f t="shared" si="31"/>
        <v/>
      </c>
      <c r="BJ13" s="20">
        <v>0.0</v>
      </c>
      <c r="BK13" s="5"/>
      <c r="BL13" s="22" t="str">
        <f t="shared" si="32"/>
        <v/>
      </c>
      <c r="BM13" s="23"/>
      <c r="BN13" s="45" t="str">
        <f t="shared" si="33"/>
        <v/>
      </c>
      <c r="BO13" s="25"/>
      <c r="BP13" s="45" t="str">
        <f t="shared" si="34"/>
        <v/>
      </c>
      <c r="BQ13" s="29" t="str">
        <f t="shared" si="35"/>
        <v/>
      </c>
      <c r="BR13" s="29">
        <f t="shared" si="36"/>
        <v>0</v>
      </c>
      <c r="BS13" s="29">
        <f t="shared" si="37"/>
        <v>0</v>
      </c>
      <c r="BT13" s="22" t="str">
        <f t="shared" si="38"/>
        <v/>
      </c>
      <c r="BU13" s="23"/>
      <c r="BV13" s="45" t="str">
        <f t="shared" si="39"/>
        <v/>
      </c>
      <c r="BW13" s="25"/>
      <c r="BX13" s="45" t="str">
        <f t="shared" si="40"/>
        <v/>
      </c>
      <c r="BY13" s="47"/>
      <c r="BZ13" s="22" t="str">
        <f t="shared" si="41"/>
        <v/>
      </c>
      <c r="CA13" s="23"/>
      <c r="CB13" s="45" t="str">
        <f t="shared" si="42"/>
        <v/>
      </c>
      <c r="CC13" s="25"/>
      <c r="CD13" s="45" t="str">
        <f t="shared" si="43"/>
        <v/>
      </c>
      <c r="CE13" s="47"/>
      <c r="CF13" s="22" t="str">
        <f t="shared" si="44"/>
        <v/>
      </c>
      <c r="CG13" s="23"/>
      <c r="CH13" s="45" t="str">
        <f t="shared" si="45"/>
        <v/>
      </c>
      <c r="CI13" s="25"/>
      <c r="CJ13" s="45" t="str">
        <f t="shared" si="46"/>
        <v/>
      </c>
      <c r="CK13" s="20">
        <v>0.0</v>
      </c>
      <c r="CL13" s="5"/>
      <c r="CM13" s="5"/>
      <c r="CN13" s="5"/>
    </row>
    <row r="14">
      <c r="A14" s="20" t="str">
        <f t="shared" si="1"/>
        <v/>
      </c>
      <c r="B14" s="21"/>
      <c r="C14" s="22"/>
      <c r="D14" s="20"/>
      <c r="E14" s="20"/>
      <c r="F14" s="20"/>
      <c r="G14" s="23"/>
      <c r="H14" s="5"/>
      <c r="I14" s="22" t="str">
        <f t="shared" si="2"/>
        <v/>
      </c>
      <c r="J14" s="23"/>
      <c r="K14" s="45" t="str">
        <f t="shared" si="3"/>
        <v/>
      </c>
      <c r="L14" s="25"/>
      <c r="M14" s="45" t="str">
        <f t="shared" si="4"/>
        <v/>
      </c>
      <c r="N14" s="29" t="str">
        <f t="shared" si="5"/>
        <v/>
      </c>
      <c r="O14" s="29">
        <f t="shared" si="6"/>
        <v>0</v>
      </c>
      <c r="P14" s="29">
        <f t="shared" si="7"/>
        <v>0</v>
      </c>
      <c r="Q14" s="22" t="str">
        <f t="shared" si="8"/>
        <v/>
      </c>
      <c r="R14" s="23"/>
      <c r="S14" s="45" t="str">
        <f t="shared" si="9"/>
        <v/>
      </c>
      <c r="T14" s="25"/>
      <c r="U14" s="45" t="str">
        <f t="shared" si="10"/>
        <v/>
      </c>
      <c r="V14" s="47"/>
      <c r="W14" s="22" t="str">
        <f t="shared" si="11"/>
        <v/>
      </c>
      <c r="X14" s="23"/>
      <c r="Y14" s="45" t="str">
        <f t="shared" si="12"/>
        <v/>
      </c>
      <c r="Z14" s="25"/>
      <c r="AA14" s="45" t="str">
        <f t="shared" si="13"/>
        <v/>
      </c>
      <c r="AB14" s="47"/>
      <c r="AC14" s="22" t="str">
        <f t="shared" si="14"/>
        <v/>
      </c>
      <c r="AD14" s="23"/>
      <c r="AE14" s="45" t="str">
        <f t="shared" si="15"/>
        <v/>
      </c>
      <c r="AF14" s="25"/>
      <c r="AG14" s="45" t="str">
        <f t="shared" si="16"/>
        <v/>
      </c>
      <c r="AH14" s="20">
        <v>0.0</v>
      </c>
      <c r="AI14" s="5"/>
      <c r="AJ14" s="22" t="str">
        <f t="shared" si="17"/>
        <v/>
      </c>
      <c r="AK14" s="20"/>
      <c r="AL14" s="23"/>
      <c r="AM14" s="45" t="str">
        <f t="shared" si="18"/>
        <v/>
      </c>
      <c r="AN14" s="25"/>
      <c r="AO14" s="45" t="str">
        <f t="shared" si="19"/>
        <v/>
      </c>
      <c r="AP14" s="29" t="str">
        <f t="shared" si="20"/>
        <v/>
      </c>
      <c r="AQ14" s="29">
        <f t="shared" si="21"/>
        <v>0</v>
      </c>
      <c r="AR14" s="29">
        <f t="shared" si="22"/>
        <v>0</v>
      </c>
      <c r="AS14" s="22" t="str">
        <f t="shared" si="23"/>
        <v/>
      </c>
      <c r="AT14" s="23"/>
      <c r="AU14" s="45" t="str">
        <f t="shared" si="24"/>
        <v/>
      </c>
      <c r="AV14" s="25"/>
      <c r="AW14" s="45" t="str">
        <f t="shared" si="25"/>
        <v/>
      </c>
      <c r="AX14" s="47"/>
      <c r="AY14" s="22" t="str">
        <f t="shared" si="26"/>
        <v/>
      </c>
      <c r="AZ14" s="23"/>
      <c r="BA14" s="45" t="str">
        <f t="shared" si="27"/>
        <v/>
      </c>
      <c r="BB14" s="25"/>
      <c r="BC14" s="45" t="str">
        <f t="shared" si="28"/>
        <v/>
      </c>
      <c r="BD14" s="47"/>
      <c r="BE14" s="22" t="str">
        <f t="shared" si="29"/>
        <v/>
      </c>
      <c r="BF14" s="23"/>
      <c r="BG14" s="45" t="str">
        <f t="shared" si="30"/>
        <v/>
      </c>
      <c r="BH14" s="25"/>
      <c r="BI14" s="45" t="str">
        <f t="shared" si="31"/>
        <v/>
      </c>
      <c r="BJ14" s="20">
        <v>0.0</v>
      </c>
      <c r="BK14" s="5"/>
      <c r="BL14" s="22" t="str">
        <f t="shared" si="32"/>
        <v/>
      </c>
      <c r="BM14" s="23"/>
      <c r="BN14" s="45" t="str">
        <f t="shared" si="33"/>
        <v/>
      </c>
      <c r="BO14" s="25"/>
      <c r="BP14" s="45" t="str">
        <f t="shared" si="34"/>
        <v/>
      </c>
      <c r="BQ14" s="29" t="str">
        <f t="shared" si="35"/>
        <v/>
      </c>
      <c r="BR14" s="29">
        <f t="shared" si="36"/>
        <v>0</v>
      </c>
      <c r="BS14" s="29">
        <f t="shared" si="37"/>
        <v>0</v>
      </c>
      <c r="BT14" s="22" t="str">
        <f t="shared" si="38"/>
        <v/>
      </c>
      <c r="BU14" s="23"/>
      <c r="BV14" s="45" t="str">
        <f t="shared" si="39"/>
        <v/>
      </c>
      <c r="BW14" s="25"/>
      <c r="BX14" s="45" t="str">
        <f t="shared" si="40"/>
        <v/>
      </c>
      <c r="BY14" s="47"/>
      <c r="BZ14" s="22" t="str">
        <f t="shared" si="41"/>
        <v/>
      </c>
      <c r="CA14" s="23"/>
      <c r="CB14" s="45" t="str">
        <f t="shared" si="42"/>
        <v/>
      </c>
      <c r="CC14" s="25"/>
      <c r="CD14" s="45" t="str">
        <f t="shared" si="43"/>
        <v/>
      </c>
      <c r="CE14" s="47"/>
      <c r="CF14" s="22" t="str">
        <f t="shared" si="44"/>
        <v/>
      </c>
      <c r="CG14" s="23"/>
      <c r="CH14" s="45" t="str">
        <f t="shared" si="45"/>
        <v/>
      </c>
      <c r="CI14" s="25"/>
      <c r="CJ14" s="45" t="str">
        <f t="shared" si="46"/>
        <v/>
      </c>
      <c r="CK14" s="20">
        <v>0.0</v>
      </c>
      <c r="CL14" s="5"/>
      <c r="CM14" s="5"/>
      <c r="CN14" s="5"/>
    </row>
    <row r="15">
      <c r="A15" s="20" t="str">
        <f t="shared" si="1"/>
        <v/>
      </c>
      <c r="B15" s="21"/>
      <c r="C15" s="22"/>
      <c r="D15" s="20"/>
      <c r="E15" s="20"/>
      <c r="F15" s="20"/>
      <c r="G15" s="23"/>
      <c r="H15" s="5"/>
      <c r="I15" s="22" t="str">
        <f t="shared" si="2"/>
        <v/>
      </c>
      <c r="J15" s="23"/>
      <c r="K15" s="45" t="str">
        <f t="shared" si="3"/>
        <v/>
      </c>
      <c r="L15" s="25"/>
      <c r="M15" s="45" t="str">
        <f t="shared" si="4"/>
        <v/>
      </c>
      <c r="N15" s="29" t="str">
        <f t="shared" si="5"/>
        <v/>
      </c>
      <c r="O15" s="29">
        <f t="shared" si="6"/>
        <v>0</v>
      </c>
      <c r="P15" s="29">
        <f t="shared" si="7"/>
        <v>0</v>
      </c>
      <c r="Q15" s="22" t="str">
        <f t="shared" si="8"/>
        <v/>
      </c>
      <c r="R15" s="23"/>
      <c r="S15" s="45" t="str">
        <f t="shared" si="9"/>
        <v/>
      </c>
      <c r="T15" s="25"/>
      <c r="U15" s="45" t="str">
        <f t="shared" si="10"/>
        <v/>
      </c>
      <c r="V15" s="47"/>
      <c r="W15" s="22" t="str">
        <f t="shared" si="11"/>
        <v/>
      </c>
      <c r="X15" s="23"/>
      <c r="Y15" s="45" t="str">
        <f t="shared" si="12"/>
        <v/>
      </c>
      <c r="Z15" s="25"/>
      <c r="AA15" s="45" t="str">
        <f t="shared" si="13"/>
        <v/>
      </c>
      <c r="AB15" s="47"/>
      <c r="AC15" s="22" t="str">
        <f t="shared" si="14"/>
        <v/>
      </c>
      <c r="AD15" s="23"/>
      <c r="AE15" s="45" t="str">
        <f t="shared" si="15"/>
        <v/>
      </c>
      <c r="AF15" s="25"/>
      <c r="AG15" s="45" t="str">
        <f t="shared" si="16"/>
        <v/>
      </c>
      <c r="AH15" s="20">
        <v>0.0</v>
      </c>
      <c r="AI15" s="5"/>
      <c r="AJ15" s="22" t="str">
        <f t="shared" si="17"/>
        <v/>
      </c>
      <c r="AK15" s="22"/>
      <c r="AL15" s="23"/>
      <c r="AM15" s="45" t="str">
        <f t="shared" si="18"/>
        <v/>
      </c>
      <c r="AN15" s="25"/>
      <c r="AO15" s="45" t="str">
        <f t="shared" si="19"/>
        <v/>
      </c>
      <c r="AP15" s="29" t="str">
        <f t="shared" si="20"/>
        <v/>
      </c>
      <c r="AQ15" s="29">
        <f t="shared" si="21"/>
        <v>0</v>
      </c>
      <c r="AR15" s="29">
        <f t="shared" si="22"/>
        <v>0</v>
      </c>
      <c r="AS15" s="22" t="str">
        <f t="shared" si="23"/>
        <v/>
      </c>
      <c r="AT15" s="23"/>
      <c r="AU15" s="45" t="str">
        <f t="shared" si="24"/>
        <v/>
      </c>
      <c r="AV15" s="25"/>
      <c r="AW15" s="45" t="str">
        <f t="shared" si="25"/>
        <v/>
      </c>
      <c r="AX15" s="47"/>
      <c r="AY15" s="22" t="str">
        <f t="shared" si="26"/>
        <v/>
      </c>
      <c r="AZ15" s="23"/>
      <c r="BA15" s="45" t="str">
        <f t="shared" si="27"/>
        <v/>
      </c>
      <c r="BB15" s="25"/>
      <c r="BC15" s="45" t="str">
        <f t="shared" si="28"/>
        <v/>
      </c>
      <c r="BD15" s="47"/>
      <c r="BE15" s="22" t="str">
        <f t="shared" si="29"/>
        <v/>
      </c>
      <c r="BF15" s="23"/>
      <c r="BG15" s="45" t="str">
        <f t="shared" si="30"/>
        <v/>
      </c>
      <c r="BH15" s="25"/>
      <c r="BI15" s="45" t="str">
        <f t="shared" si="31"/>
        <v/>
      </c>
      <c r="BJ15" s="20">
        <v>0.0</v>
      </c>
      <c r="BK15" s="5"/>
      <c r="BL15" s="22" t="str">
        <f t="shared" si="32"/>
        <v/>
      </c>
      <c r="BM15" s="23"/>
      <c r="BN15" s="45" t="str">
        <f t="shared" si="33"/>
        <v/>
      </c>
      <c r="BO15" s="25"/>
      <c r="BP15" s="45" t="str">
        <f t="shared" si="34"/>
        <v/>
      </c>
      <c r="BQ15" s="29" t="str">
        <f t="shared" si="35"/>
        <v/>
      </c>
      <c r="BR15" s="29">
        <f t="shared" si="36"/>
        <v>0</v>
      </c>
      <c r="BS15" s="29">
        <f t="shared" si="37"/>
        <v>0</v>
      </c>
      <c r="BT15" s="22" t="str">
        <f t="shared" si="38"/>
        <v/>
      </c>
      <c r="BU15" s="23"/>
      <c r="BV15" s="45" t="str">
        <f t="shared" si="39"/>
        <v/>
      </c>
      <c r="BW15" s="25"/>
      <c r="BX15" s="45" t="str">
        <f t="shared" si="40"/>
        <v/>
      </c>
      <c r="BY15" s="47"/>
      <c r="BZ15" s="22" t="str">
        <f t="shared" si="41"/>
        <v/>
      </c>
      <c r="CA15" s="23"/>
      <c r="CB15" s="45" t="str">
        <f t="shared" si="42"/>
        <v/>
      </c>
      <c r="CC15" s="25"/>
      <c r="CD15" s="45" t="str">
        <f t="shared" si="43"/>
        <v/>
      </c>
      <c r="CE15" s="47"/>
      <c r="CF15" s="22" t="str">
        <f t="shared" si="44"/>
        <v/>
      </c>
      <c r="CG15" s="23"/>
      <c r="CH15" s="45" t="str">
        <f t="shared" si="45"/>
        <v/>
      </c>
      <c r="CI15" s="25"/>
      <c r="CJ15" s="45" t="str">
        <f t="shared" si="46"/>
        <v/>
      </c>
      <c r="CK15" s="20">
        <v>0.0</v>
      </c>
      <c r="CL15" s="5"/>
      <c r="CM15" s="5"/>
      <c r="CN15" s="5"/>
    </row>
    <row r="16">
      <c r="A16" s="20" t="str">
        <f t="shared" si="1"/>
        <v/>
      </c>
      <c r="B16" s="21"/>
      <c r="C16" s="22"/>
      <c r="D16" s="20"/>
      <c r="E16" s="20"/>
      <c r="F16" s="20"/>
      <c r="G16" s="55"/>
      <c r="H16" s="5"/>
      <c r="I16" s="22" t="str">
        <f t="shared" si="2"/>
        <v/>
      </c>
      <c r="J16" s="23"/>
      <c r="K16" s="45" t="str">
        <f t="shared" si="3"/>
        <v/>
      </c>
      <c r="L16" s="25"/>
      <c r="M16" s="45" t="str">
        <f t="shared" si="4"/>
        <v/>
      </c>
      <c r="N16" s="29" t="str">
        <f t="shared" si="5"/>
        <v/>
      </c>
      <c r="O16" s="29">
        <f t="shared" si="6"/>
        <v>0</v>
      </c>
      <c r="P16" s="29">
        <f t="shared" si="7"/>
        <v>0</v>
      </c>
      <c r="Q16" s="22" t="str">
        <f t="shared" si="8"/>
        <v/>
      </c>
      <c r="R16" s="23"/>
      <c r="S16" s="45" t="str">
        <f t="shared" si="9"/>
        <v/>
      </c>
      <c r="T16" s="25"/>
      <c r="U16" s="45" t="str">
        <f t="shared" si="10"/>
        <v/>
      </c>
      <c r="V16" s="47"/>
      <c r="W16" s="22" t="str">
        <f t="shared" si="11"/>
        <v/>
      </c>
      <c r="X16" s="23"/>
      <c r="Y16" s="45" t="str">
        <f t="shared" si="12"/>
        <v/>
      </c>
      <c r="Z16" s="25"/>
      <c r="AA16" s="45" t="str">
        <f t="shared" si="13"/>
        <v/>
      </c>
      <c r="AB16" s="47"/>
      <c r="AC16" s="22" t="str">
        <f t="shared" si="14"/>
        <v/>
      </c>
      <c r="AD16" s="23"/>
      <c r="AE16" s="45" t="str">
        <f t="shared" si="15"/>
        <v/>
      </c>
      <c r="AF16" s="25"/>
      <c r="AG16" s="45" t="str">
        <f t="shared" si="16"/>
        <v/>
      </c>
      <c r="AH16" s="20">
        <v>0.0</v>
      </c>
      <c r="AI16" s="5"/>
      <c r="AJ16" s="22" t="str">
        <f t="shared" si="17"/>
        <v/>
      </c>
      <c r="AK16" s="22"/>
      <c r="AL16" s="23"/>
      <c r="AM16" s="45" t="str">
        <f t="shared" si="18"/>
        <v/>
      </c>
      <c r="AN16" s="25"/>
      <c r="AO16" s="45" t="str">
        <f t="shared" si="19"/>
        <v/>
      </c>
      <c r="AP16" s="29" t="str">
        <f t="shared" si="20"/>
        <v/>
      </c>
      <c r="AQ16" s="29">
        <f t="shared" si="21"/>
        <v>0</v>
      </c>
      <c r="AR16" s="29">
        <f t="shared" si="22"/>
        <v>0</v>
      </c>
      <c r="AS16" s="22" t="str">
        <f t="shared" si="23"/>
        <v/>
      </c>
      <c r="AT16" s="23"/>
      <c r="AU16" s="45" t="str">
        <f t="shared" si="24"/>
        <v/>
      </c>
      <c r="AV16" s="25"/>
      <c r="AW16" s="45" t="str">
        <f t="shared" si="25"/>
        <v/>
      </c>
      <c r="AX16" s="47"/>
      <c r="AY16" s="22" t="str">
        <f t="shared" si="26"/>
        <v/>
      </c>
      <c r="AZ16" s="23"/>
      <c r="BA16" s="45" t="str">
        <f t="shared" si="27"/>
        <v/>
      </c>
      <c r="BB16" s="25"/>
      <c r="BC16" s="45" t="str">
        <f t="shared" si="28"/>
        <v/>
      </c>
      <c r="BD16" s="47"/>
      <c r="BE16" s="22" t="str">
        <f t="shared" si="29"/>
        <v/>
      </c>
      <c r="BF16" s="23"/>
      <c r="BG16" s="45" t="str">
        <f t="shared" si="30"/>
        <v/>
      </c>
      <c r="BH16" s="25"/>
      <c r="BI16" s="45" t="str">
        <f t="shared" si="31"/>
        <v/>
      </c>
      <c r="BJ16" s="20">
        <v>0.0</v>
      </c>
      <c r="BK16" s="5"/>
      <c r="BL16" s="22" t="str">
        <f t="shared" si="32"/>
        <v/>
      </c>
      <c r="BM16" s="23"/>
      <c r="BN16" s="45" t="str">
        <f t="shared" si="33"/>
        <v/>
      </c>
      <c r="BO16" s="25"/>
      <c r="BP16" s="45" t="str">
        <f t="shared" si="34"/>
        <v/>
      </c>
      <c r="BQ16" s="29" t="str">
        <f t="shared" si="35"/>
        <v/>
      </c>
      <c r="BR16" s="29">
        <f t="shared" si="36"/>
        <v>0</v>
      </c>
      <c r="BS16" s="29">
        <f t="shared" si="37"/>
        <v>0</v>
      </c>
      <c r="BT16" s="22" t="str">
        <f t="shared" si="38"/>
        <v/>
      </c>
      <c r="BU16" s="23"/>
      <c r="BV16" s="45" t="str">
        <f t="shared" si="39"/>
        <v/>
      </c>
      <c r="BW16" s="25"/>
      <c r="BX16" s="45" t="str">
        <f t="shared" si="40"/>
        <v/>
      </c>
      <c r="BY16" s="47"/>
      <c r="BZ16" s="22" t="str">
        <f t="shared" si="41"/>
        <v/>
      </c>
      <c r="CA16" s="23"/>
      <c r="CB16" s="45" t="str">
        <f t="shared" si="42"/>
        <v/>
      </c>
      <c r="CC16" s="25"/>
      <c r="CD16" s="45" t="str">
        <f t="shared" si="43"/>
        <v/>
      </c>
      <c r="CE16" s="47"/>
      <c r="CF16" s="22" t="str">
        <f t="shared" si="44"/>
        <v/>
      </c>
      <c r="CG16" s="23"/>
      <c r="CH16" s="45" t="str">
        <f t="shared" si="45"/>
        <v/>
      </c>
      <c r="CI16" s="25"/>
      <c r="CJ16" s="45" t="str">
        <f t="shared" si="46"/>
        <v/>
      </c>
      <c r="CK16" s="20">
        <v>0.0</v>
      </c>
      <c r="CL16" s="5"/>
      <c r="CM16" s="5"/>
      <c r="CN16" s="5"/>
    </row>
    <row r="17">
      <c r="A17" s="20" t="str">
        <f t="shared" si="1"/>
        <v/>
      </c>
      <c r="B17" s="21"/>
      <c r="C17" s="22"/>
      <c r="D17" s="20"/>
      <c r="E17" s="20"/>
      <c r="F17" s="20"/>
      <c r="G17" s="55"/>
      <c r="H17" s="5"/>
      <c r="I17" s="22" t="str">
        <f t="shared" si="2"/>
        <v/>
      </c>
      <c r="J17" s="23"/>
      <c r="K17" s="45" t="str">
        <f t="shared" si="3"/>
        <v/>
      </c>
      <c r="L17" s="25"/>
      <c r="M17" s="45" t="str">
        <f t="shared" si="4"/>
        <v/>
      </c>
      <c r="N17" s="29" t="str">
        <f t="shared" si="5"/>
        <v/>
      </c>
      <c r="O17" s="29">
        <f t="shared" si="6"/>
        <v>0</v>
      </c>
      <c r="P17" s="29">
        <f t="shared" si="7"/>
        <v>0</v>
      </c>
      <c r="Q17" s="22" t="str">
        <f t="shared" si="8"/>
        <v/>
      </c>
      <c r="R17" s="23"/>
      <c r="S17" s="45" t="str">
        <f t="shared" si="9"/>
        <v/>
      </c>
      <c r="T17" s="25"/>
      <c r="U17" s="45" t="str">
        <f t="shared" si="10"/>
        <v/>
      </c>
      <c r="V17" s="47"/>
      <c r="W17" s="22" t="str">
        <f t="shared" si="11"/>
        <v/>
      </c>
      <c r="X17" s="23"/>
      <c r="Y17" s="45" t="str">
        <f t="shared" si="12"/>
        <v/>
      </c>
      <c r="Z17" s="25"/>
      <c r="AA17" s="45" t="str">
        <f t="shared" si="13"/>
        <v/>
      </c>
      <c r="AB17" s="47"/>
      <c r="AC17" s="22" t="str">
        <f t="shared" si="14"/>
        <v/>
      </c>
      <c r="AD17" s="23"/>
      <c r="AE17" s="45" t="str">
        <f t="shared" si="15"/>
        <v/>
      </c>
      <c r="AF17" s="25"/>
      <c r="AG17" s="45" t="str">
        <f t="shared" si="16"/>
        <v/>
      </c>
      <c r="AH17" s="20">
        <v>0.0</v>
      </c>
      <c r="AI17" s="5"/>
      <c r="AJ17" s="22" t="str">
        <f t="shared" si="17"/>
        <v/>
      </c>
      <c r="AK17" s="22"/>
      <c r="AL17" s="23"/>
      <c r="AM17" s="45" t="str">
        <f t="shared" si="18"/>
        <v/>
      </c>
      <c r="AN17" s="25"/>
      <c r="AO17" s="45" t="str">
        <f t="shared" si="19"/>
        <v/>
      </c>
      <c r="AP17" s="29" t="str">
        <f t="shared" si="20"/>
        <v/>
      </c>
      <c r="AQ17" s="29">
        <f t="shared" si="21"/>
        <v>0</v>
      </c>
      <c r="AR17" s="29">
        <f t="shared" si="22"/>
        <v>0</v>
      </c>
      <c r="AS17" s="22" t="str">
        <f t="shared" si="23"/>
        <v/>
      </c>
      <c r="AT17" s="23"/>
      <c r="AU17" s="45" t="str">
        <f t="shared" si="24"/>
        <v/>
      </c>
      <c r="AV17" s="25"/>
      <c r="AW17" s="45" t="str">
        <f t="shared" si="25"/>
        <v/>
      </c>
      <c r="AX17" s="47"/>
      <c r="AY17" s="22" t="str">
        <f t="shared" si="26"/>
        <v/>
      </c>
      <c r="AZ17" s="23"/>
      <c r="BA17" s="45" t="str">
        <f t="shared" si="27"/>
        <v/>
      </c>
      <c r="BB17" s="25"/>
      <c r="BC17" s="45" t="str">
        <f t="shared" si="28"/>
        <v/>
      </c>
      <c r="BD17" s="47"/>
      <c r="BE17" s="22" t="str">
        <f t="shared" si="29"/>
        <v/>
      </c>
      <c r="BF17" s="23"/>
      <c r="BG17" s="45" t="str">
        <f t="shared" si="30"/>
        <v/>
      </c>
      <c r="BH17" s="25"/>
      <c r="BI17" s="45" t="str">
        <f t="shared" si="31"/>
        <v/>
      </c>
      <c r="BJ17" s="20">
        <v>0.0</v>
      </c>
      <c r="BK17" s="5"/>
      <c r="BL17" s="22" t="str">
        <f t="shared" si="32"/>
        <v/>
      </c>
      <c r="BM17" s="23"/>
      <c r="BN17" s="45" t="str">
        <f t="shared" si="33"/>
        <v/>
      </c>
      <c r="BO17" s="25"/>
      <c r="BP17" s="45" t="str">
        <f t="shared" si="34"/>
        <v/>
      </c>
      <c r="BQ17" s="29" t="str">
        <f t="shared" si="35"/>
        <v/>
      </c>
      <c r="BR17" s="29">
        <f t="shared" si="36"/>
        <v>0</v>
      </c>
      <c r="BS17" s="29">
        <f t="shared" si="37"/>
        <v>0</v>
      </c>
      <c r="BT17" s="22" t="str">
        <f t="shared" si="38"/>
        <v/>
      </c>
      <c r="BU17" s="23"/>
      <c r="BV17" s="45" t="str">
        <f t="shared" si="39"/>
        <v/>
      </c>
      <c r="BW17" s="25"/>
      <c r="BX17" s="45" t="str">
        <f t="shared" si="40"/>
        <v/>
      </c>
      <c r="BY17" s="47"/>
      <c r="BZ17" s="22" t="str">
        <f t="shared" si="41"/>
        <v/>
      </c>
      <c r="CA17" s="23"/>
      <c r="CB17" s="45" t="str">
        <f t="shared" si="42"/>
        <v/>
      </c>
      <c r="CC17" s="25"/>
      <c r="CD17" s="45" t="str">
        <f t="shared" si="43"/>
        <v/>
      </c>
      <c r="CE17" s="47"/>
      <c r="CF17" s="22" t="str">
        <f t="shared" si="44"/>
        <v/>
      </c>
      <c r="CG17" s="23"/>
      <c r="CH17" s="45" t="str">
        <f t="shared" si="45"/>
        <v/>
      </c>
      <c r="CI17" s="25"/>
      <c r="CJ17" s="45" t="str">
        <f t="shared" si="46"/>
        <v/>
      </c>
      <c r="CK17" s="20">
        <v>0.0</v>
      </c>
      <c r="CL17" s="5"/>
      <c r="CM17" s="5"/>
      <c r="CN17" s="5"/>
    </row>
    <row r="18">
      <c r="A18" s="20" t="str">
        <f t="shared" si="1"/>
        <v/>
      </c>
      <c r="B18" s="21"/>
      <c r="C18" s="22"/>
      <c r="D18" s="20"/>
      <c r="E18" s="20"/>
      <c r="F18" s="20"/>
      <c r="G18" s="55"/>
      <c r="H18" s="5"/>
      <c r="I18" s="22" t="str">
        <f t="shared" si="2"/>
        <v/>
      </c>
      <c r="J18" s="23"/>
      <c r="K18" s="45" t="str">
        <f t="shared" si="3"/>
        <v/>
      </c>
      <c r="L18" s="25"/>
      <c r="M18" s="45" t="str">
        <f t="shared" si="4"/>
        <v/>
      </c>
      <c r="N18" s="29" t="str">
        <f t="shared" si="5"/>
        <v/>
      </c>
      <c r="O18" s="29">
        <f t="shared" si="6"/>
        <v>0</v>
      </c>
      <c r="P18" s="29">
        <f t="shared" si="7"/>
        <v>0</v>
      </c>
      <c r="Q18" s="22" t="str">
        <f t="shared" si="8"/>
        <v/>
      </c>
      <c r="R18" s="23"/>
      <c r="S18" s="45" t="str">
        <f t="shared" si="9"/>
        <v/>
      </c>
      <c r="T18" s="25"/>
      <c r="U18" s="45" t="str">
        <f t="shared" si="10"/>
        <v/>
      </c>
      <c r="V18" s="47"/>
      <c r="W18" s="22" t="str">
        <f t="shared" si="11"/>
        <v/>
      </c>
      <c r="X18" s="23"/>
      <c r="Y18" s="45" t="str">
        <f t="shared" si="12"/>
        <v/>
      </c>
      <c r="Z18" s="25"/>
      <c r="AA18" s="45" t="str">
        <f t="shared" si="13"/>
        <v/>
      </c>
      <c r="AB18" s="47"/>
      <c r="AC18" s="22" t="str">
        <f t="shared" si="14"/>
        <v/>
      </c>
      <c r="AD18" s="23"/>
      <c r="AE18" s="45" t="str">
        <f t="shared" si="15"/>
        <v/>
      </c>
      <c r="AF18" s="25"/>
      <c r="AG18" s="45" t="str">
        <f t="shared" si="16"/>
        <v/>
      </c>
      <c r="AH18" s="20">
        <v>0.0</v>
      </c>
      <c r="AI18" s="5"/>
      <c r="AJ18" s="22" t="str">
        <f t="shared" si="17"/>
        <v/>
      </c>
      <c r="AK18" s="22"/>
      <c r="AL18" s="23"/>
      <c r="AM18" s="45" t="str">
        <f t="shared" si="18"/>
        <v/>
      </c>
      <c r="AN18" s="25"/>
      <c r="AO18" s="45" t="str">
        <f t="shared" si="19"/>
        <v/>
      </c>
      <c r="AP18" s="29" t="str">
        <f t="shared" si="20"/>
        <v/>
      </c>
      <c r="AQ18" s="29">
        <f t="shared" si="21"/>
        <v>0</v>
      </c>
      <c r="AR18" s="29">
        <f t="shared" si="22"/>
        <v>0</v>
      </c>
      <c r="AS18" s="22" t="str">
        <f t="shared" si="23"/>
        <v/>
      </c>
      <c r="AT18" s="23"/>
      <c r="AU18" s="45" t="str">
        <f t="shared" si="24"/>
        <v/>
      </c>
      <c r="AV18" s="25"/>
      <c r="AW18" s="45" t="str">
        <f t="shared" si="25"/>
        <v/>
      </c>
      <c r="AX18" s="47"/>
      <c r="AY18" s="22" t="str">
        <f t="shared" si="26"/>
        <v/>
      </c>
      <c r="AZ18" s="23"/>
      <c r="BA18" s="45" t="str">
        <f t="shared" si="27"/>
        <v/>
      </c>
      <c r="BB18" s="25"/>
      <c r="BC18" s="45" t="str">
        <f t="shared" si="28"/>
        <v/>
      </c>
      <c r="BD18" s="47"/>
      <c r="BE18" s="22" t="str">
        <f t="shared" si="29"/>
        <v/>
      </c>
      <c r="BF18" s="23"/>
      <c r="BG18" s="45" t="str">
        <f t="shared" si="30"/>
        <v/>
      </c>
      <c r="BH18" s="25"/>
      <c r="BI18" s="45" t="str">
        <f t="shared" si="31"/>
        <v/>
      </c>
      <c r="BJ18" s="20">
        <v>0.0</v>
      </c>
      <c r="BK18" s="5"/>
      <c r="BL18" s="22" t="str">
        <f t="shared" si="32"/>
        <v/>
      </c>
      <c r="BM18" s="23"/>
      <c r="BN18" s="45" t="str">
        <f t="shared" si="33"/>
        <v/>
      </c>
      <c r="BO18" s="25"/>
      <c r="BP18" s="45" t="str">
        <f t="shared" si="34"/>
        <v/>
      </c>
      <c r="BQ18" s="29" t="str">
        <f t="shared" si="35"/>
        <v/>
      </c>
      <c r="BR18" s="29">
        <f t="shared" si="36"/>
        <v>0</v>
      </c>
      <c r="BS18" s="29">
        <f t="shared" si="37"/>
        <v>0</v>
      </c>
      <c r="BT18" s="22" t="str">
        <f t="shared" si="38"/>
        <v/>
      </c>
      <c r="BU18" s="23"/>
      <c r="BV18" s="45" t="str">
        <f t="shared" si="39"/>
        <v/>
      </c>
      <c r="BW18" s="25"/>
      <c r="BX18" s="45" t="str">
        <f t="shared" si="40"/>
        <v/>
      </c>
      <c r="BY18" s="47"/>
      <c r="BZ18" s="22" t="str">
        <f t="shared" si="41"/>
        <v/>
      </c>
      <c r="CA18" s="23"/>
      <c r="CB18" s="45" t="str">
        <f t="shared" si="42"/>
        <v/>
      </c>
      <c r="CC18" s="25"/>
      <c r="CD18" s="45" t="str">
        <f t="shared" si="43"/>
        <v/>
      </c>
      <c r="CE18" s="47"/>
      <c r="CF18" s="22" t="str">
        <f t="shared" si="44"/>
        <v/>
      </c>
      <c r="CG18" s="23"/>
      <c r="CH18" s="45" t="str">
        <f t="shared" si="45"/>
        <v/>
      </c>
      <c r="CI18" s="25"/>
      <c r="CJ18" s="45" t="str">
        <f t="shared" si="46"/>
        <v/>
      </c>
      <c r="CK18" s="20">
        <v>0.0</v>
      </c>
      <c r="CL18" s="5"/>
      <c r="CM18" s="5"/>
      <c r="CN18" s="5"/>
    </row>
    <row r="19">
      <c r="A19" s="20" t="str">
        <f t="shared" si="1"/>
        <v/>
      </c>
      <c r="B19" s="21"/>
      <c r="C19" s="22"/>
      <c r="D19" s="20"/>
      <c r="E19" s="20"/>
      <c r="F19" s="20"/>
      <c r="G19" s="55"/>
      <c r="H19" s="5"/>
      <c r="I19" s="22" t="str">
        <f t="shared" si="2"/>
        <v/>
      </c>
      <c r="J19" s="23"/>
      <c r="K19" s="45" t="str">
        <f t="shared" si="3"/>
        <v/>
      </c>
      <c r="L19" s="25"/>
      <c r="M19" s="45" t="str">
        <f t="shared" si="4"/>
        <v/>
      </c>
      <c r="N19" s="29" t="str">
        <f t="shared" si="5"/>
        <v/>
      </c>
      <c r="O19" s="29">
        <f t="shared" si="6"/>
        <v>0</v>
      </c>
      <c r="P19" s="29">
        <f t="shared" si="7"/>
        <v>0</v>
      </c>
      <c r="Q19" s="22" t="str">
        <f t="shared" si="8"/>
        <v/>
      </c>
      <c r="R19" s="23"/>
      <c r="S19" s="45" t="str">
        <f t="shared" si="9"/>
        <v/>
      </c>
      <c r="T19" s="25"/>
      <c r="U19" s="45" t="str">
        <f t="shared" si="10"/>
        <v/>
      </c>
      <c r="V19" s="47"/>
      <c r="W19" s="22" t="str">
        <f t="shared" si="11"/>
        <v/>
      </c>
      <c r="X19" s="23"/>
      <c r="Y19" s="45" t="str">
        <f t="shared" si="12"/>
        <v/>
      </c>
      <c r="Z19" s="25"/>
      <c r="AA19" s="45" t="str">
        <f t="shared" si="13"/>
        <v/>
      </c>
      <c r="AB19" s="47"/>
      <c r="AC19" s="22" t="str">
        <f t="shared" si="14"/>
        <v/>
      </c>
      <c r="AD19" s="23"/>
      <c r="AE19" s="45" t="str">
        <f t="shared" si="15"/>
        <v/>
      </c>
      <c r="AF19" s="25"/>
      <c r="AG19" s="45" t="str">
        <f t="shared" si="16"/>
        <v/>
      </c>
      <c r="AH19" s="20">
        <v>0.0</v>
      </c>
      <c r="AI19" s="5"/>
      <c r="AJ19" s="22" t="str">
        <f t="shared" si="17"/>
        <v/>
      </c>
      <c r="AK19" s="22"/>
      <c r="AL19" s="23"/>
      <c r="AM19" s="45" t="str">
        <f t="shared" si="18"/>
        <v/>
      </c>
      <c r="AN19" s="25"/>
      <c r="AO19" s="45" t="str">
        <f t="shared" si="19"/>
        <v/>
      </c>
      <c r="AP19" s="29" t="str">
        <f t="shared" si="20"/>
        <v/>
      </c>
      <c r="AQ19" s="29">
        <f t="shared" si="21"/>
        <v>0</v>
      </c>
      <c r="AR19" s="29">
        <f t="shared" si="22"/>
        <v>0</v>
      </c>
      <c r="AS19" s="22" t="str">
        <f t="shared" si="23"/>
        <v/>
      </c>
      <c r="AT19" s="23"/>
      <c r="AU19" s="45" t="str">
        <f t="shared" si="24"/>
        <v/>
      </c>
      <c r="AV19" s="25"/>
      <c r="AW19" s="45" t="str">
        <f t="shared" si="25"/>
        <v/>
      </c>
      <c r="AX19" s="47"/>
      <c r="AY19" s="22" t="str">
        <f t="shared" si="26"/>
        <v/>
      </c>
      <c r="AZ19" s="23"/>
      <c r="BA19" s="45" t="str">
        <f t="shared" si="27"/>
        <v/>
      </c>
      <c r="BB19" s="25"/>
      <c r="BC19" s="45" t="str">
        <f t="shared" si="28"/>
        <v/>
      </c>
      <c r="BD19" s="47"/>
      <c r="BE19" s="22" t="str">
        <f t="shared" si="29"/>
        <v/>
      </c>
      <c r="BF19" s="23"/>
      <c r="BG19" s="45" t="str">
        <f t="shared" si="30"/>
        <v/>
      </c>
      <c r="BH19" s="25"/>
      <c r="BI19" s="45" t="str">
        <f t="shared" si="31"/>
        <v/>
      </c>
      <c r="BJ19" s="20">
        <v>0.0</v>
      </c>
      <c r="BK19" s="5"/>
      <c r="BL19" s="22" t="str">
        <f t="shared" si="32"/>
        <v/>
      </c>
      <c r="BM19" s="23"/>
      <c r="BN19" s="45" t="str">
        <f t="shared" si="33"/>
        <v/>
      </c>
      <c r="BO19" s="25"/>
      <c r="BP19" s="45" t="str">
        <f t="shared" si="34"/>
        <v/>
      </c>
      <c r="BQ19" s="29" t="str">
        <f t="shared" si="35"/>
        <v/>
      </c>
      <c r="BR19" s="29">
        <f t="shared" si="36"/>
        <v>0</v>
      </c>
      <c r="BS19" s="29">
        <f t="shared" si="37"/>
        <v>0</v>
      </c>
      <c r="BT19" s="22" t="str">
        <f t="shared" si="38"/>
        <v/>
      </c>
      <c r="BU19" s="23"/>
      <c r="BV19" s="45" t="str">
        <f t="shared" si="39"/>
        <v/>
      </c>
      <c r="BW19" s="25"/>
      <c r="BX19" s="45" t="str">
        <f t="shared" si="40"/>
        <v/>
      </c>
      <c r="BY19" s="47"/>
      <c r="BZ19" s="22" t="str">
        <f t="shared" si="41"/>
        <v/>
      </c>
      <c r="CA19" s="23"/>
      <c r="CB19" s="45" t="str">
        <f t="shared" si="42"/>
        <v/>
      </c>
      <c r="CC19" s="25"/>
      <c r="CD19" s="45" t="str">
        <f t="shared" si="43"/>
        <v/>
      </c>
      <c r="CE19" s="47"/>
      <c r="CF19" s="22" t="str">
        <f t="shared" si="44"/>
        <v/>
      </c>
      <c r="CG19" s="23"/>
      <c r="CH19" s="45" t="str">
        <f t="shared" si="45"/>
        <v/>
      </c>
      <c r="CI19" s="25"/>
      <c r="CJ19" s="45" t="str">
        <f t="shared" si="46"/>
        <v/>
      </c>
      <c r="CK19" s="20">
        <v>0.0</v>
      </c>
      <c r="CL19" s="5"/>
      <c r="CM19" s="5"/>
      <c r="CN19" s="5"/>
    </row>
    <row r="20">
      <c r="A20" s="20" t="str">
        <f t="shared" si="1"/>
        <v/>
      </c>
      <c r="B20" s="21"/>
      <c r="C20" s="22"/>
      <c r="D20" s="20"/>
      <c r="E20" s="20"/>
      <c r="F20" s="20"/>
      <c r="G20" s="55"/>
      <c r="H20" s="5"/>
      <c r="I20" s="22" t="str">
        <f t="shared" si="2"/>
        <v/>
      </c>
      <c r="J20" s="23"/>
      <c r="K20" s="45" t="str">
        <f t="shared" si="3"/>
        <v/>
      </c>
      <c r="L20" s="25"/>
      <c r="M20" s="45" t="str">
        <f t="shared" si="4"/>
        <v/>
      </c>
      <c r="N20" s="29" t="str">
        <f t="shared" si="5"/>
        <v/>
      </c>
      <c r="O20" s="29">
        <f t="shared" si="6"/>
        <v>0</v>
      </c>
      <c r="P20" s="29">
        <f t="shared" si="7"/>
        <v>0</v>
      </c>
      <c r="Q20" s="22" t="str">
        <f t="shared" si="8"/>
        <v/>
      </c>
      <c r="R20" s="23"/>
      <c r="S20" s="45" t="str">
        <f t="shared" si="9"/>
        <v/>
      </c>
      <c r="T20" s="25"/>
      <c r="U20" s="45" t="str">
        <f t="shared" si="10"/>
        <v/>
      </c>
      <c r="V20" s="47"/>
      <c r="W20" s="22" t="str">
        <f t="shared" si="11"/>
        <v/>
      </c>
      <c r="X20" s="23"/>
      <c r="Y20" s="45" t="str">
        <f t="shared" si="12"/>
        <v/>
      </c>
      <c r="Z20" s="25"/>
      <c r="AA20" s="45" t="str">
        <f t="shared" si="13"/>
        <v/>
      </c>
      <c r="AB20" s="47"/>
      <c r="AC20" s="22" t="str">
        <f t="shared" si="14"/>
        <v/>
      </c>
      <c r="AD20" s="23"/>
      <c r="AE20" s="45" t="str">
        <f t="shared" si="15"/>
        <v/>
      </c>
      <c r="AF20" s="25"/>
      <c r="AG20" s="45" t="str">
        <f t="shared" si="16"/>
        <v/>
      </c>
      <c r="AH20" s="20">
        <v>0.0</v>
      </c>
      <c r="AI20" s="5"/>
      <c r="AJ20" s="22" t="str">
        <f t="shared" si="17"/>
        <v/>
      </c>
      <c r="AK20" s="22"/>
      <c r="AL20" s="23"/>
      <c r="AM20" s="45" t="str">
        <f t="shared" si="18"/>
        <v/>
      </c>
      <c r="AN20" s="25"/>
      <c r="AO20" s="45" t="str">
        <f t="shared" si="19"/>
        <v/>
      </c>
      <c r="AP20" s="29" t="str">
        <f t="shared" si="20"/>
        <v/>
      </c>
      <c r="AQ20" s="29">
        <f t="shared" si="21"/>
        <v>0</v>
      </c>
      <c r="AR20" s="29">
        <f t="shared" si="22"/>
        <v>0</v>
      </c>
      <c r="AS20" s="22" t="str">
        <f t="shared" si="23"/>
        <v/>
      </c>
      <c r="AT20" s="23"/>
      <c r="AU20" s="45" t="str">
        <f t="shared" si="24"/>
        <v/>
      </c>
      <c r="AV20" s="25"/>
      <c r="AW20" s="45" t="str">
        <f t="shared" si="25"/>
        <v/>
      </c>
      <c r="AX20" s="47"/>
      <c r="AY20" s="22" t="str">
        <f t="shared" si="26"/>
        <v/>
      </c>
      <c r="AZ20" s="23"/>
      <c r="BA20" s="45" t="str">
        <f t="shared" si="27"/>
        <v/>
      </c>
      <c r="BB20" s="25"/>
      <c r="BC20" s="45" t="str">
        <f t="shared" si="28"/>
        <v/>
      </c>
      <c r="BD20" s="47"/>
      <c r="BE20" s="22" t="str">
        <f t="shared" si="29"/>
        <v/>
      </c>
      <c r="BF20" s="23"/>
      <c r="BG20" s="45" t="str">
        <f t="shared" si="30"/>
        <v/>
      </c>
      <c r="BH20" s="25"/>
      <c r="BI20" s="45" t="str">
        <f t="shared" si="31"/>
        <v/>
      </c>
      <c r="BJ20" s="20">
        <v>0.0</v>
      </c>
      <c r="BK20" s="5"/>
      <c r="BL20" s="22" t="str">
        <f t="shared" si="32"/>
        <v/>
      </c>
      <c r="BM20" s="23"/>
      <c r="BN20" s="45" t="str">
        <f t="shared" si="33"/>
        <v/>
      </c>
      <c r="BO20" s="25"/>
      <c r="BP20" s="45" t="str">
        <f t="shared" si="34"/>
        <v/>
      </c>
      <c r="BQ20" s="29" t="str">
        <f t="shared" si="35"/>
        <v/>
      </c>
      <c r="BR20" s="29">
        <f t="shared" si="36"/>
        <v>0</v>
      </c>
      <c r="BS20" s="29">
        <f t="shared" si="37"/>
        <v>0</v>
      </c>
      <c r="BT20" s="22" t="str">
        <f t="shared" si="38"/>
        <v/>
      </c>
      <c r="BU20" s="23"/>
      <c r="BV20" s="45" t="str">
        <f t="shared" si="39"/>
        <v/>
      </c>
      <c r="BW20" s="25"/>
      <c r="BX20" s="45" t="str">
        <f t="shared" si="40"/>
        <v/>
      </c>
      <c r="BY20" s="47"/>
      <c r="BZ20" s="22" t="str">
        <f t="shared" si="41"/>
        <v/>
      </c>
      <c r="CA20" s="23"/>
      <c r="CB20" s="45" t="str">
        <f t="shared" si="42"/>
        <v/>
      </c>
      <c r="CC20" s="25"/>
      <c r="CD20" s="45" t="str">
        <f t="shared" si="43"/>
        <v/>
      </c>
      <c r="CE20" s="47"/>
      <c r="CF20" s="22" t="str">
        <f t="shared" si="44"/>
        <v/>
      </c>
      <c r="CG20" s="23"/>
      <c r="CH20" s="45" t="str">
        <f t="shared" si="45"/>
        <v/>
      </c>
      <c r="CI20" s="25"/>
      <c r="CJ20" s="45" t="str">
        <f t="shared" si="46"/>
        <v/>
      </c>
      <c r="CK20" s="20">
        <v>0.0</v>
      </c>
      <c r="CL20" s="5"/>
      <c r="CM20" s="5"/>
      <c r="CN20" s="5"/>
    </row>
    <row r="21">
      <c r="A21" s="20" t="str">
        <f t="shared" si="1"/>
        <v/>
      </c>
      <c r="B21" s="21"/>
      <c r="C21" s="22"/>
      <c r="D21" s="20"/>
      <c r="E21" s="20"/>
      <c r="F21" s="20"/>
      <c r="G21" s="55"/>
      <c r="H21" s="5"/>
      <c r="I21" s="22" t="str">
        <f t="shared" si="2"/>
        <v/>
      </c>
      <c r="J21" s="23"/>
      <c r="K21" s="45" t="str">
        <f t="shared" si="3"/>
        <v/>
      </c>
      <c r="L21" s="25"/>
      <c r="M21" s="45" t="str">
        <f t="shared" si="4"/>
        <v/>
      </c>
      <c r="N21" s="29" t="str">
        <f t="shared" si="5"/>
        <v/>
      </c>
      <c r="O21" s="29">
        <f t="shared" si="6"/>
        <v>0</v>
      </c>
      <c r="P21" s="29">
        <f t="shared" si="7"/>
        <v>0</v>
      </c>
      <c r="Q21" s="22" t="str">
        <f t="shared" si="8"/>
        <v/>
      </c>
      <c r="R21" s="23"/>
      <c r="S21" s="45" t="str">
        <f t="shared" si="9"/>
        <v/>
      </c>
      <c r="T21" s="25"/>
      <c r="U21" s="45" t="str">
        <f t="shared" si="10"/>
        <v/>
      </c>
      <c r="V21" s="47"/>
      <c r="W21" s="22" t="str">
        <f t="shared" si="11"/>
        <v/>
      </c>
      <c r="X21" s="23"/>
      <c r="Y21" s="45" t="str">
        <f t="shared" si="12"/>
        <v/>
      </c>
      <c r="Z21" s="25"/>
      <c r="AA21" s="45" t="str">
        <f t="shared" si="13"/>
        <v/>
      </c>
      <c r="AB21" s="47"/>
      <c r="AC21" s="22" t="str">
        <f t="shared" si="14"/>
        <v/>
      </c>
      <c r="AD21" s="23"/>
      <c r="AE21" s="45" t="str">
        <f t="shared" si="15"/>
        <v/>
      </c>
      <c r="AF21" s="25"/>
      <c r="AG21" s="45" t="str">
        <f t="shared" si="16"/>
        <v/>
      </c>
      <c r="AH21" s="20">
        <v>0.0</v>
      </c>
      <c r="AI21" s="5"/>
      <c r="AJ21" s="22" t="str">
        <f t="shared" si="17"/>
        <v/>
      </c>
      <c r="AK21" s="22"/>
      <c r="AL21" s="23"/>
      <c r="AM21" s="45" t="str">
        <f t="shared" si="18"/>
        <v/>
      </c>
      <c r="AN21" s="25"/>
      <c r="AO21" s="45" t="str">
        <f t="shared" si="19"/>
        <v/>
      </c>
      <c r="AP21" s="29" t="str">
        <f t="shared" si="20"/>
        <v/>
      </c>
      <c r="AQ21" s="29">
        <f t="shared" si="21"/>
        <v>0</v>
      </c>
      <c r="AR21" s="29">
        <f t="shared" si="22"/>
        <v>0</v>
      </c>
      <c r="AS21" s="22" t="str">
        <f t="shared" si="23"/>
        <v/>
      </c>
      <c r="AT21" s="23"/>
      <c r="AU21" s="45" t="str">
        <f t="shared" si="24"/>
        <v/>
      </c>
      <c r="AV21" s="25"/>
      <c r="AW21" s="45" t="str">
        <f t="shared" si="25"/>
        <v/>
      </c>
      <c r="AX21" s="47"/>
      <c r="AY21" s="22" t="str">
        <f t="shared" si="26"/>
        <v/>
      </c>
      <c r="AZ21" s="23"/>
      <c r="BA21" s="45" t="str">
        <f t="shared" si="27"/>
        <v/>
      </c>
      <c r="BB21" s="25"/>
      <c r="BC21" s="45" t="str">
        <f t="shared" si="28"/>
        <v/>
      </c>
      <c r="BD21" s="47"/>
      <c r="BE21" s="22" t="str">
        <f t="shared" si="29"/>
        <v/>
      </c>
      <c r="BF21" s="23"/>
      <c r="BG21" s="45" t="str">
        <f t="shared" si="30"/>
        <v/>
      </c>
      <c r="BH21" s="25"/>
      <c r="BI21" s="45" t="str">
        <f t="shared" si="31"/>
        <v/>
      </c>
      <c r="BJ21" s="20">
        <v>0.0</v>
      </c>
      <c r="BK21" s="5"/>
      <c r="BL21" s="22" t="str">
        <f t="shared" si="32"/>
        <v/>
      </c>
      <c r="BM21" s="23"/>
      <c r="BN21" s="45" t="str">
        <f t="shared" si="33"/>
        <v/>
      </c>
      <c r="BO21" s="25"/>
      <c r="BP21" s="45" t="str">
        <f t="shared" si="34"/>
        <v/>
      </c>
      <c r="BQ21" s="29" t="str">
        <f t="shared" si="35"/>
        <v/>
      </c>
      <c r="BR21" s="29">
        <f t="shared" si="36"/>
        <v>0</v>
      </c>
      <c r="BS21" s="29">
        <f t="shared" si="37"/>
        <v>0</v>
      </c>
      <c r="BT21" s="22" t="str">
        <f t="shared" si="38"/>
        <v/>
      </c>
      <c r="BU21" s="23"/>
      <c r="BV21" s="45" t="str">
        <f t="shared" si="39"/>
        <v/>
      </c>
      <c r="BW21" s="25"/>
      <c r="BX21" s="45" t="str">
        <f t="shared" si="40"/>
        <v/>
      </c>
      <c r="BY21" s="47"/>
      <c r="BZ21" s="22" t="str">
        <f t="shared" si="41"/>
        <v/>
      </c>
      <c r="CA21" s="23"/>
      <c r="CB21" s="45" t="str">
        <f t="shared" si="42"/>
        <v/>
      </c>
      <c r="CC21" s="25"/>
      <c r="CD21" s="45" t="str">
        <f t="shared" si="43"/>
        <v/>
      </c>
      <c r="CE21" s="47"/>
      <c r="CF21" s="22" t="str">
        <f t="shared" si="44"/>
        <v/>
      </c>
      <c r="CG21" s="23"/>
      <c r="CH21" s="45" t="str">
        <f t="shared" si="45"/>
        <v/>
      </c>
      <c r="CI21" s="25"/>
      <c r="CJ21" s="45" t="str">
        <f t="shared" si="46"/>
        <v/>
      </c>
      <c r="CK21" s="20">
        <v>0.0</v>
      </c>
      <c r="CL21" s="5"/>
      <c r="CM21" s="5"/>
      <c r="CN21" s="5"/>
    </row>
    <row r="22">
      <c r="A22" s="20" t="str">
        <f t="shared" si="1"/>
        <v/>
      </c>
      <c r="B22" s="21"/>
      <c r="C22" s="22"/>
      <c r="D22" s="20"/>
      <c r="E22" s="20"/>
      <c r="F22" s="20"/>
      <c r="G22" s="55"/>
      <c r="H22" s="5"/>
      <c r="I22" s="22" t="str">
        <f t="shared" si="2"/>
        <v/>
      </c>
      <c r="J22" s="23"/>
      <c r="K22" s="45" t="str">
        <f t="shared" si="3"/>
        <v/>
      </c>
      <c r="L22" s="25"/>
      <c r="M22" s="45" t="str">
        <f t="shared" si="4"/>
        <v/>
      </c>
      <c r="N22" s="29" t="str">
        <f t="shared" si="5"/>
        <v/>
      </c>
      <c r="O22" s="29">
        <f t="shared" si="6"/>
        <v>0</v>
      </c>
      <c r="P22" s="29">
        <f t="shared" si="7"/>
        <v>0</v>
      </c>
      <c r="Q22" s="22" t="str">
        <f t="shared" si="8"/>
        <v/>
      </c>
      <c r="R22" s="23"/>
      <c r="S22" s="45" t="str">
        <f t="shared" si="9"/>
        <v/>
      </c>
      <c r="T22" s="25"/>
      <c r="U22" s="45" t="str">
        <f t="shared" si="10"/>
        <v/>
      </c>
      <c r="V22" s="47"/>
      <c r="W22" s="22" t="str">
        <f t="shared" si="11"/>
        <v/>
      </c>
      <c r="X22" s="23"/>
      <c r="Y22" s="45" t="str">
        <f t="shared" si="12"/>
        <v/>
      </c>
      <c r="Z22" s="25"/>
      <c r="AA22" s="45" t="str">
        <f t="shared" si="13"/>
        <v/>
      </c>
      <c r="AB22" s="47"/>
      <c r="AC22" s="22" t="str">
        <f t="shared" si="14"/>
        <v/>
      </c>
      <c r="AD22" s="23"/>
      <c r="AE22" s="45" t="str">
        <f t="shared" si="15"/>
        <v/>
      </c>
      <c r="AF22" s="25"/>
      <c r="AG22" s="45" t="str">
        <f t="shared" si="16"/>
        <v/>
      </c>
      <c r="AH22" s="20">
        <v>0.0</v>
      </c>
      <c r="AI22" s="5"/>
      <c r="AJ22" s="22" t="str">
        <f t="shared" si="17"/>
        <v/>
      </c>
      <c r="AK22" s="22"/>
      <c r="AL22" s="23"/>
      <c r="AM22" s="45" t="str">
        <f t="shared" si="18"/>
        <v/>
      </c>
      <c r="AN22" s="25"/>
      <c r="AO22" s="45" t="str">
        <f t="shared" si="19"/>
        <v/>
      </c>
      <c r="AP22" s="29" t="str">
        <f t="shared" si="20"/>
        <v/>
      </c>
      <c r="AQ22" s="29">
        <f t="shared" si="21"/>
        <v>0</v>
      </c>
      <c r="AR22" s="29">
        <f t="shared" si="22"/>
        <v>0</v>
      </c>
      <c r="AS22" s="22" t="str">
        <f t="shared" si="23"/>
        <v/>
      </c>
      <c r="AT22" s="23"/>
      <c r="AU22" s="45" t="str">
        <f t="shared" si="24"/>
        <v/>
      </c>
      <c r="AV22" s="25"/>
      <c r="AW22" s="45" t="str">
        <f t="shared" si="25"/>
        <v/>
      </c>
      <c r="AX22" s="47"/>
      <c r="AY22" s="22" t="str">
        <f t="shared" si="26"/>
        <v/>
      </c>
      <c r="AZ22" s="23"/>
      <c r="BA22" s="45" t="str">
        <f t="shared" si="27"/>
        <v/>
      </c>
      <c r="BB22" s="25"/>
      <c r="BC22" s="45" t="str">
        <f t="shared" si="28"/>
        <v/>
      </c>
      <c r="BD22" s="47"/>
      <c r="BE22" s="22" t="str">
        <f t="shared" si="29"/>
        <v/>
      </c>
      <c r="BF22" s="23"/>
      <c r="BG22" s="45" t="str">
        <f t="shared" si="30"/>
        <v/>
      </c>
      <c r="BH22" s="25"/>
      <c r="BI22" s="45" t="str">
        <f t="shared" si="31"/>
        <v/>
      </c>
      <c r="BJ22" s="20">
        <v>0.0</v>
      </c>
      <c r="BK22" s="5"/>
      <c r="BL22" s="22" t="str">
        <f t="shared" si="32"/>
        <v/>
      </c>
      <c r="BM22" s="23"/>
      <c r="BN22" s="45" t="str">
        <f t="shared" si="33"/>
        <v/>
      </c>
      <c r="BO22" s="25"/>
      <c r="BP22" s="45" t="str">
        <f t="shared" si="34"/>
        <v/>
      </c>
      <c r="BQ22" s="29" t="str">
        <f t="shared" si="35"/>
        <v/>
      </c>
      <c r="BR22" s="29">
        <f t="shared" si="36"/>
        <v>0</v>
      </c>
      <c r="BS22" s="29">
        <f t="shared" si="37"/>
        <v>0</v>
      </c>
      <c r="BT22" s="22" t="str">
        <f t="shared" si="38"/>
        <v/>
      </c>
      <c r="BU22" s="23"/>
      <c r="BV22" s="45" t="str">
        <f t="shared" si="39"/>
        <v/>
      </c>
      <c r="BW22" s="25"/>
      <c r="BX22" s="45" t="str">
        <f t="shared" si="40"/>
        <v/>
      </c>
      <c r="BY22" s="47"/>
      <c r="BZ22" s="22" t="str">
        <f t="shared" si="41"/>
        <v/>
      </c>
      <c r="CA22" s="23"/>
      <c r="CB22" s="45" t="str">
        <f t="shared" si="42"/>
        <v/>
      </c>
      <c r="CC22" s="25"/>
      <c r="CD22" s="45" t="str">
        <f t="shared" si="43"/>
        <v/>
      </c>
      <c r="CE22" s="47"/>
      <c r="CF22" s="22" t="str">
        <f t="shared" si="44"/>
        <v/>
      </c>
      <c r="CG22" s="23"/>
      <c r="CH22" s="45" t="str">
        <f t="shared" si="45"/>
        <v/>
      </c>
      <c r="CI22" s="25"/>
      <c r="CJ22" s="45" t="str">
        <f t="shared" si="46"/>
        <v/>
      </c>
      <c r="CK22" s="20">
        <v>0.0</v>
      </c>
      <c r="CL22" s="5"/>
      <c r="CM22" s="5"/>
      <c r="CN22" s="5"/>
    </row>
    <row r="23">
      <c r="A23" s="20" t="str">
        <f t="shared" si="1"/>
        <v/>
      </c>
      <c r="B23" s="21"/>
      <c r="C23" s="22"/>
      <c r="D23" s="20"/>
      <c r="E23" s="20"/>
      <c r="F23" s="20"/>
      <c r="G23" s="55"/>
      <c r="H23" s="5"/>
      <c r="I23" s="22" t="str">
        <f t="shared" si="2"/>
        <v/>
      </c>
      <c r="J23" s="23"/>
      <c r="K23" s="45" t="str">
        <f t="shared" si="3"/>
        <v/>
      </c>
      <c r="L23" s="25"/>
      <c r="M23" s="45" t="str">
        <f t="shared" si="4"/>
        <v/>
      </c>
      <c r="N23" s="29" t="str">
        <f t="shared" si="5"/>
        <v/>
      </c>
      <c r="O23" s="29">
        <f t="shared" si="6"/>
        <v>0</v>
      </c>
      <c r="P23" s="29">
        <f t="shared" si="7"/>
        <v>0</v>
      </c>
      <c r="Q23" s="22" t="str">
        <f t="shared" si="8"/>
        <v/>
      </c>
      <c r="R23" s="23"/>
      <c r="S23" s="45" t="str">
        <f t="shared" si="9"/>
        <v/>
      </c>
      <c r="T23" s="25"/>
      <c r="U23" s="45" t="str">
        <f t="shared" si="10"/>
        <v/>
      </c>
      <c r="V23" s="47"/>
      <c r="W23" s="22" t="str">
        <f t="shared" si="11"/>
        <v/>
      </c>
      <c r="X23" s="23"/>
      <c r="Y23" s="45" t="str">
        <f t="shared" si="12"/>
        <v/>
      </c>
      <c r="Z23" s="25"/>
      <c r="AA23" s="45" t="str">
        <f t="shared" si="13"/>
        <v/>
      </c>
      <c r="AB23" s="47"/>
      <c r="AC23" s="22" t="str">
        <f t="shared" si="14"/>
        <v/>
      </c>
      <c r="AD23" s="23"/>
      <c r="AE23" s="45" t="str">
        <f t="shared" si="15"/>
        <v/>
      </c>
      <c r="AF23" s="25"/>
      <c r="AG23" s="45" t="str">
        <f t="shared" si="16"/>
        <v/>
      </c>
      <c r="AH23" s="20">
        <v>0.0</v>
      </c>
      <c r="AI23" s="5"/>
      <c r="AJ23" s="22" t="str">
        <f t="shared" si="17"/>
        <v/>
      </c>
      <c r="AK23" s="22"/>
      <c r="AL23" s="23"/>
      <c r="AM23" s="45" t="str">
        <f t="shared" si="18"/>
        <v/>
      </c>
      <c r="AN23" s="25"/>
      <c r="AO23" s="45" t="str">
        <f t="shared" si="19"/>
        <v/>
      </c>
      <c r="AP23" s="29" t="str">
        <f t="shared" si="20"/>
        <v/>
      </c>
      <c r="AQ23" s="29">
        <f t="shared" si="21"/>
        <v>0</v>
      </c>
      <c r="AR23" s="29">
        <f t="shared" si="22"/>
        <v>0</v>
      </c>
      <c r="AS23" s="22" t="str">
        <f t="shared" si="23"/>
        <v/>
      </c>
      <c r="AT23" s="23"/>
      <c r="AU23" s="45" t="str">
        <f t="shared" si="24"/>
        <v/>
      </c>
      <c r="AV23" s="25"/>
      <c r="AW23" s="45" t="str">
        <f t="shared" si="25"/>
        <v/>
      </c>
      <c r="AX23" s="47"/>
      <c r="AY23" s="22" t="str">
        <f t="shared" si="26"/>
        <v/>
      </c>
      <c r="AZ23" s="23"/>
      <c r="BA23" s="45" t="str">
        <f t="shared" si="27"/>
        <v/>
      </c>
      <c r="BB23" s="25"/>
      <c r="BC23" s="45" t="str">
        <f t="shared" si="28"/>
        <v/>
      </c>
      <c r="BD23" s="47"/>
      <c r="BE23" s="22" t="str">
        <f t="shared" si="29"/>
        <v/>
      </c>
      <c r="BF23" s="23"/>
      <c r="BG23" s="45" t="str">
        <f t="shared" si="30"/>
        <v/>
      </c>
      <c r="BH23" s="25"/>
      <c r="BI23" s="45" t="str">
        <f t="shared" si="31"/>
        <v/>
      </c>
      <c r="BJ23" s="20">
        <v>0.0</v>
      </c>
      <c r="BK23" s="5"/>
      <c r="BL23" s="22" t="str">
        <f t="shared" si="32"/>
        <v/>
      </c>
      <c r="BM23" s="23"/>
      <c r="BN23" s="45" t="str">
        <f t="shared" si="33"/>
        <v/>
      </c>
      <c r="BO23" s="25"/>
      <c r="BP23" s="45" t="str">
        <f t="shared" si="34"/>
        <v/>
      </c>
      <c r="BQ23" s="29" t="str">
        <f t="shared" si="35"/>
        <v/>
      </c>
      <c r="BR23" s="29">
        <f t="shared" si="36"/>
        <v>0</v>
      </c>
      <c r="BS23" s="29">
        <f t="shared" si="37"/>
        <v>0</v>
      </c>
      <c r="BT23" s="22" t="str">
        <f t="shared" si="38"/>
        <v/>
      </c>
      <c r="BU23" s="23"/>
      <c r="BV23" s="45" t="str">
        <f t="shared" si="39"/>
        <v/>
      </c>
      <c r="BW23" s="25"/>
      <c r="BX23" s="45" t="str">
        <f t="shared" si="40"/>
        <v/>
      </c>
      <c r="BY23" s="47"/>
      <c r="BZ23" s="22" t="str">
        <f t="shared" si="41"/>
        <v/>
      </c>
      <c r="CA23" s="23"/>
      <c r="CB23" s="45" t="str">
        <f t="shared" si="42"/>
        <v/>
      </c>
      <c r="CC23" s="25"/>
      <c r="CD23" s="45" t="str">
        <f t="shared" si="43"/>
        <v/>
      </c>
      <c r="CE23" s="47"/>
      <c r="CF23" s="22" t="str">
        <f t="shared" si="44"/>
        <v/>
      </c>
      <c r="CG23" s="23"/>
      <c r="CH23" s="45" t="str">
        <f t="shared" si="45"/>
        <v/>
      </c>
      <c r="CI23" s="25"/>
      <c r="CJ23" s="45" t="str">
        <f t="shared" si="46"/>
        <v/>
      </c>
      <c r="CK23" s="20">
        <v>0.0</v>
      </c>
      <c r="CL23" s="5"/>
      <c r="CM23" s="5"/>
      <c r="CN23" s="5"/>
    </row>
    <row r="24">
      <c r="A24" s="20" t="str">
        <f t="shared" si="1"/>
        <v/>
      </c>
      <c r="B24" s="21"/>
      <c r="C24" s="22"/>
      <c r="D24" s="20"/>
      <c r="E24" s="20"/>
      <c r="F24" s="20"/>
      <c r="G24" s="55"/>
      <c r="H24" s="5"/>
      <c r="I24" s="22" t="str">
        <f t="shared" si="2"/>
        <v/>
      </c>
      <c r="J24" s="23"/>
      <c r="K24" s="45" t="str">
        <f t="shared" si="3"/>
        <v/>
      </c>
      <c r="L24" s="25"/>
      <c r="M24" s="45" t="str">
        <f t="shared" si="4"/>
        <v/>
      </c>
      <c r="N24" s="29" t="str">
        <f t="shared" si="5"/>
        <v/>
      </c>
      <c r="O24" s="29">
        <f t="shared" si="6"/>
        <v>0</v>
      </c>
      <c r="P24" s="29">
        <f t="shared" si="7"/>
        <v>0</v>
      </c>
      <c r="Q24" s="22" t="str">
        <f t="shared" si="8"/>
        <v/>
      </c>
      <c r="R24" s="23"/>
      <c r="S24" s="45" t="str">
        <f t="shared" si="9"/>
        <v/>
      </c>
      <c r="T24" s="25"/>
      <c r="U24" s="45" t="str">
        <f t="shared" si="10"/>
        <v/>
      </c>
      <c r="V24" s="47"/>
      <c r="W24" s="22" t="str">
        <f t="shared" si="11"/>
        <v/>
      </c>
      <c r="X24" s="23"/>
      <c r="Y24" s="45" t="str">
        <f t="shared" si="12"/>
        <v/>
      </c>
      <c r="Z24" s="25"/>
      <c r="AA24" s="45" t="str">
        <f t="shared" si="13"/>
        <v/>
      </c>
      <c r="AB24" s="47"/>
      <c r="AC24" s="22" t="str">
        <f t="shared" si="14"/>
        <v/>
      </c>
      <c r="AD24" s="23"/>
      <c r="AE24" s="45" t="str">
        <f t="shared" si="15"/>
        <v/>
      </c>
      <c r="AF24" s="25"/>
      <c r="AG24" s="45" t="str">
        <f t="shared" si="16"/>
        <v/>
      </c>
      <c r="AH24" s="20">
        <v>0.0</v>
      </c>
      <c r="AI24" s="5"/>
      <c r="AJ24" s="22" t="str">
        <f t="shared" si="17"/>
        <v/>
      </c>
      <c r="AK24" s="20"/>
      <c r="AL24" s="23"/>
      <c r="AM24" s="45" t="str">
        <f t="shared" si="18"/>
        <v/>
      </c>
      <c r="AN24" s="25"/>
      <c r="AO24" s="45" t="str">
        <f t="shared" si="19"/>
        <v/>
      </c>
      <c r="AP24" s="29" t="str">
        <f t="shared" si="20"/>
        <v/>
      </c>
      <c r="AQ24" s="29">
        <f t="shared" si="21"/>
        <v>0</v>
      </c>
      <c r="AR24" s="29">
        <f t="shared" si="22"/>
        <v>0</v>
      </c>
      <c r="AS24" s="22" t="str">
        <f t="shared" si="23"/>
        <v/>
      </c>
      <c r="AT24" s="23"/>
      <c r="AU24" s="45" t="str">
        <f t="shared" si="24"/>
        <v/>
      </c>
      <c r="AV24" s="25"/>
      <c r="AW24" s="45" t="str">
        <f t="shared" si="25"/>
        <v/>
      </c>
      <c r="AX24" s="47"/>
      <c r="AY24" s="22" t="str">
        <f t="shared" si="26"/>
        <v/>
      </c>
      <c r="AZ24" s="23"/>
      <c r="BA24" s="45" t="str">
        <f t="shared" si="27"/>
        <v/>
      </c>
      <c r="BB24" s="25"/>
      <c r="BC24" s="45" t="str">
        <f t="shared" si="28"/>
        <v/>
      </c>
      <c r="BD24" s="47"/>
      <c r="BE24" s="22" t="str">
        <f t="shared" si="29"/>
        <v/>
      </c>
      <c r="BF24" s="23"/>
      <c r="BG24" s="45" t="str">
        <f t="shared" si="30"/>
        <v/>
      </c>
      <c r="BH24" s="25"/>
      <c r="BI24" s="45" t="str">
        <f t="shared" si="31"/>
        <v/>
      </c>
      <c r="BJ24" s="20">
        <v>0.0</v>
      </c>
      <c r="BK24" s="5"/>
      <c r="BL24" s="22" t="str">
        <f t="shared" si="32"/>
        <v/>
      </c>
      <c r="BM24" s="23"/>
      <c r="BN24" s="45" t="str">
        <f t="shared" si="33"/>
        <v/>
      </c>
      <c r="BO24" s="25"/>
      <c r="BP24" s="45" t="str">
        <f t="shared" si="34"/>
        <v/>
      </c>
      <c r="BQ24" s="29" t="str">
        <f t="shared" si="35"/>
        <v/>
      </c>
      <c r="BR24" s="29">
        <f t="shared" si="36"/>
        <v>0</v>
      </c>
      <c r="BS24" s="29">
        <f t="shared" si="37"/>
        <v>0</v>
      </c>
      <c r="BT24" s="22" t="str">
        <f t="shared" si="38"/>
        <v/>
      </c>
      <c r="BU24" s="23"/>
      <c r="BV24" s="45" t="str">
        <f t="shared" si="39"/>
        <v/>
      </c>
      <c r="BW24" s="25"/>
      <c r="BX24" s="45" t="str">
        <f t="shared" si="40"/>
        <v/>
      </c>
      <c r="BY24" s="47"/>
      <c r="BZ24" s="22" t="str">
        <f t="shared" si="41"/>
        <v/>
      </c>
      <c r="CA24" s="23"/>
      <c r="CB24" s="45" t="str">
        <f t="shared" si="42"/>
        <v/>
      </c>
      <c r="CC24" s="25"/>
      <c r="CD24" s="45" t="str">
        <f t="shared" si="43"/>
        <v/>
      </c>
      <c r="CE24" s="47"/>
      <c r="CF24" s="22" t="str">
        <f t="shared" si="44"/>
        <v/>
      </c>
      <c r="CG24" s="23"/>
      <c r="CH24" s="45" t="str">
        <f t="shared" si="45"/>
        <v/>
      </c>
      <c r="CI24" s="25"/>
      <c r="CJ24" s="45" t="str">
        <f t="shared" si="46"/>
        <v/>
      </c>
      <c r="CK24" s="20">
        <v>0.0</v>
      </c>
      <c r="CL24" s="5"/>
      <c r="CM24" s="5"/>
      <c r="CN24" s="5"/>
    </row>
    <row r="25">
      <c r="A25" s="20" t="str">
        <f t="shared" si="1"/>
        <v/>
      </c>
      <c r="B25" s="21"/>
      <c r="C25" s="22"/>
      <c r="D25" s="20"/>
      <c r="E25" s="20"/>
      <c r="F25" s="20"/>
      <c r="G25" s="55"/>
      <c r="H25" s="5"/>
      <c r="I25" s="22" t="str">
        <f t="shared" si="2"/>
        <v/>
      </c>
      <c r="J25" s="23"/>
      <c r="K25" s="45" t="str">
        <f t="shared" si="3"/>
        <v/>
      </c>
      <c r="L25" s="25"/>
      <c r="M25" s="45" t="str">
        <f t="shared" si="4"/>
        <v/>
      </c>
      <c r="N25" s="29" t="str">
        <f t="shared" si="5"/>
        <v/>
      </c>
      <c r="O25" s="29">
        <f t="shared" si="6"/>
        <v>0</v>
      </c>
      <c r="P25" s="29">
        <f t="shared" si="7"/>
        <v>0</v>
      </c>
      <c r="Q25" s="22" t="str">
        <f t="shared" si="8"/>
        <v/>
      </c>
      <c r="R25" s="23"/>
      <c r="S25" s="45" t="str">
        <f t="shared" si="9"/>
        <v/>
      </c>
      <c r="T25" s="25"/>
      <c r="U25" s="45" t="str">
        <f t="shared" si="10"/>
        <v/>
      </c>
      <c r="V25" s="47"/>
      <c r="W25" s="22" t="str">
        <f t="shared" si="11"/>
        <v/>
      </c>
      <c r="X25" s="23"/>
      <c r="Y25" s="45" t="str">
        <f t="shared" si="12"/>
        <v/>
      </c>
      <c r="Z25" s="25"/>
      <c r="AA25" s="45" t="str">
        <f t="shared" si="13"/>
        <v/>
      </c>
      <c r="AB25" s="47"/>
      <c r="AC25" s="22" t="str">
        <f t="shared" si="14"/>
        <v/>
      </c>
      <c r="AD25" s="23"/>
      <c r="AE25" s="45" t="str">
        <f t="shared" si="15"/>
        <v/>
      </c>
      <c r="AF25" s="25"/>
      <c r="AG25" s="45" t="str">
        <f t="shared" si="16"/>
        <v/>
      </c>
      <c r="AH25" s="20">
        <v>0.0</v>
      </c>
      <c r="AI25" s="5"/>
      <c r="AJ25" s="22" t="str">
        <f t="shared" si="17"/>
        <v/>
      </c>
      <c r="AK25" s="22"/>
      <c r="AL25" s="23"/>
      <c r="AM25" s="45" t="str">
        <f t="shared" si="18"/>
        <v/>
      </c>
      <c r="AN25" s="25"/>
      <c r="AO25" s="45" t="str">
        <f t="shared" si="19"/>
        <v/>
      </c>
      <c r="AP25" s="29" t="str">
        <f t="shared" si="20"/>
        <v/>
      </c>
      <c r="AQ25" s="29">
        <f t="shared" si="21"/>
        <v>0</v>
      </c>
      <c r="AR25" s="29">
        <f t="shared" si="22"/>
        <v>0</v>
      </c>
      <c r="AS25" s="22" t="str">
        <f t="shared" si="23"/>
        <v/>
      </c>
      <c r="AT25" s="23"/>
      <c r="AU25" s="45" t="str">
        <f t="shared" si="24"/>
        <v/>
      </c>
      <c r="AV25" s="25"/>
      <c r="AW25" s="45" t="str">
        <f t="shared" si="25"/>
        <v/>
      </c>
      <c r="AX25" s="47"/>
      <c r="AY25" s="22" t="str">
        <f t="shared" si="26"/>
        <v/>
      </c>
      <c r="AZ25" s="23"/>
      <c r="BA25" s="45" t="str">
        <f t="shared" si="27"/>
        <v/>
      </c>
      <c r="BB25" s="25"/>
      <c r="BC25" s="45" t="str">
        <f t="shared" si="28"/>
        <v/>
      </c>
      <c r="BD25" s="47"/>
      <c r="BE25" s="22" t="str">
        <f t="shared" si="29"/>
        <v/>
      </c>
      <c r="BF25" s="23"/>
      <c r="BG25" s="45" t="str">
        <f t="shared" si="30"/>
        <v/>
      </c>
      <c r="BH25" s="25"/>
      <c r="BI25" s="45" t="str">
        <f t="shared" si="31"/>
        <v/>
      </c>
      <c r="BJ25" s="20">
        <v>0.0</v>
      </c>
      <c r="BK25" s="5"/>
      <c r="BL25" s="22" t="str">
        <f t="shared" si="32"/>
        <v/>
      </c>
      <c r="BM25" s="23"/>
      <c r="BN25" s="45" t="str">
        <f t="shared" si="33"/>
        <v/>
      </c>
      <c r="BO25" s="25"/>
      <c r="BP25" s="45" t="str">
        <f t="shared" si="34"/>
        <v/>
      </c>
      <c r="BQ25" s="29" t="str">
        <f t="shared" si="35"/>
        <v/>
      </c>
      <c r="BR25" s="29">
        <f t="shared" si="36"/>
        <v>0</v>
      </c>
      <c r="BS25" s="29">
        <f t="shared" si="37"/>
        <v>0</v>
      </c>
      <c r="BT25" s="22" t="str">
        <f t="shared" si="38"/>
        <v/>
      </c>
      <c r="BU25" s="23"/>
      <c r="BV25" s="45" t="str">
        <f t="shared" si="39"/>
        <v/>
      </c>
      <c r="BW25" s="25"/>
      <c r="BX25" s="45" t="str">
        <f t="shared" si="40"/>
        <v/>
      </c>
      <c r="BY25" s="47"/>
      <c r="BZ25" s="22" t="str">
        <f t="shared" si="41"/>
        <v/>
      </c>
      <c r="CA25" s="23"/>
      <c r="CB25" s="45" t="str">
        <f t="shared" si="42"/>
        <v/>
      </c>
      <c r="CC25" s="25"/>
      <c r="CD25" s="45" t="str">
        <f t="shared" si="43"/>
        <v/>
      </c>
      <c r="CE25" s="47"/>
      <c r="CF25" s="22" t="str">
        <f t="shared" si="44"/>
        <v/>
      </c>
      <c r="CG25" s="23"/>
      <c r="CH25" s="45" t="str">
        <f t="shared" si="45"/>
        <v/>
      </c>
      <c r="CI25" s="25"/>
      <c r="CJ25" s="45" t="str">
        <f t="shared" si="46"/>
        <v/>
      </c>
      <c r="CK25" s="20">
        <v>0.0</v>
      </c>
      <c r="CL25" s="5"/>
      <c r="CM25" s="5"/>
      <c r="CN25" s="5"/>
    </row>
    <row r="26">
      <c r="A26" s="20" t="str">
        <f t="shared" si="1"/>
        <v/>
      </c>
      <c r="B26" s="21"/>
      <c r="C26" s="22"/>
      <c r="D26" s="20"/>
      <c r="E26" s="20"/>
      <c r="F26" s="20"/>
      <c r="G26" s="55"/>
      <c r="H26" s="5"/>
      <c r="I26" s="22" t="str">
        <f t="shared" si="2"/>
        <v/>
      </c>
      <c r="J26" s="23"/>
      <c r="K26" s="45" t="str">
        <f t="shared" si="3"/>
        <v/>
      </c>
      <c r="L26" s="25"/>
      <c r="M26" s="45" t="str">
        <f t="shared" si="4"/>
        <v/>
      </c>
      <c r="N26" s="29" t="str">
        <f t="shared" si="5"/>
        <v/>
      </c>
      <c r="O26" s="29">
        <f t="shared" si="6"/>
        <v>0</v>
      </c>
      <c r="P26" s="29">
        <f t="shared" si="7"/>
        <v>0</v>
      </c>
      <c r="Q26" s="22" t="str">
        <f t="shared" si="8"/>
        <v/>
      </c>
      <c r="R26" s="23"/>
      <c r="S26" s="45" t="str">
        <f t="shared" si="9"/>
        <v/>
      </c>
      <c r="T26" s="25"/>
      <c r="U26" s="45" t="str">
        <f t="shared" si="10"/>
        <v/>
      </c>
      <c r="V26" s="47"/>
      <c r="W26" s="22" t="str">
        <f t="shared" si="11"/>
        <v/>
      </c>
      <c r="X26" s="23"/>
      <c r="Y26" s="45" t="str">
        <f t="shared" si="12"/>
        <v/>
      </c>
      <c r="Z26" s="25"/>
      <c r="AA26" s="45" t="str">
        <f t="shared" si="13"/>
        <v/>
      </c>
      <c r="AB26" s="47"/>
      <c r="AC26" s="22" t="str">
        <f t="shared" si="14"/>
        <v/>
      </c>
      <c r="AD26" s="23"/>
      <c r="AE26" s="45" t="str">
        <f t="shared" si="15"/>
        <v/>
      </c>
      <c r="AF26" s="25"/>
      <c r="AG26" s="45" t="str">
        <f t="shared" si="16"/>
        <v/>
      </c>
      <c r="AH26" s="20">
        <v>0.0</v>
      </c>
      <c r="AI26" s="5"/>
      <c r="AJ26" s="22" t="str">
        <f t="shared" si="17"/>
        <v/>
      </c>
      <c r="AK26" s="22"/>
      <c r="AL26" s="23"/>
      <c r="AM26" s="45" t="str">
        <f t="shared" si="18"/>
        <v/>
      </c>
      <c r="AN26" s="25"/>
      <c r="AO26" s="45" t="str">
        <f t="shared" si="19"/>
        <v/>
      </c>
      <c r="AP26" s="29" t="str">
        <f t="shared" si="20"/>
        <v/>
      </c>
      <c r="AQ26" s="29">
        <f t="shared" si="21"/>
        <v>0</v>
      </c>
      <c r="AR26" s="29">
        <f t="shared" si="22"/>
        <v>0</v>
      </c>
      <c r="AS26" s="22" t="str">
        <f t="shared" si="23"/>
        <v/>
      </c>
      <c r="AT26" s="23"/>
      <c r="AU26" s="45" t="str">
        <f t="shared" si="24"/>
        <v/>
      </c>
      <c r="AV26" s="25"/>
      <c r="AW26" s="45" t="str">
        <f t="shared" si="25"/>
        <v/>
      </c>
      <c r="AX26" s="47"/>
      <c r="AY26" s="22" t="str">
        <f t="shared" si="26"/>
        <v/>
      </c>
      <c r="AZ26" s="23"/>
      <c r="BA26" s="45" t="str">
        <f t="shared" si="27"/>
        <v/>
      </c>
      <c r="BB26" s="25"/>
      <c r="BC26" s="45" t="str">
        <f t="shared" si="28"/>
        <v/>
      </c>
      <c r="BD26" s="47"/>
      <c r="BE26" s="22" t="str">
        <f t="shared" si="29"/>
        <v/>
      </c>
      <c r="BF26" s="23"/>
      <c r="BG26" s="45" t="str">
        <f t="shared" si="30"/>
        <v/>
      </c>
      <c r="BH26" s="25"/>
      <c r="BI26" s="45" t="str">
        <f t="shared" si="31"/>
        <v/>
      </c>
      <c r="BJ26" s="20">
        <v>0.0</v>
      </c>
      <c r="BK26" s="5"/>
      <c r="BL26" s="22" t="str">
        <f t="shared" si="32"/>
        <v/>
      </c>
      <c r="BM26" s="23"/>
      <c r="BN26" s="45" t="str">
        <f t="shared" si="33"/>
        <v/>
      </c>
      <c r="BO26" s="25"/>
      <c r="BP26" s="45" t="str">
        <f t="shared" si="34"/>
        <v/>
      </c>
      <c r="BQ26" s="29" t="str">
        <f t="shared" si="35"/>
        <v/>
      </c>
      <c r="BR26" s="29">
        <f t="shared" si="36"/>
        <v>0</v>
      </c>
      <c r="BS26" s="29">
        <f t="shared" si="37"/>
        <v>0</v>
      </c>
      <c r="BT26" s="22" t="str">
        <f t="shared" si="38"/>
        <v/>
      </c>
      <c r="BU26" s="23"/>
      <c r="BV26" s="45" t="str">
        <f t="shared" si="39"/>
        <v/>
      </c>
      <c r="BW26" s="25"/>
      <c r="BX26" s="45" t="str">
        <f t="shared" si="40"/>
        <v/>
      </c>
      <c r="BY26" s="47"/>
      <c r="BZ26" s="22" t="str">
        <f t="shared" si="41"/>
        <v/>
      </c>
      <c r="CA26" s="23"/>
      <c r="CB26" s="45" t="str">
        <f t="shared" si="42"/>
        <v/>
      </c>
      <c r="CC26" s="25"/>
      <c r="CD26" s="45" t="str">
        <f t="shared" si="43"/>
        <v/>
      </c>
      <c r="CE26" s="47"/>
      <c r="CF26" s="22" t="str">
        <f t="shared" si="44"/>
        <v/>
      </c>
      <c r="CG26" s="23"/>
      <c r="CH26" s="45" t="str">
        <f t="shared" si="45"/>
        <v/>
      </c>
      <c r="CI26" s="25"/>
      <c r="CJ26" s="45" t="str">
        <f t="shared" si="46"/>
        <v/>
      </c>
      <c r="CK26" s="20">
        <v>0.0</v>
      </c>
      <c r="CL26" s="5"/>
      <c r="CM26" s="5"/>
      <c r="CN26" s="5"/>
    </row>
    <row r="27">
      <c r="A27" s="20" t="str">
        <f t="shared" si="1"/>
        <v/>
      </c>
      <c r="B27" s="21"/>
      <c r="C27" s="22"/>
      <c r="D27" s="20"/>
      <c r="E27" s="20"/>
      <c r="F27" s="20"/>
      <c r="G27" s="55"/>
      <c r="H27" s="5"/>
      <c r="I27" s="22" t="str">
        <f t="shared" si="2"/>
        <v/>
      </c>
      <c r="J27" s="23"/>
      <c r="K27" s="45" t="str">
        <f t="shared" si="3"/>
        <v/>
      </c>
      <c r="L27" s="25"/>
      <c r="M27" s="45" t="str">
        <f t="shared" si="4"/>
        <v/>
      </c>
      <c r="N27" s="29" t="str">
        <f t="shared" si="5"/>
        <v/>
      </c>
      <c r="O27" s="29">
        <f t="shared" si="6"/>
        <v>0</v>
      </c>
      <c r="P27" s="29">
        <f t="shared" si="7"/>
        <v>0</v>
      </c>
      <c r="Q27" s="22" t="str">
        <f t="shared" si="8"/>
        <v/>
      </c>
      <c r="R27" s="23"/>
      <c r="S27" s="45" t="str">
        <f t="shared" si="9"/>
        <v/>
      </c>
      <c r="T27" s="25"/>
      <c r="U27" s="45" t="str">
        <f t="shared" si="10"/>
        <v/>
      </c>
      <c r="V27" s="47"/>
      <c r="W27" s="22" t="str">
        <f t="shared" si="11"/>
        <v/>
      </c>
      <c r="X27" s="23"/>
      <c r="Y27" s="45" t="str">
        <f t="shared" si="12"/>
        <v/>
      </c>
      <c r="Z27" s="25"/>
      <c r="AA27" s="45" t="str">
        <f t="shared" si="13"/>
        <v/>
      </c>
      <c r="AB27" s="47"/>
      <c r="AC27" s="22" t="str">
        <f t="shared" si="14"/>
        <v/>
      </c>
      <c r="AD27" s="23"/>
      <c r="AE27" s="45" t="str">
        <f t="shared" si="15"/>
        <v/>
      </c>
      <c r="AF27" s="25"/>
      <c r="AG27" s="45" t="str">
        <f t="shared" si="16"/>
        <v/>
      </c>
      <c r="AH27" s="20">
        <v>0.0</v>
      </c>
      <c r="AI27" s="5"/>
      <c r="AJ27" s="22" t="str">
        <f t="shared" si="17"/>
        <v/>
      </c>
      <c r="AK27" s="22"/>
      <c r="AL27" s="23"/>
      <c r="AM27" s="45" t="str">
        <f t="shared" si="18"/>
        <v/>
      </c>
      <c r="AN27" s="25"/>
      <c r="AO27" s="45" t="str">
        <f t="shared" si="19"/>
        <v/>
      </c>
      <c r="AP27" s="29" t="str">
        <f t="shared" si="20"/>
        <v/>
      </c>
      <c r="AQ27" s="29">
        <f t="shared" si="21"/>
        <v>0</v>
      </c>
      <c r="AR27" s="29">
        <f t="shared" si="22"/>
        <v>0</v>
      </c>
      <c r="AS27" s="22" t="str">
        <f t="shared" si="23"/>
        <v/>
      </c>
      <c r="AT27" s="23"/>
      <c r="AU27" s="45" t="str">
        <f t="shared" si="24"/>
        <v/>
      </c>
      <c r="AV27" s="25"/>
      <c r="AW27" s="45" t="str">
        <f t="shared" si="25"/>
        <v/>
      </c>
      <c r="AX27" s="47"/>
      <c r="AY27" s="22" t="str">
        <f t="shared" si="26"/>
        <v/>
      </c>
      <c r="AZ27" s="23"/>
      <c r="BA27" s="45" t="str">
        <f t="shared" si="27"/>
        <v/>
      </c>
      <c r="BB27" s="25"/>
      <c r="BC27" s="45" t="str">
        <f t="shared" si="28"/>
        <v/>
      </c>
      <c r="BD27" s="47"/>
      <c r="BE27" s="22" t="str">
        <f t="shared" si="29"/>
        <v/>
      </c>
      <c r="BF27" s="23"/>
      <c r="BG27" s="45" t="str">
        <f t="shared" si="30"/>
        <v/>
      </c>
      <c r="BH27" s="25"/>
      <c r="BI27" s="45" t="str">
        <f t="shared" si="31"/>
        <v/>
      </c>
      <c r="BJ27" s="20">
        <v>0.0</v>
      </c>
      <c r="BK27" s="5"/>
      <c r="BL27" s="22" t="str">
        <f t="shared" si="32"/>
        <v/>
      </c>
      <c r="BM27" s="23"/>
      <c r="BN27" s="45" t="str">
        <f t="shared" si="33"/>
        <v/>
      </c>
      <c r="BO27" s="25"/>
      <c r="BP27" s="45" t="str">
        <f t="shared" si="34"/>
        <v/>
      </c>
      <c r="BQ27" s="29" t="str">
        <f t="shared" si="35"/>
        <v/>
      </c>
      <c r="BR27" s="29">
        <f t="shared" si="36"/>
        <v>0</v>
      </c>
      <c r="BS27" s="29">
        <f t="shared" si="37"/>
        <v>0</v>
      </c>
      <c r="BT27" s="22" t="str">
        <f t="shared" si="38"/>
        <v/>
      </c>
      <c r="BU27" s="23"/>
      <c r="BV27" s="45" t="str">
        <f t="shared" si="39"/>
        <v/>
      </c>
      <c r="BW27" s="25"/>
      <c r="BX27" s="45" t="str">
        <f t="shared" si="40"/>
        <v/>
      </c>
      <c r="BY27" s="47"/>
      <c r="BZ27" s="22" t="str">
        <f t="shared" si="41"/>
        <v/>
      </c>
      <c r="CA27" s="23"/>
      <c r="CB27" s="45" t="str">
        <f t="shared" si="42"/>
        <v/>
      </c>
      <c r="CC27" s="25"/>
      <c r="CD27" s="45" t="str">
        <f t="shared" si="43"/>
        <v/>
      </c>
      <c r="CE27" s="47"/>
      <c r="CF27" s="22" t="str">
        <f t="shared" si="44"/>
        <v/>
      </c>
      <c r="CG27" s="23"/>
      <c r="CH27" s="45" t="str">
        <f t="shared" si="45"/>
        <v/>
      </c>
      <c r="CI27" s="25"/>
      <c r="CJ27" s="45" t="str">
        <f t="shared" si="46"/>
        <v/>
      </c>
      <c r="CK27" s="20">
        <v>0.0</v>
      </c>
      <c r="CL27" s="5"/>
      <c r="CM27" s="5"/>
      <c r="CN27" s="5"/>
    </row>
    <row r="28">
      <c r="A28" s="20" t="str">
        <f t="shared" si="1"/>
        <v/>
      </c>
      <c r="B28" s="21"/>
      <c r="C28" s="22"/>
      <c r="D28" s="20"/>
      <c r="E28" s="20"/>
      <c r="F28" s="20"/>
      <c r="G28" s="55"/>
      <c r="H28" s="5"/>
      <c r="I28" s="22" t="str">
        <f t="shared" si="2"/>
        <v/>
      </c>
      <c r="J28" s="23"/>
      <c r="K28" s="45" t="str">
        <f t="shared" si="3"/>
        <v/>
      </c>
      <c r="L28" s="25"/>
      <c r="M28" s="45" t="str">
        <f t="shared" si="4"/>
        <v/>
      </c>
      <c r="N28" s="29" t="str">
        <f t="shared" si="5"/>
        <v/>
      </c>
      <c r="O28" s="29">
        <f t="shared" si="6"/>
        <v>0</v>
      </c>
      <c r="P28" s="29">
        <f t="shared" si="7"/>
        <v>0</v>
      </c>
      <c r="Q28" s="22" t="str">
        <f t="shared" si="8"/>
        <v/>
      </c>
      <c r="R28" s="23"/>
      <c r="S28" s="45" t="str">
        <f t="shared" si="9"/>
        <v/>
      </c>
      <c r="T28" s="25"/>
      <c r="U28" s="45" t="str">
        <f t="shared" si="10"/>
        <v/>
      </c>
      <c r="V28" s="47"/>
      <c r="W28" s="22" t="str">
        <f t="shared" si="11"/>
        <v/>
      </c>
      <c r="X28" s="23"/>
      <c r="Y28" s="45" t="str">
        <f t="shared" si="12"/>
        <v/>
      </c>
      <c r="Z28" s="25"/>
      <c r="AA28" s="45" t="str">
        <f t="shared" si="13"/>
        <v/>
      </c>
      <c r="AB28" s="47"/>
      <c r="AC28" s="22" t="str">
        <f t="shared" si="14"/>
        <v/>
      </c>
      <c r="AD28" s="23"/>
      <c r="AE28" s="45" t="str">
        <f t="shared" si="15"/>
        <v/>
      </c>
      <c r="AF28" s="25"/>
      <c r="AG28" s="45" t="str">
        <f t="shared" si="16"/>
        <v/>
      </c>
      <c r="AH28" s="20">
        <v>0.0</v>
      </c>
      <c r="AI28" s="5"/>
      <c r="AJ28" s="22" t="str">
        <f t="shared" si="17"/>
        <v/>
      </c>
      <c r="AK28" s="22"/>
      <c r="AL28" s="23"/>
      <c r="AM28" s="45" t="str">
        <f t="shared" si="18"/>
        <v/>
      </c>
      <c r="AN28" s="25"/>
      <c r="AO28" s="45" t="str">
        <f t="shared" si="19"/>
        <v/>
      </c>
      <c r="AP28" s="29" t="str">
        <f t="shared" si="20"/>
        <v/>
      </c>
      <c r="AQ28" s="29">
        <f t="shared" si="21"/>
        <v>0</v>
      </c>
      <c r="AR28" s="29">
        <f t="shared" si="22"/>
        <v>0</v>
      </c>
      <c r="AS28" s="22" t="str">
        <f t="shared" si="23"/>
        <v/>
      </c>
      <c r="AT28" s="23"/>
      <c r="AU28" s="45" t="str">
        <f t="shared" si="24"/>
        <v/>
      </c>
      <c r="AV28" s="25"/>
      <c r="AW28" s="45" t="str">
        <f t="shared" si="25"/>
        <v/>
      </c>
      <c r="AX28" s="47"/>
      <c r="AY28" s="22" t="str">
        <f t="shared" si="26"/>
        <v/>
      </c>
      <c r="AZ28" s="23"/>
      <c r="BA28" s="45" t="str">
        <f t="shared" si="27"/>
        <v/>
      </c>
      <c r="BB28" s="25"/>
      <c r="BC28" s="45" t="str">
        <f t="shared" si="28"/>
        <v/>
      </c>
      <c r="BD28" s="47"/>
      <c r="BE28" s="22" t="str">
        <f t="shared" si="29"/>
        <v/>
      </c>
      <c r="BF28" s="23"/>
      <c r="BG28" s="45" t="str">
        <f t="shared" si="30"/>
        <v/>
      </c>
      <c r="BH28" s="25"/>
      <c r="BI28" s="45" t="str">
        <f t="shared" si="31"/>
        <v/>
      </c>
      <c r="BJ28" s="20">
        <v>0.0</v>
      </c>
      <c r="BK28" s="5"/>
      <c r="BL28" s="22" t="str">
        <f t="shared" si="32"/>
        <v/>
      </c>
      <c r="BM28" s="23"/>
      <c r="BN28" s="45" t="str">
        <f t="shared" si="33"/>
        <v/>
      </c>
      <c r="BO28" s="25"/>
      <c r="BP28" s="45" t="str">
        <f t="shared" si="34"/>
        <v/>
      </c>
      <c r="BQ28" s="29" t="str">
        <f t="shared" si="35"/>
        <v/>
      </c>
      <c r="BR28" s="29">
        <f t="shared" si="36"/>
        <v>0</v>
      </c>
      <c r="BS28" s="29">
        <f t="shared" si="37"/>
        <v>0</v>
      </c>
      <c r="BT28" s="22" t="str">
        <f t="shared" si="38"/>
        <v/>
      </c>
      <c r="BU28" s="23"/>
      <c r="BV28" s="45" t="str">
        <f t="shared" si="39"/>
        <v/>
      </c>
      <c r="BW28" s="25"/>
      <c r="BX28" s="45" t="str">
        <f t="shared" si="40"/>
        <v/>
      </c>
      <c r="BY28" s="47"/>
      <c r="BZ28" s="22" t="str">
        <f t="shared" si="41"/>
        <v/>
      </c>
      <c r="CA28" s="23"/>
      <c r="CB28" s="45" t="str">
        <f t="shared" si="42"/>
        <v/>
      </c>
      <c r="CC28" s="25"/>
      <c r="CD28" s="45" t="str">
        <f t="shared" si="43"/>
        <v/>
      </c>
      <c r="CE28" s="47"/>
      <c r="CF28" s="22" t="str">
        <f t="shared" si="44"/>
        <v/>
      </c>
      <c r="CG28" s="23"/>
      <c r="CH28" s="45" t="str">
        <f t="shared" si="45"/>
        <v/>
      </c>
      <c r="CI28" s="25"/>
      <c r="CJ28" s="45" t="str">
        <f t="shared" si="46"/>
        <v/>
      </c>
      <c r="CK28" s="20">
        <v>0.0</v>
      </c>
      <c r="CL28" s="5"/>
      <c r="CM28" s="5"/>
      <c r="CN28" s="5"/>
    </row>
    <row r="29">
      <c r="A29" s="20" t="str">
        <f t="shared" si="1"/>
        <v/>
      </c>
      <c r="B29" s="21"/>
      <c r="C29" s="22"/>
      <c r="D29" s="20"/>
      <c r="E29" s="20"/>
      <c r="F29" s="20"/>
      <c r="G29" s="55"/>
      <c r="H29" s="5"/>
      <c r="I29" s="22" t="str">
        <f t="shared" si="2"/>
        <v/>
      </c>
      <c r="J29" s="23"/>
      <c r="K29" s="45" t="str">
        <f t="shared" si="3"/>
        <v/>
      </c>
      <c r="L29" s="25"/>
      <c r="M29" s="45" t="str">
        <f t="shared" si="4"/>
        <v/>
      </c>
      <c r="N29" s="29" t="str">
        <f t="shared" si="5"/>
        <v/>
      </c>
      <c r="O29" s="29">
        <f t="shared" si="6"/>
        <v>0</v>
      </c>
      <c r="P29" s="29">
        <f t="shared" si="7"/>
        <v>0</v>
      </c>
      <c r="Q29" s="22" t="str">
        <f t="shared" si="8"/>
        <v/>
      </c>
      <c r="R29" s="23"/>
      <c r="S29" s="45" t="str">
        <f t="shared" si="9"/>
        <v/>
      </c>
      <c r="T29" s="25"/>
      <c r="U29" s="45" t="str">
        <f t="shared" si="10"/>
        <v/>
      </c>
      <c r="V29" s="47"/>
      <c r="W29" s="22" t="str">
        <f t="shared" si="11"/>
        <v/>
      </c>
      <c r="X29" s="23"/>
      <c r="Y29" s="45" t="str">
        <f t="shared" si="12"/>
        <v/>
      </c>
      <c r="Z29" s="25"/>
      <c r="AA29" s="45" t="str">
        <f t="shared" si="13"/>
        <v/>
      </c>
      <c r="AB29" s="47"/>
      <c r="AC29" s="22" t="str">
        <f t="shared" si="14"/>
        <v/>
      </c>
      <c r="AD29" s="23"/>
      <c r="AE29" s="45" t="str">
        <f t="shared" si="15"/>
        <v/>
      </c>
      <c r="AF29" s="25"/>
      <c r="AG29" s="45" t="str">
        <f t="shared" si="16"/>
        <v/>
      </c>
      <c r="AH29" s="20">
        <v>0.0</v>
      </c>
      <c r="AI29" s="5"/>
      <c r="AJ29" s="22" t="str">
        <f t="shared" si="17"/>
        <v/>
      </c>
      <c r="AK29" s="22"/>
      <c r="AL29" s="23"/>
      <c r="AM29" s="45" t="str">
        <f t="shared" si="18"/>
        <v/>
      </c>
      <c r="AN29" s="25"/>
      <c r="AO29" s="45" t="str">
        <f t="shared" si="19"/>
        <v/>
      </c>
      <c r="AP29" s="29" t="str">
        <f t="shared" si="20"/>
        <v/>
      </c>
      <c r="AQ29" s="29">
        <f t="shared" si="21"/>
        <v>0</v>
      </c>
      <c r="AR29" s="29">
        <f t="shared" si="22"/>
        <v>0</v>
      </c>
      <c r="AS29" s="22" t="str">
        <f t="shared" si="23"/>
        <v/>
      </c>
      <c r="AT29" s="23"/>
      <c r="AU29" s="45" t="str">
        <f t="shared" si="24"/>
        <v/>
      </c>
      <c r="AV29" s="25"/>
      <c r="AW29" s="45" t="str">
        <f t="shared" si="25"/>
        <v/>
      </c>
      <c r="AX29" s="47"/>
      <c r="AY29" s="22" t="str">
        <f t="shared" si="26"/>
        <v/>
      </c>
      <c r="AZ29" s="23"/>
      <c r="BA29" s="45" t="str">
        <f t="shared" si="27"/>
        <v/>
      </c>
      <c r="BB29" s="25"/>
      <c r="BC29" s="45" t="str">
        <f t="shared" si="28"/>
        <v/>
      </c>
      <c r="BD29" s="47"/>
      <c r="BE29" s="22" t="str">
        <f t="shared" si="29"/>
        <v/>
      </c>
      <c r="BF29" s="23"/>
      <c r="BG29" s="45" t="str">
        <f t="shared" si="30"/>
        <v/>
      </c>
      <c r="BH29" s="25"/>
      <c r="BI29" s="45" t="str">
        <f t="shared" si="31"/>
        <v/>
      </c>
      <c r="BJ29" s="20">
        <v>0.0</v>
      </c>
      <c r="BK29" s="5"/>
      <c r="BL29" s="22" t="str">
        <f t="shared" si="32"/>
        <v/>
      </c>
      <c r="BM29" s="23"/>
      <c r="BN29" s="45" t="str">
        <f t="shared" si="33"/>
        <v/>
      </c>
      <c r="BO29" s="25"/>
      <c r="BP29" s="45" t="str">
        <f t="shared" si="34"/>
        <v/>
      </c>
      <c r="BQ29" s="29" t="str">
        <f t="shared" si="35"/>
        <v/>
      </c>
      <c r="BR29" s="29">
        <f t="shared" si="36"/>
        <v>0</v>
      </c>
      <c r="BS29" s="29">
        <f t="shared" si="37"/>
        <v>0</v>
      </c>
      <c r="BT29" s="22" t="str">
        <f t="shared" si="38"/>
        <v/>
      </c>
      <c r="BU29" s="23"/>
      <c r="BV29" s="45" t="str">
        <f t="shared" si="39"/>
        <v/>
      </c>
      <c r="BW29" s="25"/>
      <c r="BX29" s="45" t="str">
        <f t="shared" si="40"/>
        <v/>
      </c>
      <c r="BY29" s="47"/>
      <c r="BZ29" s="22" t="str">
        <f t="shared" si="41"/>
        <v/>
      </c>
      <c r="CA29" s="23"/>
      <c r="CB29" s="45" t="str">
        <f t="shared" si="42"/>
        <v/>
      </c>
      <c r="CC29" s="25"/>
      <c r="CD29" s="45" t="str">
        <f t="shared" si="43"/>
        <v/>
      </c>
      <c r="CE29" s="47"/>
      <c r="CF29" s="22" t="str">
        <f t="shared" si="44"/>
        <v/>
      </c>
      <c r="CG29" s="23"/>
      <c r="CH29" s="45" t="str">
        <f t="shared" si="45"/>
        <v/>
      </c>
      <c r="CI29" s="25"/>
      <c r="CJ29" s="45" t="str">
        <f t="shared" si="46"/>
        <v/>
      </c>
      <c r="CK29" s="20">
        <v>0.0</v>
      </c>
      <c r="CL29" s="5"/>
      <c r="CM29" s="5"/>
      <c r="CN29" s="5"/>
    </row>
    <row r="30">
      <c r="A30" s="20" t="str">
        <f t="shared" si="1"/>
        <v/>
      </c>
      <c r="B30" s="21"/>
      <c r="C30" s="22"/>
      <c r="D30" s="20"/>
      <c r="E30" s="20"/>
      <c r="F30" s="20"/>
      <c r="G30" s="55"/>
      <c r="H30" s="5"/>
      <c r="I30" s="22" t="str">
        <f t="shared" si="2"/>
        <v/>
      </c>
      <c r="J30" s="23"/>
      <c r="K30" s="45" t="str">
        <f t="shared" si="3"/>
        <v/>
      </c>
      <c r="L30" s="25"/>
      <c r="M30" s="45" t="str">
        <f t="shared" si="4"/>
        <v/>
      </c>
      <c r="N30" s="29" t="str">
        <f t="shared" si="5"/>
        <v/>
      </c>
      <c r="O30" s="29">
        <f t="shared" si="6"/>
        <v>0</v>
      </c>
      <c r="P30" s="29">
        <f t="shared" si="7"/>
        <v>0</v>
      </c>
      <c r="Q30" s="22" t="str">
        <f t="shared" si="8"/>
        <v/>
      </c>
      <c r="R30" s="23"/>
      <c r="S30" s="45" t="str">
        <f t="shared" si="9"/>
        <v/>
      </c>
      <c r="T30" s="25"/>
      <c r="U30" s="45" t="str">
        <f t="shared" si="10"/>
        <v/>
      </c>
      <c r="V30" s="47"/>
      <c r="W30" s="22" t="str">
        <f t="shared" si="11"/>
        <v/>
      </c>
      <c r="X30" s="23"/>
      <c r="Y30" s="45" t="str">
        <f t="shared" si="12"/>
        <v/>
      </c>
      <c r="Z30" s="25"/>
      <c r="AA30" s="45" t="str">
        <f t="shared" si="13"/>
        <v/>
      </c>
      <c r="AB30" s="47"/>
      <c r="AC30" s="22" t="str">
        <f t="shared" si="14"/>
        <v/>
      </c>
      <c r="AD30" s="23"/>
      <c r="AE30" s="45" t="str">
        <f t="shared" si="15"/>
        <v/>
      </c>
      <c r="AF30" s="25"/>
      <c r="AG30" s="45" t="str">
        <f t="shared" si="16"/>
        <v/>
      </c>
      <c r="AH30" s="20">
        <v>0.0</v>
      </c>
      <c r="AI30" s="5"/>
      <c r="AJ30" s="22" t="str">
        <f t="shared" si="17"/>
        <v/>
      </c>
      <c r="AK30" s="22"/>
      <c r="AL30" s="23"/>
      <c r="AM30" s="45" t="str">
        <f t="shared" si="18"/>
        <v/>
      </c>
      <c r="AN30" s="25"/>
      <c r="AO30" s="45" t="str">
        <f t="shared" si="19"/>
        <v/>
      </c>
      <c r="AP30" s="29" t="str">
        <f t="shared" si="20"/>
        <v/>
      </c>
      <c r="AQ30" s="29">
        <f t="shared" si="21"/>
        <v>0</v>
      </c>
      <c r="AR30" s="29">
        <f t="shared" si="22"/>
        <v>0</v>
      </c>
      <c r="AS30" s="22" t="str">
        <f t="shared" si="23"/>
        <v/>
      </c>
      <c r="AT30" s="23"/>
      <c r="AU30" s="45" t="str">
        <f t="shared" si="24"/>
        <v/>
      </c>
      <c r="AV30" s="25"/>
      <c r="AW30" s="45" t="str">
        <f t="shared" si="25"/>
        <v/>
      </c>
      <c r="AX30" s="47"/>
      <c r="AY30" s="22" t="str">
        <f t="shared" si="26"/>
        <v/>
      </c>
      <c r="AZ30" s="23"/>
      <c r="BA30" s="45" t="str">
        <f t="shared" si="27"/>
        <v/>
      </c>
      <c r="BB30" s="25"/>
      <c r="BC30" s="45" t="str">
        <f t="shared" si="28"/>
        <v/>
      </c>
      <c r="BD30" s="47"/>
      <c r="BE30" s="22" t="str">
        <f t="shared" si="29"/>
        <v/>
      </c>
      <c r="BF30" s="23"/>
      <c r="BG30" s="45" t="str">
        <f t="shared" si="30"/>
        <v/>
      </c>
      <c r="BH30" s="25"/>
      <c r="BI30" s="45" t="str">
        <f t="shared" si="31"/>
        <v/>
      </c>
      <c r="BJ30" s="20">
        <v>0.0</v>
      </c>
      <c r="BK30" s="5"/>
      <c r="BL30" s="22" t="str">
        <f t="shared" si="32"/>
        <v/>
      </c>
      <c r="BM30" s="23"/>
      <c r="BN30" s="45" t="str">
        <f t="shared" si="33"/>
        <v/>
      </c>
      <c r="BO30" s="25"/>
      <c r="BP30" s="45" t="str">
        <f t="shared" si="34"/>
        <v/>
      </c>
      <c r="BQ30" s="29" t="str">
        <f t="shared" si="35"/>
        <v/>
      </c>
      <c r="BR30" s="29">
        <f t="shared" si="36"/>
        <v>0</v>
      </c>
      <c r="BS30" s="29">
        <f t="shared" si="37"/>
        <v>0</v>
      </c>
      <c r="BT30" s="22" t="str">
        <f t="shared" si="38"/>
        <v/>
      </c>
      <c r="BU30" s="23"/>
      <c r="BV30" s="45" t="str">
        <f t="shared" si="39"/>
        <v/>
      </c>
      <c r="BW30" s="25"/>
      <c r="BX30" s="45" t="str">
        <f t="shared" si="40"/>
        <v/>
      </c>
      <c r="BY30" s="47"/>
      <c r="BZ30" s="22" t="str">
        <f t="shared" si="41"/>
        <v/>
      </c>
      <c r="CA30" s="23"/>
      <c r="CB30" s="45" t="str">
        <f t="shared" si="42"/>
        <v/>
      </c>
      <c r="CC30" s="25"/>
      <c r="CD30" s="45" t="str">
        <f t="shared" si="43"/>
        <v/>
      </c>
      <c r="CE30" s="47"/>
      <c r="CF30" s="22" t="str">
        <f t="shared" si="44"/>
        <v/>
      </c>
      <c r="CG30" s="23"/>
      <c r="CH30" s="45" t="str">
        <f t="shared" si="45"/>
        <v/>
      </c>
      <c r="CI30" s="25"/>
      <c r="CJ30" s="45" t="str">
        <f t="shared" si="46"/>
        <v/>
      </c>
      <c r="CK30" s="20">
        <v>0.0</v>
      </c>
      <c r="CL30" s="5"/>
      <c r="CM30" s="5"/>
      <c r="CN30" s="5"/>
    </row>
  </sheetData>
  <mergeCells count="33">
    <mergeCell ref="A1:C1"/>
    <mergeCell ref="D1:G1"/>
    <mergeCell ref="H1:H2"/>
    <mergeCell ref="I1:P1"/>
    <mergeCell ref="Q1:Q2"/>
    <mergeCell ref="R1:V1"/>
    <mergeCell ref="W1:W2"/>
    <mergeCell ref="X1:AB1"/>
    <mergeCell ref="AC1:AC2"/>
    <mergeCell ref="AD1:AH1"/>
    <mergeCell ref="AI1:AI2"/>
    <mergeCell ref="AJ1:AQ1"/>
    <mergeCell ref="AS1:AS2"/>
    <mergeCell ref="AY1:AY2"/>
    <mergeCell ref="BE1:BE2"/>
    <mergeCell ref="AT1:AX1"/>
    <mergeCell ref="AZ1:BD1"/>
    <mergeCell ref="BF1:BJ1"/>
    <mergeCell ref="BL1:BS1"/>
    <mergeCell ref="BT1:BT2"/>
    <mergeCell ref="BU1:BU2"/>
    <mergeCell ref="BV1:BV2"/>
    <mergeCell ref="CD1:CD2"/>
    <mergeCell ref="CE1:CE2"/>
    <mergeCell ref="CF1:CF2"/>
    <mergeCell ref="CG1:CK1"/>
    <mergeCell ref="BW1:BW2"/>
    <mergeCell ref="BX1:BX2"/>
    <mergeCell ref="BY1:BY2"/>
    <mergeCell ref="BZ1:BZ2"/>
    <mergeCell ref="CA1:CA2"/>
    <mergeCell ref="CB1:CB2"/>
    <mergeCell ref="CC1:CC2"/>
  </mergeCells>
  <dataValidations>
    <dataValidation type="list" allowBlank="1" showErrorMessage="1" sqref="AK3:AK30">
      <formula1>"Interior,Eksterior"</formula1>
    </dataValidation>
    <dataValidation type="list" allowBlank="1" showErrorMessage="1" sqref="D3:F30">
      <formula1>"1,2,3,4,5"</formula1>
    </dataValidation>
    <dataValidation type="list" allowBlank="1" showErrorMessage="1" sqref="G3:G30 J3:J30 R3:R30 X3:X30 AD3:AD30 AL3:AL30 AT3:AT30 AZ3:AZ30 BF3:BF30 BM3:BM30 BU3:BU30 CA3:CA30 CG3:CG30">
      <formula1>'List Personnel'!$A$2:$A$56</formula1>
    </dataValidation>
    <dataValidation type="list" allowBlank="1" showErrorMessage="1" sqref="V3:V30 AB3:AB30 AX3:AX30 BD3:BD30 BY3:BY30 CE3:CE30">
      <formula1>"5%,10%,20%,30%,40%,50%,60%,70%,80%,90%,100%"</formula1>
    </dataValidation>
    <dataValidation type="list" allowBlank="1" showErrorMessage="1" sqref="L3:L30 T3:T30 Z3:Z30 AF3:AF30 AN3:AN30 AV3:AV30 BB3:BB30 BH3:BH30 BO3:BO30 BW3:BW30 CC3:CC30 CI3:CI30">
      <formula1>"Ongoing,Done,Pending,Revision"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5.88"/>
    <col customWidth="1" min="2" max="2" width="22.75"/>
    <col customWidth="1" min="3" max="3" width="18.5"/>
    <col customWidth="1" min="4" max="4" width="19.75"/>
    <col customWidth="1" min="5" max="5" width="3.5"/>
    <col customWidth="1" min="6" max="6" width="9.75"/>
    <col customWidth="1" min="7" max="7" width="22.5"/>
    <col customWidth="1" min="8" max="8" width="20.88"/>
    <col collapsed="1" customWidth="1" min="10" max="10" width="19.13"/>
    <col hidden="1" min="11" max="13" width="12.63" outlineLevel="1"/>
    <col collapsed="1" min="14" max="14" width="12.63"/>
    <col hidden="1" min="15" max="19" width="12.63" outlineLevel="1"/>
    <col collapsed="1" min="20" max="20" width="12.63"/>
    <col hidden="1" min="21" max="25" width="12.63" outlineLevel="1"/>
    <col collapsed="1" customWidth="1" min="26" max="26" width="16.5"/>
    <col hidden="1" min="27" max="31" width="12.63" outlineLevel="1"/>
    <col customWidth="1" min="32" max="32" width="3.63"/>
    <col customWidth="1" min="33" max="33" width="7.13"/>
    <col customWidth="1" min="34" max="34" width="25.25"/>
    <col customWidth="1" min="35" max="35" width="22.5"/>
    <col customWidth="1" min="36" max="36" width="18.5"/>
    <col customWidth="1" min="37" max="37" width="19.75"/>
    <col customWidth="1" min="38" max="38" width="3.63"/>
    <col customWidth="1" min="39" max="39" width="11.13"/>
    <col customWidth="1" min="40" max="41" width="20.88"/>
    <col collapsed="1" customWidth="1" min="43" max="43" width="19.13"/>
    <col hidden="1" min="44" max="46" width="12.63" outlineLevel="1"/>
    <col collapsed="1" min="47" max="47" width="12.63"/>
    <col hidden="1" min="48" max="52" width="12.63" outlineLevel="1"/>
    <col collapsed="1" min="53" max="53" width="12.63"/>
    <col hidden="1" min="54" max="58" width="12.63" outlineLevel="1"/>
    <col collapsed="1" min="59" max="59" width="12.63"/>
    <col hidden="1" min="60" max="64" width="12.63" outlineLevel="1"/>
    <col customWidth="1" min="65" max="65" width="3.63"/>
  </cols>
  <sheetData>
    <row r="1">
      <c r="A1" s="97" t="s">
        <v>473</v>
      </c>
      <c r="C1" s="97" t="s">
        <v>474</v>
      </c>
      <c r="E1" s="5"/>
      <c r="F1" s="97" t="s">
        <v>475</v>
      </c>
      <c r="N1" s="99" t="s">
        <v>8</v>
      </c>
      <c r="O1" s="103" t="s">
        <v>8</v>
      </c>
      <c r="T1" s="99" t="s">
        <v>10</v>
      </c>
      <c r="U1" s="103" t="s">
        <v>10</v>
      </c>
      <c r="Z1" s="98" t="s">
        <v>476</v>
      </c>
      <c r="AA1" s="1" t="s">
        <v>14</v>
      </c>
      <c r="AF1" s="5"/>
      <c r="AG1" s="97" t="s">
        <v>477</v>
      </c>
      <c r="AJ1" s="97" t="s">
        <v>474</v>
      </c>
      <c r="AL1" s="5"/>
      <c r="AM1" s="97" t="s">
        <v>477</v>
      </c>
      <c r="AR1" s="104"/>
      <c r="AS1" s="104"/>
      <c r="AT1" s="104"/>
      <c r="AU1" s="99" t="s">
        <v>8</v>
      </c>
      <c r="AV1" s="103" t="s">
        <v>8</v>
      </c>
      <c r="BA1" s="99" t="s">
        <v>10</v>
      </c>
      <c r="BB1" s="103" t="s">
        <v>10</v>
      </c>
      <c r="BG1" s="98" t="s">
        <v>478</v>
      </c>
      <c r="BH1" s="104" t="s">
        <v>14</v>
      </c>
      <c r="BM1" s="5"/>
    </row>
    <row r="2">
      <c r="A2" s="15" t="s">
        <v>24</v>
      </c>
      <c r="B2" s="16" t="s">
        <v>479</v>
      </c>
      <c r="C2" s="16" t="s">
        <v>480</v>
      </c>
      <c r="D2" s="17" t="s">
        <v>31</v>
      </c>
      <c r="F2" s="15" t="s">
        <v>35</v>
      </c>
      <c r="G2" s="15" t="s">
        <v>36</v>
      </c>
      <c r="H2" s="17" t="s">
        <v>38</v>
      </c>
      <c r="I2" s="17" t="s">
        <v>39</v>
      </c>
      <c r="J2" s="17" t="s">
        <v>40</v>
      </c>
      <c r="K2" s="17" t="s">
        <v>42</v>
      </c>
      <c r="L2" s="17" t="s">
        <v>44</v>
      </c>
      <c r="M2" s="17" t="s">
        <v>45</v>
      </c>
      <c r="O2" s="103" t="s">
        <v>46</v>
      </c>
      <c r="P2" s="103" t="s">
        <v>38</v>
      </c>
      <c r="Q2" s="103" t="s">
        <v>39</v>
      </c>
      <c r="R2" s="103" t="s">
        <v>40</v>
      </c>
      <c r="S2" s="107" t="s">
        <v>47</v>
      </c>
      <c r="U2" s="103" t="s">
        <v>48</v>
      </c>
      <c r="V2" s="103" t="s">
        <v>38</v>
      </c>
      <c r="W2" s="103" t="s">
        <v>39</v>
      </c>
      <c r="X2" s="103" t="s">
        <v>40</v>
      </c>
      <c r="Y2" s="107" t="s">
        <v>47</v>
      </c>
      <c r="AA2" s="15" t="s">
        <v>49</v>
      </c>
      <c r="AB2" s="15" t="s">
        <v>38</v>
      </c>
      <c r="AC2" s="15" t="s">
        <v>39</v>
      </c>
      <c r="AD2" s="15" t="s">
        <v>40</v>
      </c>
      <c r="AE2" s="18" t="s">
        <v>51</v>
      </c>
      <c r="AG2" s="18" t="s">
        <v>24</v>
      </c>
      <c r="AH2" s="18" t="s">
        <v>481</v>
      </c>
      <c r="AI2" s="18" t="s">
        <v>65</v>
      </c>
      <c r="AJ2" s="16" t="s">
        <v>35</v>
      </c>
      <c r="AK2" s="17" t="s">
        <v>31</v>
      </c>
      <c r="AM2" s="16" t="s">
        <v>35</v>
      </c>
      <c r="AN2" s="15" t="s">
        <v>36</v>
      </c>
      <c r="AO2" s="17" t="s">
        <v>38</v>
      </c>
      <c r="AP2" s="17" t="s">
        <v>39</v>
      </c>
      <c r="AQ2" s="17" t="s">
        <v>40</v>
      </c>
      <c r="AR2" s="17" t="s">
        <v>42</v>
      </c>
      <c r="AS2" s="17" t="s">
        <v>44</v>
      </c>
      <c r="AT2" s="17" t="s">
        <v>45</v>
      </c>
      <c r="AV2" s="103" t="s">
        <v>46</v>
      </c>
      <c r="AW2" s="103" t="s">
        <v>38</v>
      </c>
      <c r="AX2" s="103" t="s">
        <v>39</v>
      </c>
      <c r="AY2" s="103" t="s">
        <v>40</v>
      </c>
      <c r="AZ2" s="107" t="s">
        <v>47</v>
      </c>
      <c r="BB2" s="103" t="s">
        <v>48</v>
      </c>
      <c r="BC2" s="103" t="s">
        <v>38</v>
      </c>
      <c r="BD2" s="103" t="s">
        <v>39</v>
      </c>
      <c r="BE2" s="103" t="s">
        <v>40</v>
      </c>
      <c r="BF2" s="107" t="s">
        <v>47</v>
      </c>
      <c r="BH2" s="15" t="s">
        <v>49</v>
      </c>
      <c r="BI2" s="15" t="s">
        <v>38</v>
      </c>
      <c r="BJ2" s="15" t="s">
        <v>39</v>
      </c>
      <c r="BK2" s="15" t="s">
        <v>40</v>
      </c>
      <c r="BL2" s="18" t="s">
        <v>51</v>
      </c>
      <c r="BM2" s="5"/>
    </row>
    <row r="3">
      <c r="A3" s="20" t="str">
        <f t="shared" ref="A3:A30" si="1">IF(B3="","",COUNTA($B$3:B3))</f>
        <v/>
      </c>
      <c r="B3" s="21"/>
      <c r="C3" s="20"/>
      <c r="D3" s="23"/>
      <c r="E3" s="5"/>
      <c r="F3" s="22" t="str">
        <f t="shared" ref="F3:F30" si="2">C3</f>
        <v/>
      </c>
      <c r="G3" s="23"/>
      <c r="H3" s="45" t="str">
        <f t="shared" ref="H3:H30" si="3">if(G3&lt;&gt;"", if(H3="",NOW(),H3),"")</f>
        <v/>
      </c>
      <c r="I3" s="25"/>
      <c r="J3" s="45" t="str">
        <f t="shared" ref="J3:J30" si="4">if(I3="Done", if(J3="",NOW(),J3),"")</f>
        <v/>
      </c>
      <c r="K3" s="29" t="str">
        <f t="shared" ref="K3:K30" si="5">IF(AND(H3&lt;&gt;"",J3&lt;&gt;""),(J3-H3)*1440,"")</f>
        <v/>
      </c>
      <c r="L3" s="29">
        <f t="shared" ref="L3:L30" si="6">IF(
  INT(H3)=INT(J3),
  IF(
    AND(MOD(H3,1)&lt;TIME(12,0,0), MOD(J3,1)&gt;TIME(12,0,0)),
    60,
    0
  ),
  IF(
    MOD(J3,1)&lt;=TIME(12,0,0),
    (INT(J3)-INT(H3))*960,
    (INT(J3)-INT(H3))*1020
  )
)</f>
        <v>0</v>
      </c>
      <c r="M3" s="29">
        <f t="shared" ref="M3:M30" si="7">(K3-L3)/60</f>
        <v>0</v>
      </c>
      <c r="N3" s="22" t="str">
        <f t="shared" ref="N3:N30" si="8">Q3</f>
        <v/>
      </c>
      <c r="O3" s="23"/>
      <c r="P3" s="45" t="str">
        <f t="shared" ref="P3:P30" si="9">if(O3&lt;&gt;"", if(P3="",NOW(),P3),"")</f>
        <v/>
      </c>
      <c r="Q3" s="25"/>
      <c r="R3" s="45" t="str">
        <f t="shared" ref="R3:R30" si="10">if(Q3="Done", if(R3="",NOW(),R3),"")</f>
        <v/>
      </c>
      <c r="S3" s="47"/>
      <c r="T3" s="22" t="str">
        <f t="shared" ref="T3:T30" si="11">W3</f>
        <v/>
      </c>
      <c r="U3" s="23"/>
      <c r="V3" s="45" t="str">
        <f t="shared" ref="V3:V30" si="12">if(U3&lt;&gt;"", if(V3="",NOW(),V3),"")</f>
        <v/>
      </c>
      <c r="W3" s="25"/>
      <c r="X3" s="45" t="str">
        <f t="shared" ref="X3:X30" si="13">if(W3="Done", if(X3="",NOW(),X3),"")</f>
        <v/>
      </c>
      <c r="Y3" s="47"/>
      <c r="Z3" s="22" t="str">
        <f t="shared" ref="Z3:Z30" si="14">AC3</f>
        <v/>
      </c>
      <c r="AA3" s="23"/>
      <c r="AB3" s="45" t="str">
        <f t="shared" ref="AB3:AB30" si="15">if(AA3&lt;&gt;"", if(AB3="",NOW(),AB3),"")</f>
        <v/>
      </c>
      <c r="AC3" s="25"/>
      <c r="AD3" s="45" t="str">
        <f t="shared" ref="AD3:AD30" si="16">if(AC3="Done", if(AD3="",NOW(),AD3),"")</f>
        <v/>
      </c>
      <c r="AE3" s="20">
        <v>0.0</v>
      </c>
      <c r="AF3" s="5"/>
      <c r="AG3" s="22">
        <f t="shared" ref="AG3:AG30" si="17">IF(AH3="","",COUNTA($AG$3:AG3))</f>
        <v>1</v>
      </c>
      <c r="AH3" s="20" t="s">
        <v>482</v>
      </c>
      <c r="AI3" s="20" t="s">
        <v>483</v>
      </c>
      <c r="AJ3" s="20">
        <v>1.0</v>
      </c>
      <c r="AK3" s="23" t="s">
        <v>484</v>
      </c>
      <c r="AL3" s="5"/>
      <c r="AM3" s="45">
        <f t="shared" ref="AM3:AM30" si="18">AJ3</f>
        <v>1</v>
      </c>
      <c r="AN3" s="23" t="s">
        <v>485</v>
      </c>
      <c r="AO3" s="24">
        <v>46192.413310185184</v>
      </c>
      <c r="AP3" s="25" t="s">
        <v>69</v>
      </c>
      <c r="AQ3" s="24">
        <v>46192.71192129629</v>
      </c>
      <c r="AR3" s="29">
        <f t="shared" ref="AR3:AR30" si="19">IF(AND(AO3&lt;&gt;"",AQ3&lt;&gt;""),(AQ3-AO3)*1440,"")</f>
        <v>430</v>
      </c>
      <c r="AS3" s="29">
        <f t="shared" ref="AS3:AS30" si="20">IF(
  INT(AO3)=INT(AQ3),
  IF(
    AND(MOD(AO3,1)&lt;TIME(12,0,0), MOD(AQ3,1)&gt;TIME(12,0,0)),
    60,
    0
  ),
  IF(
    MOD(AQ3,1)&lt;=TIME(12,0,0),
    (INT(AQ3)-INT(AO3))*960,
    (INT(AQ3)-INT(AO3))*1020
  )
)</f>
        <v>60</v>
      </c>
      <c r="AT3" s="29">
        <f t="shared" ref="AT3:AT30" si="21">(AR3-AS3)/60</f>
        <v>6.166666667</v>
      </c>
      <c r="AU3" s="22" t="str">
        <f t="shared" ref="AU3:AU30" si="22">AX3</f>
        <v/>
      </c>
      <c r="AV3" s="23"/>
      <c r="AW3" s="45" t="str">
        <f t="shared" ref="AW3:AW30" si="23">if(AV3&lt;&gt;"", if(AW3="",NOW(),AW3),"")</f>
        <v/>
      </c>
      <c r="AX3" s="25"/>
      <c r="AY3" s="45" t="str">
        <f t="shared" ref="AY3:AY30" si="24">if(AX3="Done", if(AY3="",NOW(),AY3),"")</f>
        <v/>
      </c>
      <c r="AZ3" s="47"/>
      <c r="BA3" s="22" t="str">
        <f t="shared" ref="BA3:BA30" si="25">BD3</f>
        <v/>
      </c>
      <c r="BB3" s="23"/>
      <c r="BC3" s="45" t="str">
        <f t="shared" ref="BC3:BC30" si="26">if(BB3&lt;&gt;"", if(BC3="",NOW(),BC3),"")</f>
        <v/>
      </c>
      <c r="BD3" s="25"/>
      <c r="BE3" s="45" t="str">
        <f t="shared" ref="BE3:BE30" si="27">if(BD3="Done", if(BE3="",NOW(),BE3),"")</f>
        <v/>
      </c>
      <c r="BF3" s="47"/>
      <c r="BG3" s="22" t="str">
        <f t="shared" ref="BG3:BG30" si="28">BJ3</f>
        <v/>
      </c>
      <c r="BH3" s="23"/>
      <c r="BI3" s="45" t="str">
        <f t="shared" ref="BI3:BI30" si="29">if(BH3&lt;&gt;"", if(BI3="",NOW(),BI3),"")</f>
        <v/>
      </c>
      <c r="BJ3" s="25"/>
      <c r="BK3" s="45" t="str">
        <f t="shared" ref="BK3:BK30" si="30">if(BJ3="Done", if(BK3="",NOW(),BK3),"")</f>
        <v/>
      </c>
      <c r="BL3" s="20">
        <v>0.0</v>
      </c>
      <c r="BM3" s="5"/>
    </row>
    <row r="4">
      <c r="A4" s="20" t="str">
        <f t="shared" si="1"/>
        <v/>
      </c>
      <c r="B4" s="21"/>
      <c r="C4" s="20"/>
      <c r="D4" s="23"/>
      <c r="E4" s="5"/>
      <c r="F4" s="22" t="str">
        <f t="shared" si="2"/>
        <v/>
      </c>
      <c r="G4" s="23"/>
      <c r="H4" s="45" t="str">
        <f t="shared" si="3"/>
        <v/>
      </c>
      <c r="I4" s="25"/>
      <c r="J4" s="45" t="str">
        <f t="shared" si="4"/>
        <v/>
      </c>
      <c r="K4" s="29" t="str">
        <f t="shared" si="5"/>
        <v/>
      </c>
      <c r="L4" s="29">
        <f t="shared" si="6"/>
        <v>0</v>
      </c>
      <c r="M4" s="29">
        <f t="shared" si="7"/>
        <v>0</v>
      </c>
      <c r="N4" s="22" t="str">
        <f t="shared" si="8"/>
        <v/>
      </c>
      <c r="O4" s="23"/>
      <c r="P4" s="45" t="str">
        <f t="shared" si="9"/>
        <v/>
      </c>
      <c r="Q4" s="25"/>
      <c r="R4" s="45" t="str">
        <f t="shared" si="10"/>
        <v/>
      </c>
      <c r="S4" s="47"/>
      <c r="T4" s="22" t="str">
        <f t="shared" si="11"/>
        <v/>
      </c>
      <c r="U4" s="23"/>
      <c r="V4" s="45" t="str">
        <f t="shared" si="12"/>
        <v/>
      </c>
      <c r="W4" s="25"/>
      <c r="X4" s="45" t="str">
        <f t="shared" si="13"/>
        <v/>
      </c>
      <c r="Y4" s="47"/>
      <c r="Z4" s="22" t="str">
        <f t="shared" si="14"/>
        <v/>
      </c>
      <c r="AA4" s="23"/>
      <c r="AB4" s="45" t="str">
        <f t="shared" si="15"/>
        <v/>
      </c>
      <c r="AC4" s="25"/>
      <c r="AD4" s="45" t="str">
        <f t="shared" si="16"/>
        <v/>
      </c>
      <c r="AE4" s="20">
        <v>0.0</v>
      </c>
      <c r="AF4" s="5"/>
      <c r="AG4" s="22">
        <f t="shared" si="17"/>
        <v>2</v>
      </c>
      <c r="AH4" s="20" t="s">
        <v>482</v>
      </c>
      <c r="AI4" s="20" t="s">
        <v>483</v>
      </c>
      <c r="AJ4" s="20">
        <v>1.0</v>
      </c>
      <c r="AK4" s="23" t="s">
        <v>484</v>
      </c>
      <c r="AL4" s="5"/>
      <c r="AM4" s="45">
        <f t="shared" si="18"/>
        <v>1</v>
      </c>
      <c r="AN4" s="23" t="s">
        <v>485</v>
      </c>
      <c r="AO4" s="24">
        <v>46195.413310185184</v>
      </c>
      <c r="AP4" s="25" t="s">
        <v>69</v>
      </c>
      <c r="AQ4" s="24">
        <v>46195.71192129629</v>
      </c>
      <c r="AR4" s="29">
        <f t="shared" si="19"/>
        <v>430</v>
      </c>
      <c r="AS4" s="29">
        <f t="shared" si="20"/>
        <v>60</v>
      </c>
      <c r="AT4" s="29">
        <f t="shared" si="21"/>
        <v>6.166666667</v>
      </c>
      <c r="AU4" s="22" t="str">
        <f t="shared" si="22"/>
        <v/>
      </c>
      <c r="AV4" s="23"/>
      <c r="AW4" s="45" t="str">
        <f t="shared" si="23"/>
        <v/>
      </c>
      <c r="AX4" s="25"/>
      <c r="AY4" s="45" t="str">
        <f t="shared" si="24"/>
        <v/>
      </c>
      <c r="AZ4" s="47"/>
      <c r="BA4" s="22" t="str">
        <f t="shared" si="25"/>
        <v/>
      </c>
      <c r="BB4" s="23"/>
      <c r="BC4" s="45" t="str">
        <f t="shared" si="26"/>
        <v/>
      </c>
      <c r="BD4" s="25"/>
      <c r="BE4" s="45" t="str">
        <f t="shared" si="27"/>
        <v/>
      </c>
      <c r="BF4" s="47"/>
      <c r="BG4" s="22" t="str">
        <f t="shared" si="28"/>
        <v/>
      </c>
      <c r="BH4" s="23"/>
      <c r="BI4" s="45" t="str">
        <f t="shared" si="29"/>
        <v/>
      </c>
      <c r="BJ4" s="25"/>
      <c r="BK4" s="45" t="str">
        <f t="shared" si="30"/>
        <v/>
      </c>
      <c r="BL4" s="20">
        <v>0.0</v>
      </c>
      <c r="BM4" s="5"/>
    </row>
    <row r="5">
      <c r="A5" s="20" t="str">
        <f t="shared" si="1"/>
        <v/>
      </c>
      <c r="B5" s="21"/>
      <c r="C5" s="20"/>
      <c r="D5" s="23"/>
      <c r="E5" s="5"/>
      <c r="F5" s="22" t="str">
        <f t="shared" si="2"/>
        <v/>
      </c>
      <c r="G5" s="23"/>
      <c r="H5" s="45" t="str">
        <f t="shared" si="3"/>
        <v/>
      </c>
      <c r="I5" s="25"/>
      <c r="J5" s="45" t="str">
        <f t="shared" si="4"/>
        <v/>
      </c>
      <c r="K5" s="29" t="str">
        <f t="shared" si="5"/>
        <v/>
      </c>
      <c r="L5" s="29">
        <f t="shared" si="6"/>
        <v>0</v>
      </c>
      <c r="M5" s="29">
        <f t="shared" si="7"/>
        <v>0</v>
      </c>
      <c r="N5" s="22" t="str">
        <f t="shared" si="8"/>
        <v/>
      </c>
      <c r="O5" s="23"/>
      <c r="P5" s="45" t="str">
        <f t="shared" si="9"/>
        <v/>
      </c>
      <c r="Q5" s="25"/>
      <c r="R5" s="45" t="str">
        <f t="shared" si="10"/>
        <v/>
      </c>
      <c r="S5" s="47"/>
      <c r="T5" s="22" t="str">
        <f t="shared" si="11"/>
        <v/>
      </c>
      <c r="U5" s="23"/>
      <c r="V5" s="45" t="str">
        <f t="shared" si="12"/>
        <v/>
      </c>
      <c r="W5" s="25"/>
      <c r="X5" s="45" t="str">
        <f t="shared" si="13"/>
        <v/>
      </c>
      <c r="Y5" s="47"/>
      <c r="Z5" s="22" t="str">
        <f t="shared" si="14"/>
        <v/>
      </c>
      <c r="AA5" s="23"/>
      <c r="AB5" s="45" t="str">
        <f t="shared" si="15"/>
        <v/>
      </c>
      <c r="AC5" s="25"/>
      <c r="AD5" s="45" t="str">
        <f t="shared" si="16"/>
        <v/>
      </c>
      <c r="AE5" s="20">
        <v>0.0</v>
      </c>
      <c r="AF5" s="5"/>
      <c r="AG5" s="22">
        <f t="shared" si="17"/>
        <v>3</v>
      </c>
      <c r="AH5" s="20" t="s">
        <v>482</v>
      </c>
      <c r="AI5" s="20" t="s">
        <v>483</v>
      </c>
      <c r="AJ5" s="20">
        <v>1.0</v>
      </c>
      <c r="AK5" s="23" t="s">
        <v>484</v>
      </c>
      <c r="AL5" s="5"/>
      <c r="AM5" s="45">
        <f t="shared" si="18"/>
        <v>1</v>
      </c>
      <c r="AN5" s="23" t="s">
        <v>485</v>
      </c>
      <c r="AO5" s="24">
        <v>46196.413310185184</v>
      </c>
      <c r="AP5" s="25" t="s">
        <v>69</v>
      </c>
      <c r="AQ5" s="24">
        <v>46196.71192129629</v>
      </c>
      <c r="AR5" s="29">
        <f t="shared" si="19"/>
        <v>430</v>
      </c>
      <c r="AS5" s="29">
        <f t="shared" si="20"/>
        <v>60</v>
      </c>
      <c r="AT5" s="29">
        <f t="shared" si="21"/>
        <v>6.166666667</v>
      </c>
      <c r="AU5" s="22" t="str">
        <f t="shared" si="22"/>
        <v/>
      </c>
      <c r="AV5" s="23"/>
      <c r="AW5" s="45" t="str">
        <f t="shared" si="23"/>
        <v/>
      </c>
      <c r="AX5" s="25"/>
      <c r="AY5" s="45" t="str">
        <f t="shared" si="24"/>
        <v/>
      </c>
      <c r="AZ5" s="47"/>
      <c r="BA5" s="22" t="str">
        <f t="shared" si="25"/>
        <v/>
      </c>
      <c r="BB5" s="23"/>
      <c r="BC5" s="45" t="str">
        <f t="shared" si="26"/>
        <v/>
      </c>
      <c r="BD5" s="25"/>
      <c r="BE5" s="45" t="str">
        <f t="shared" si="27"/>
        <v/>
      </c>
      <c r="BF5" s="47"/>
      <c r="BG5" s="22" t="str">
        <f t="shared" si="28"/>
        <v/>
      </c>
      <c r="BH5" s="23"/>
      <c r="BI5" s="45" t="str">
        <f t="shared" si="29"/>
        <v/>
      </c>
      <c r="BJ5" s="25"/>
      <c r="BK5" s="45" t="str">
        <f t="shared" si="30"/>
        <v/>
      </c>
      <c r="BL5" s="20">
        <v>0.0</v>
      </c>
      <c r="BM5" s="5"/>
    </row>
    <row r="6">
      <c r="A6" s="20" t="str">
        <f t="shared" si="1"/>
        <v/>
      </c>
      <c r="B6" s="21"/>
      <c r="C6" s="20"/>
      <c r="D6" s="23"/>
      <c r="E6" s="5"/>
      <c r="F6" s="22" t="str">
        <f t="shared" si="2"/>
        <v/>
      </c>
      <c r="G6" s="23"/>
      <c r="H6" s="45" t="str">
        <f t="shared" si="3"/>
        <v/>
      </c>
      <c r="I6" s="25"/>
      <c r="J6" s="45" t="str">
        <f t="shared" si="4"/>
        <v/>
      </c>
      <c r="K6" s="29" t="str">
        <f t="shared" si="5"/>
        <v/>
      </c>
      <c r="L6" s="29">
        <f t="shared" si="6"/>
        <v>0</v>
      </c>
      <c r="M6" s="29">
        <f t="shared" si="7"/>
        <v>0</v>
      </c>
      <c r="N6" s="22" t="str">
        <f t="shared" si="8"/>
        <v/>
      </c>
      <c r="O6" s="23"/>
      <c r="P6" s="45" t="str">
        <f t="shared" si="9"/>
        <v/>
      </c>
      <c r="Q6" s="25"/>
      <c r="R6" s="45" t="str">
        <f t="shared" si="10"/>
        <v/>
      </c>
      <c r="S6" s="47"/>
      <c r="T6" s="22" t="str">
        <f t="shared" si="11"/>
        <v/>
      </c>
      <c r="U6" s="23"/>
      <c r="V6" s="45" t="str">
        <f t="shared" si="12"/>
        <v/>
      </c>
      <c r="W6" s="25"/>
      <c r="X6" s="45" t="str">
        <f t="shared" si="13"/>
        <v/>
      </c>
      <c r="Y6" s="47"/>
      <c r="Z6" s="22" t="str">
        <f t="shared" si="14"/>
        <v/>
      </c>
      <c r="AA6" s="23"/>
      <c r="AB6" s="45" t="str">
        <f t="shared" si="15"/>
        <v/>
      </c>
      <c r="AC6" s="25"/>
      <c r="AD6" s="45" t="str">
        <f t="shared" si="16"/>
        <v/>
      </c>
      <c r="AE6" s="20">
        <v>0.0</v>
      </c>
      <c r="AF6" s="5"/>
      <c r="AG6" s="22">
        <f t="shared" si="17"/>
        <v>4</v>
      </c>
      <c r="AH6" s="20" t="s">
        <v>482</v>
      </c>
      <c r="AI6" s="20" t="s">
        <v>483</v>
      </c>
      <c r="AJ6" s="20">
        <v>1.0</v>
      </c>
      <c r="AK6" s="23" t="s">
        <v>484</v>
      </c>
      <c r="AL6" s="5"/>
      <c r="AM6" s="45">
        <f t="shared" si="18"/>
        <v>1</v>
      </c>
      <c r="AN6" s="23" t="s">
        <v>485</v>
      </c>
      <c r="AO6" s="24">
        <v>46197.413310185184</v>
      </c>
      <c r="AP6" s="25" t="s">
        <v>69</v>
      </c>
      <c r="AQ6" s="24">
        <v>46197.71192129629</v>
      </c>
      <c r="AR6" s="29">
        <f t="shared" si="19"/>
        <v>430</v>
      </c>
      <c r="AS6" s="29">
        <f t="shared" si="20"/>
        <v>60</v>
      </c>
      <c r="AT6" s="29">
        <f t="shared" si="21"/>
        <v>6.166666667</v>
      </c>
      <c r="AU6" s="22" t="str">
        <f t="shared" si="22"/>
        <v/>
      </c>
      <c r="AV6" s="23"/>
      <c r="AW6" s="45" t="str">
        <f t="shared" si="23"/>
        <v/>
      </c>
      <c r="AX6" s="25"/>
      <c r="AY6" s="45" t="str">
        <f t="shared" si="24"/>
        <v/>
      </c>
      <c r="AZ6" s="47"/>
      <c r="BA6" s="22" t="str">
        <f t="shared" si="25"/>
        <v/>
      </c>
      <c r="BB6" s="23"/>
      <c r="BC6" s="45" t="str">
        <f t="shared" si="26"/>
        <v/>
      </c>
      <c r="BD6" s="25"/>
      <c r="BE6" s="45" t="str">
        <f t="shared" si="27"/>
        <v/>
      </c>
      <c r="BF6" s="47"/>
      <c r="BG6" s="22" t="str">
        <f t="shared" si="28"/>
        <v/>
      </c>
      <c r="BH6" s="23"/>
      <c r="BI6" s="45" t="str">
        <f t="shared" si="29"/>
        <v/>
      </c>
      <c r="BJ6" s="25"/>
      <c r="BK6" s="45" t="str">
        <f t="shared" si="30"/>
        <v/>
      </c>
      <c r="BL6" s="20">
        <v>0.0</v>
      </c>
      <c r="BM6" s="5"/>
    </row>
    <row r="7">
      <c r="A7" s="20" t="str">
        <f t="shared" si="1"/>
        <v/>
      </c>
      <c r="B7" s="21"/>
      <c r="C7" s="20"/>
      <c r="D7" s="23"/>
      <c r="E7" s="5"/>
      <c r="F7" s="22" t="str">
        <f t="shared" si="2"/>
        <v/>
      </c>
      <c r="G7" s="23"/>
      <c r="H7" s="45" t="str">
        <f t="shared" si="3"/>
        <v/>
      </c>
      <c r="I7" s="25"/>
      <c r="J7" s="45" t="str">
        <f t="shared" si="4"/>
        <v/>
      </c>
      <c r="K7" s="29" t="str">
        <f t="shared" si="5"/>
        <v/>
      </c>
      <c r="L7" s="29">
        <f t="shared" si="6"/>
        <v>0</v>
      </c>
      <c r="M7" s="29">
        <f t="shared" si="7"/>
        <v>0</v>
      </c>
      <c r="N7" s="22" t="str">
        <f t="shared" si="8"/>
        <v/>
      </c>
      <c r="O7" s="23"/>
      <c r="P7" s="45" t="str">
        <f t="shared" si="9"/>
        <v/>
      </c>
      <c r="Q7" s="25"/>
      <c r="R7" s="45" t="str">
        <f t="shared" si="10"/>
        <v/>
      </c>
      <c r="S7" s="47"/>
      <c r="T7" s="22" t="str">
        <f t="shared" si="11"/>
        <v/>
      </c>
      <c r="U7" s="23"/>
      <c r="V7" s="45" t="str">
        <f t="shared" si="12"/>
        <v/>
      </c>
      <c r="W7" s="25"/>
      <c r="X7" s="45" t="str">
        <f t="shared" si="13"/>
        <v/>
      </c>
      <c r="Y7" s="47"/>
      <c r="Z7" s="22" t="str">
        <f t="shared" si="14"/>
        <v/>
      </c>
      <c r="AA7" s="23"/>
      <c r="AB7" s="45" t="str">
        <f t="shared" si="15"/>
        <v/>
      </c>
      <c r="AC7" s="25"/>
      <c r="AD7" s="45" t="str">
        <f t="shared" si="16"/>
        <v/>
      </c>
      <c r="AE7" s="20">
        <v>0.0</v>
      </c>
      <c r="AF7" s="5"/>
      <c r="AG7" s="22" t="str">
        <f t="shared" si="17"/>
        <v/>
      </c>
      <c r="AH7" s="20" t="str">
        <f t="shared" ref="AH7:AH30" si="31">IF(AI7="","",
IF(AI7="Logo",
"2DLG_ARMD_"&amp;TEXT(COUNTIF($AI$3:AI7,"Logo"),"000"),
IF(AI7="Brochure",
"BRC_ARMD_"&amp;TEXT(COUNTIF($AI$3:AI7,"Brochure"),"000"),
IF(AI7="Design Template Video",
"2DVD_ARMD_"&amp;TEXT(COUNTIF($AI$3:AI7,"Design Template Video"),"000"),
IF(AI7="Template PDF",
"2DTMP_ARMD_"&amp;TEXT(COUNTIF($AI$3:AI7,"Template PDF"),"000"),
"")))))</f>
        <v/>
      </c>
      <c r="AI7" s="20"/>
      <c r="AJ7" s="20"/>
      <c r="AK7" s="23"/>
      <c r="AL7" s="5"/>
      <c r="AM7" s="45" t="str">
        <f t="shared" si="18"/>
        <v/>
      </c>
      <c r="AN7" s="23"/>
      <c r="AO7" s="45" t="str">
        <f t="shared" ref="AO7:AO30" si="32">if(AN7&lt;&gt;"", if(AO7="",NOW(),AO7),"")</f>
        <v/>
      </c>
      <c r="AP7" s="25"/>
      <c r="AQ7" s="45" t="str">
        <f t="shared" ref="AQ7:AQ30" si="33">if(AP7="Done", if(AQ7="",NOW(),AQ7),"")</f>
        <v/>
      </c>
      <c r="AR7" s="29" t="str">
        <f t="shared" si="19"/>
        <v/>
      </c>
      <c r="AS7" s="29">
        <f t="shared" si="20"/>
        <v>0</v>
      </c>
      <c r="AT7" s="29">
        <f t="shared" si="21"/>
        <v>0</v>
      </c>
      <c r="AU7" s="22" t="str">
        <f t="shared" si="22"/>
        <v/>
      </c>
      <c r="AV7" s="23"/>
      <c r="AW7" s="45" t="str">
        <f t="shared" si="23"/>
        <v/>
      </c>
      <c r="AX7" s="25"/>
      <c r="AY7" s="45" t="str">
        <f t="shared" si="24"/>
        <v/>
      </c>
      <c r="AZ7" s="47"/>
      <c r="BA7" s="22" t="str">
        <f t="shared" si="25"/>
        <v/>
      </c>
      <c r="BB7" s="23"/>
      <c r="BC7" s="45" t="str">
        <f t="shared" si="26"/>
        <v/>
      </c>
      <c r="BD7" s="25"/>
      <c r="BE7" s="45" t="str">
        <f t="shared" si="27"/>
        <v/>
      </c>
      <c r="BF7" s="47"/>
      <c r="BG7" s="22" t="str">
        <f t="shared" si="28"/>
        <v/>
      </c>
      <c r="BH7" s="23"/>
      <c r="BI7" s="45" t="str">
        <f t="shared" si="29"/>
        <v/>
      </c>
      <c r="BJ7" s="25"/>
      <c r="BK7" s="45" t="str">
        <f t="shared" si="30"/>
        <v/>
      </c>
      <c r="BL7" s="20">
        <v>0.0</v>
      </c>
      <c r="BM7" s="5"/>
    </row>
    <row r="8">
      <c r="A8" s="20" t="str">
        <f t="shared" si="1"/>
        <v/>
      </c>
      <c r="B8" s="21"/>
      <c r="C8" s="20"/>
      <c r="D8" s="23"/>
      <c r="E8" s="5"/>
      <c r="F8" s="22" t="str">
        <f t="shared" si="2"/>
        <v/>
      </c>
      <c r="G8" s="23"/>
      <c r="H8" s="45" t="str">
        <f t="shared" si="3"/>
        <v/>
      </c>
      <c r="I8" s="25"/>
      <c r="J8" s="45" t="str">
        <f t="shared" si="4"/>
        <v/>
      </c>
      <c r="K8" s="29" t="str">
        <f t="shared" si="5"/>
        <v/>
      </c>
      <c r="L8" s="29">
        <f t="shared" si="6"/>
        <v>0</v>
      </c>
      <c r="M8" s="29">
        <f t="shared" si="7"/>
        <v>0</v>
      </c>
      <c r="N8" s="22" t="str">
        <f t="shared" si="8"/>
        <v/>
      </c>
      <c r="O8" s="23"/>
      <c r="P8" s="45" t="str">
        <f t="shared" si="9"/>
        <v/>
      </c>
      <c r="Q8" s="25"/>
      <c r="R8" s="45" t="str">
        <f t="shared" si="10"/>
        <v/>
      </c>
      <c r="S8" s="47"/>
      <c r="T8" s="22" t="str">
        <f t="shared" si="11"/>
        <v/>
      </c>
      <c r="U8" s="23"/>
      <c r="V8" s="45" t="str">
        <f t="shared" si="12"/>
        <v/>
      </c>
      <c r="W8" s="25"/>
      <c r="X8" s="45" t="str">
        <f t="shared" si="13"/>
        <v/>
      </c>
      <c r="Y8" s="47"/>
      <c r="Z8" s="22" t="str">
        <f t="shared" si="14"/>
        <v/>
      </c>
      <c r="AA8" s="23"/>
      <c r="AB8" s="45" t="str">
        <f t="shared" si="15"/>
        <v/>
      </c>
      <c r="AC8" s="25"/>
      <c r="AD8" s="45" t="str">
        <f t="shared" si="16"/>
        <v/>
      </c>
      <c r="AE8" s="20">
        <v>0.0</v>
      </c>
      <c r="AF8" s="5"/>
      <c r="AG8" s="22" t="str">
        <f t="shared" si="17"/>
        <v/>
      </c>
      <c r="AH8" s="20" t="str">
        <f t="shared" si="31"/>
        <v/>
      </c>
      <c r="AI8" s="20"/>
      <c r="AJ8" s="20"/>
      <c r="AK8" s="23"/>
      <c r="AL8" s="5"/>
      <c r="AM8" s="45" t="str">
        <f t="shared" si="18"/>
        <v/>
      </c>
      <c r="AN8" s="23"/>
      <c r="AO8" s="45" t="str">
        <f t="shared" si="32"/>
        <v/>
      </c>
      <c r="AP8" s="25"/>
      <c r="AQ8" s="45" t="str">
        <f t="shared" si="33"/>
        <v/>
      </c>
      <c r="AR8" s="29" t="str">
        <f t="shared" si="19"/>
        <v/>
      </c>
      <c r="AS8" s="29">
        <f t="shared" si="20"/>
        <v>0</v>
      </c>
      <c r="AT8" s="29">
        <f t="shared" si="21"/>
        <v>0</v>
      </c>
      <c r="AU8" s="22" t="str">
        <f t="shared" si="22"/>
        <v/>
      </c>
      <c r="AV8" s="23"/>
      <c r="AW8" s="45" t="str">
        <f t="shared" si="23"/>
        <v/>
      </c>
      <c r="AX8" s="25"/>
      <c r="AY8" s="45" t="str">
        <f t="shared" si="24"/>
        <v/>
      </c>
      <c r="AZ8" s="47"/>
      <c r="BA8" s="22" t="str">
        <f t="shared" si="25"/>
        <v/>
      </c>
      <c r="BB8" s="23"/>
      <c r="BC8" s="45" t="str">
        <f t="shared" si="26"/>
        <v/>
      </c>
      <c r="BD8" s="25"/>
      <c r="BE8" s="45" t="str">
        <f t="shared" si="27"/>
        <v/>
      </c>
      <c r="BF8" s="47"/>
      <c r="BG8" s="22" t="str">
        <f t="shared" si="28"/>
        <v/>
      </c>
      <c r="BH8" s="23"/>
      <c r="BI8" s="45" t="str">
        <f t="shared" si="29"/>
        <v/>
      </c>
      <c r="BJ8" s="25"/>
      <c r="BK8" s="45" t="str">
        <f t="shared" si="30"/>
        <v/>
      </c>
      <c r="BL8" s="20">
        <v>0.0</v>
      </c>
      <c r="BM8" s="5"/>
    </row>
    <row r="9">
      <c r="A9" s="20" t="str">
        <f t="shared" si="1"/>
        <v/>
      </c>
      <c r="B9" s="21"/>
      <c r="C9" s="20"/>
      <c r="D9" s="23"/>
      <c r="E9" s="5"/>
      <c r="F9" s="22" t="str">
        <f t="shared" si="2"/>
        <v/>
      </c>
      <c r="G9" s="23"/>
      <c r="H9" s="45" t="str">
        <f t="shared" si="3"/>
        <v/>
      </c>
      <c r="I9" s="25"/>
      <c r="J9" s="45" t="str">
        <f t="shared" si="4"/>
        <v/>
      </c>
      <c r="K9" s="29" t="str">
        <f t="shared" si="5"/>
        <v/>
      </c>
      <c r="L9" s="29">
        <f t="shared" si="6"/>
        <v>0</v>
      </c>
      <c r="M9" s="29">
        <f t="shared" si="7"/>
        <v>0</v>
      </c>
      <c r="N9" s="22" t="str">
        <f t="shared" si="8"/>
        <v/>
      </c>
      <c r="O9" s="23"/>
      <c r="P9" s="45" t="str">
        <f t="shared" si="9"/>
        <v/>
      </c>
      <c r="Q9" s="25"/>
      <c r="R9" s="45" t="str">
        <f t="shared" si="10"/>
        <v/>
      </c>
      <c r="S9" s="47"/>
      <c r="T9" s="22" t="str">
        <f t="shared" si="11"/>
        <v/>
      </c>
      <c r="U9" s="23"/>
      <c r="V9" s="45" t="str">
        <f t="shared" si="12"/>
        <v/>
      </c>
      <c r="W9" s="25"/>
      <c r="X9" s="45" t="str">
        <f t="shared" si="13"/>
        <v/>
      </c>
      <c r="Y9" s="47"/>
      <c r="Z9" s="22" t="str">
        <f t="shared" si="14"/>
        <v/>
      </c>
      <c r="AA9" s="23"/>
      <c r="AB9" s="45" t="str">
        <f t="shared" si="15"/>
        <v/>
      </c>
      <c r="AC9" s="25"/>
      <c r="AD9" s="45" t="str">
        <f t="shared" si="16"/>
        <v/>
      </c>
      <c r="AE9" s="20">
        <v>0.0</v>
      </c>
      <c r="AF9" s="5"/>
      <c r="AG9" s="22" t="str">
        <f t="shared" si="17"/>
        <v/>
      </c>
      <c r="AH9" s="20" t="str">
        <f t="shared" si="31"/>
        <v/>
      </c>
      <c r="AI9" s="20"/>
      <c r="AJ9" s="20"/>
      <c r="AK9" s="23"/>
      <c r="AL9" s="5"/>
      <c r="AM9" s="45" t="str">
        <f t="shared" si="18"/>
        <v/>
      </c>
      <c r="AN9" s="23"/>
      <c r="AO9" s="45" t="str">
        <f t="shared" si="32"/>
        <v/>
      </c>
      <c r="AP9" s="25"/>
      <c r="AQ9" s="45" t="str">
        <f t="shared" si="33"/>
        <v/>
      </c>
      <c r="AR9" s="29" t="str">
        <f t="shared" si="19"/>
        <v/>
      </c>
      <c r="AS9" s="29">
        <f t="shared" si="20"/>
        <v>0</v>
      </c>
      <c r="AT9" s="29">
        <f t="shared" si="21"/>
        <v>0</v>
      </c>
      <c r="AU9" s="22" t="str">
        <f t="shared" si="22"/>
        <v/>
      </c>
      <c r="AV9" s="23"/>
      <c r="AW9" s="45" t="str">
        <f t="shared" si="23"/>
        <v/>
      </c>
      <c r="AX9" s="25"/>
      <c r="AY9" s="45" t="str">
        <f t="shared" si="24"/>
        <v/>
      </c>
      <c r="AZ9" s="47"/>
      <c r="BA9" s="22" t="str">
        <f t="shared" si="25"/>
        <v/>
      </c>
      <c r="BB9" s="23"/>
      <c r="BC9" s="45" t="str">
        <f t="shared" si="26"/>
        <v/>
      </c>
      <c r="BD9" s="25"/>
      <c r="BE9" s="45" t="str">
        <f t="shared" si="27"/>
        <v/>
      </c>
      <c r="BF9" s="47"/>
      <c r="BG9" s="22" t="str">
        <f t="shared" si="28"/>
        <v/>
      </c>
      <c r="BH9" s="23"/>
      <c r="BI9" s="45" t="str">
        <f t="shared" si="29"/>
        <v/>
      </c>
      <c r="BJ9" s="25"/>
      <c r="BK9" s="45" t="str">
        <f t="shared" si="30"/>
        <v/>
      </c>
      <c r="BL9" s="20">
        <v>0.0</v>
      </c>
      <c r="BM9" s="5"/>
    </row>
    <row r="10">
      <c r="A10" s="20" t="str">
        <f t="shared" si="1"/>
        <v/>
      </c>
      <c r="B10" s="21"/>
      <c r="C10" s="20"/>
      <c r="D10" s="23"/>
      <c r="E10" s="5"/>
      <c r="F10" s="22" t="str">
        <f t="shared" si="2"/>
        <v/>
      </c>
      <c r="G10" s="23"/>
      <c r="H10" s="45" t="str">
        <f t="shared" si="3"/>
        <v/>
      </c>
      <c r="I10" s="25"/>
      <c r="J10" s="45" t="str">
        <f t="shared" si="4"/>
        <v/>
      </c>
      <c r="K10" s="29" t="str">
        <f t="shared" si="5"/>
        <v/>
      </c>
      <c r="L10" s="29">
        <f t="shared" si="6"/>
        <v>0</v>
      </c>
      <c r="M10" s="29">
        <f t="shared" si="7"/>
        <v>0</v>
      </c>
      <c r="N10" s="22" t="str">
        <f t="shared" si="8"/>
        <v/>
      </c>
      <c r="O10" s="23"/>
      <c r="P10" s="45" t="str">
        <f t="shared" si="9"/>
        <v/>
      </c>
      <c r="Q10" s="25"/>
      <c r="R10" s="45" t="str">
        <f t="shared" si="10"/>
        <v/>
      </c>
      <c r="S10" s="47"/>
      <c r="T10" s="22" t="str">
        <f t="shared" si="11"/>
        <v/>
      </c>
      <c r="U10" s="23"/>
      <c r="V10" s="45" t="str">
        <f t="shared" si="12"/>
        <v/>
      </c>
      <c r="W10" s="25"/>
      <c r="X10" s="45" t="str">
        <f t="shared" si="13"/>
        <v/>
      </c>
      <c r="Y10" s="47"/>
      <c r="Z10" s="22" t="str">
        <f t="shared" si="14"/>
        <v/>
      </c>
      <c r="AA10" s="23"/>
      <c r="AB10" s="45" t="str">
        <f t="shared" si="15"/>
        <v/>
      </c>
      <c r="AC10" s="25"/>
      <c r="AD10" s="45" t="str">
        <f t="shared" si="16"/>
        <v/>
      </c>
      <c r="AE10" s="20">
        <v>0.0</v>
      </c>
      <c r="AF10" s="5"/>
      <c r="AG10" s="22" t="str">
        <f t="shared" si="17"/>
        <v/>
      </c>
      <c r="AH10" s="20" t="str">
        <f t="shared" si="31"/>
        <v/>
      </c>
      <c r="AI10" s="20"/>
      <c r="AJ10" s="20"/>
      <c r="AK10" s="23"/>
      <c r="AL10" s="5"/>
      <c r="AM10" s="45" t="str">
        <f t="shared" si="18"/>
        <v/>
      </c>
      <c r="AN10" s="23"/>
      <c r="AO10" s="45" t="str">
        <f t="shared" si="32"/>
        <v/>
      </c>
      <c r="AP10" s="25"/>
      <c r="AQ10" s="45" t="str">
        <f t="shared" si="33"/>
        <v/>
      </c>
      <c r="AR10" s="29" t="str">
        <f t="shared" si="19"/>
        <v/>
      </c>
      <c r="AS10" s="29">
        <f t="shared" si="20"/>
        <v>0</v>
      </c>
      <c r="AT10" s="29">
        <f t="shared" si="21"/>
        <v>0</v>
      </c>
      <c r="AU10" s="22" t="str">
        <f t="shared" si="22"/>
        <v/>
      </c>
      <c r="AV10" s="23"/>
      <c r="AW10" s="45" t="str">
        <f t="shared" si="23"/>
        <v/>
      </c>
      <c r="AX10" s="25"/>
      <c r="AY10" s="45" t="str">
        <f t="shared" si="24"/>
        <v/>
      </c>
      <c r="AZ10" s="47"/>
      <c r="BA10" s="22" t="str">
        <f t="shared" si="25"/>
        <v/>
      </c>
      <c r="BB10" s="23"/>
      <c r="BC10" s="45" t="str">
        <f t="shared" si="26"/>
        <v/>
      </c>
      <c r="BD10" s="25"/>
      <c r="BE10" s="45" t="str">
        <f t="shared" si="27"/>
        <v/>
      </c>
      <c r="BF10" s="47"/>
      <c r="BG10" s="22" t="str">
        <f t="shared" si="28"/>
        <v/>
      </c>
      <c r="BH10" s="23"/>
      <c r="BI10" s="45" t="str">
        <f t="shared" si="29"/>
        <v/>
      </c>
      <c r="BJ10" s="25"/>
      <c r="BK10" s="45" t="str">
        <f t="shared" si="30"/>
        <v/>
      </c>
      <c r="BL10" s="20">
        <v>0.0</v>
      </c>
      <c r="BM10" s="5"/>
    </row>
    <row r="11">
      <c r="A11" s="20" t="str">
        <f t="shared" si="1"/>
        <v/>
      </c>
      <c r="B11" s="21"/>
      <c r="C11" s="20"/>
      <c r="D11" s="23"/>
      <c r="E11" s="5"/>
      <c r="F11" s="22" t="str">
        <f t="shared" si="2"/>
        <v/>
      </c>
      <c r="G11" s="23"/>
      <c r="H11" s="45" t="str">
        <f t="shared" si="3"/>
        <v/>
      </c>
      <c r="I11" s="25"/>
      <c r="J11" s="45" t="str">
        <f t="shared" si="4"/>
        <v/>
      </c>
      <c r="K11" s="29" t="str">
        <f t="shared" si="5"/>
        <v/>
      </c>
      <c r="L11" s="29">
        <f t="shared" si="6"/>
        <v>0</v>
      </c>
      <c r="M11" s="29">
        <f t="shared" si="7"/>
        <v>0</v>
      </c>
      <c r="N11" s="22" t="str">
        <f t="shared" si="8"/>
        <v/>
      </c>
      <c r="O11" s="23"/>
      <c r="P11" s="45" t="str">
        <f t="shared" si="9"/>
        <v/>
      </c>
      <c r="Q11" s="25"/>
      <c r="R11" s="45" t="str">
        <f t="shared" si="10"/>
        <v/>
      </c>
      <c r="S11" s="47"/>
      <c r="T11" s="22" t="str">
        <f t="shared" si="11"/>
        <v/>
      </c>
      <c r="U11" s="23"/>
      <c r="V11" s="45" t="str">
        <f t="shared" si="12"/>
        <v/>
      </c>
      <c r="W11" s="25"/>
      <c r="X11" s="45" t="str">
        <f t="shared" si="13"/>
        <v/>
      </c>
      <c r="Y11" s="47"/>
      <c r="Z11" s="22" t="str">
        <f t="shared" si="14"/>
        <v/>
      </c>
      <c r="AA11" s="23"/>
      <c r="AB11" s="45" t="str">
        <f t="shared" si="15"/>
        <v/>
      </c>
      <c r="AC11" s="25"/>
      <c r="AD11" s="45" t="str">
        <f t="shared" si="16"/>
        <v/>
      </c>
      <c r="AE11" s="20">
        <v>0.0</v>
      </c>
      <c r="AF11" s="5"/>
      <c r="AG11" s="22" t="str">
        <f t="shared" si="17"/>
        <v/>
      </c>
      <c r="AH11" s="20" t="str">
        <f t="shared" si="31"/>
        <v/>
      </c>
      <c r="AI11" s="20"/>
      <c r="AJ11" s="20"/>
      <c r="AK11" s="23"/>
      <c r="AL11" s="5"/>
      <c r="AM11" s="45" t="str">
        <f t="shared" si="18"/>
        <v/>
      </c>
      <c r="AN11" s="23"/>
      <c r="AO11" s="45" t="str">
        <f t="shared" si="32"/>
        <v/>
      </c>
      <c r="AP11" s="25"/>
      <c r="AQ11" s="45" t="str">
        <f t="shared" si="33"/>
        <v/>
      </c>
      <c r="AR11" s="29" t="str">
        <f t="shared" si="19"/>
        <v/>
      </c>
      <c r="AS11" s="29">
        <f t="shared" si="20"/>
        <v>0</v>
      </c>
      <c r="AT11" s="29">
        <f t="shared" si="21"/>
        <v>0</v>
      </c>
      <c r="AU11" s="22" t="str">
        <f t="shared" si="22"/>
        <v/>
      </c>
      <c r="AV11" s="23"/>
      <c r="AW11" s="45" t="str">
        <f t="shared" si="23"/>
        <v/>
      </c>
      <c r="AX11" s="25"/>
      <c r="AY11" s="45" t="str">
        <f t="shared" si="24"/>
        <v/>
      </c>
      <c r="AZ11" s="47"/>
      <c r="BA11" s="22" t="str">
        <f t="shared" si="25"/>
        <v/>
      </c>
      <c r="BB11" s="23"/>
      <c r="BC11" s="45" t="str">
        <f t="shared" si="26"/>
        <v/>
      </c>
      <c r="BD11" s="25"/>
      <c r="BE11" s="45" t="str">
        <f t="shared" si="27"/>
        <v/>
      </c>
      <c r="BF11" s="47"/>
      <c r="BG11" s="22" t="str">
        <f t="shared" si="28"/>
        <v/>
      </c>
      <c r="BH11" s="23"/>
      <c r="BI11" s="45" t="str">
        <f t="shared" si="29"/>
        <v/>
      </c>
      <c r="BJ11" s="25"/>
      <c r="BK11" s="45" t="str">
        <f t="shared" si="30"/>
        <v/>
      </c>
      <c r="BL11" s="20">
        <v>0.0</v>
      </c>
      <c r="BM11" s="5"/>
    </row>
    <row r="12">
      <c r="A12" s="20" t="str">
        <f t="shared" si="1"/>
        <v/>
      </c>
      <c r="B12" s="21"/>
      <c r="C12" s="20"/>
      <c r="D12" s="23"/>
      <c r="E12" s="5"/>
      <c r="F12" s="22" t="str">
        <f t="shared" si="2"/>
        <v/>
      </c>
      <c r="G12" s="23"/>
      <c r="H12" s="45" t="str">
        <f t="shared" si="3"/>
        <v/>
      </c>
      <c r="I12" s="25"/>
      <c r="J12" s="45" t="str">
        <f t="shared" si="4"/>
        <v/>
      </c>
      <c r="K12" s="29" t="str">
        <f t="shared" si="5"/>
        <v/>
      </c>
      <c r="L12" s="29">
        <f t="shared" si="6"/>
        <v>0</v>
      </c>
      <c r="M12" s="29">
        <f t="shared" si="7"/>
        <v>0</v>
      </c>
      <c r="N12" s="22" t="str">
        <f t="shared" si="8"/>
        <v/>
      </c>
      <c r="O12" s="23"/>
      <c r="P12" s="45" t="str">
        <f t="shared" si="9"/>
        <v/>
      </c>
      <c r="Q12" s="25"/>
      <c r="R12" s="45" t="str">
        <f t="shared" si="10"/>
        <v/>
      </c>
      <c r="S12" s="47"/>
      <c r="T12" s="22" t="str">
        <f t="shared" si="11"/>
        <v/>
      </c>
      <c r="U12" s="23"/>
      <c r="V12" s="45" t="str">
        <f t="shared" si="12"/>
        <v/>
      </c>
      <c r="W12" s="25"/>
      <c r="X12" s="45" t="str">
        <f t="shared" si="13"/>
        <v/>
      </c>
      <c r="Y12" s="47"/>
      <c r="Z12" s="22" t="str">
        <f t="shared" si="14"/>
        <v/>
      </c>
      <c r="AA12" s="23"/>
      <c r="AB12" s="45" t="str">
        <f t="shared" si="15"/>
        <v/>
      </c>
      <c r="AC12" s="25"/>
      <c r="AD12" s="45" t="str">
        <f t="shared" si="16"/>
        <v/>
      </c>
      <c r="AE12" s="20">
        <v>0.0</v>
      </c>
      <c r="AF12" s="5"/>
      <c r="AG12" s="22" t="str">
        <f t="shared" si="17"/>
        <v/>
      </c>
      <c r="AH12" s="20" t="str">
        <f t="shared" si="31"/>
        <v/>
      </c>
      <c r="AI12" s="20"/>
      <c r="AJ12" s="20"/>
      <c r="AK12" s="23"/>
      <c r="AL12" s="5"/>
      <c r="AM12" s="45" t="str">
        <f t="shared" si="18"/>
        <v/>
      </c>
      <c r="AN12" s="23"/>
      <c r="AO12" s="45" t="str">
        <f t="shared" si="32"/>
        <v/>
      </c>
      <c r="AP12" s="25"/>
      <c r="AQ12" s="45" t="str">
        <f t="shared" si="33"/>
        <v/>
      </c>
      <c r="AR12" s="29" t="str">
        <f t="shared" si="19"/>
        <v/>
      </c>
      <c r="AS12" s="29">
        <f t="shared" si="20"/>
        <v>0</v>
      </c>
      <c r="AT12" s="29">
        <f t="shared" si="21"/>
        <v>0</v>
      </c>
      <c r="AU12" s="22" t="str">
        <f t="shared" si="22"/>
        <v/>
      </c>
      <c r="AV12" s="23"/>
      <c r="AW12" s="45" t="str">
        <f t="shared" si="23"/>
        <v/>
      </c>
      <c r="AX12" s="25"/>
      <c r="AY12" s="45" t="str">
        <f t="shared" si="24"/>
        <v/>
      </c>
      <c r="AZ12" s="47"/>
      <c r="BA12" s="22" t="str">
        <f t="shared" si="25"/>
        <v/>
      </c>
      <c r="BB12" s="23"/>
      <c r="BC12" s="45" t="str">
        <f t="shared" si="26"/>
        <v/>
      </c>
      <c r="BD12" s="25"/>
      <c r="BE12" s="45" t="str">
        <f t="shared" si="27"/>
        <v/>
      </c>
      <c r="BF12" s="47"/>
      <c r="BG12" s="22" t="str">
        <f t="shared" si="28"/>
        <v/>
      </c>
      <c r="BH12" s="23"/>
      <c r="BI12" s="45" t="str">
        <f t="shared" si="29"/>
        <v/>
      </c>
      <c r="BJ12" s="25"/>
      <c r="BK12" s="45" t="str">
        <f t="shared" si="30"/>
        <v/>
      </c>
      <c r="BL12" s="20">
        <v>0.0</v>
      </c>
      <c r="BM12" s="5"/>
    </row>
    <row r="13">
      <c r="A13" s="20" t="str">
        <f t="shared" si="1"/>
        <v/>
      </c>
      <c r="B13" s="21"/>
      <c r="C13" s="20"/>
      <c r="D13" s="23"/>
      <c r="E13" s="5"/>
      <c r="F13" s="22" t="str">
        <f t="shared" si="2"/>
        <v/>
      </c>
      <c r="G13" s="23"/>
      <c r="H13" s="45" t="str">
        <f t="shared" si="3"/>
        <v/>
      </c>
      <c r="I13" s="25"/>
      <c r="J13" s="45" t="str">
        <f t="shared" si="4"/>
        <v/>
      </c>
      <c r="K13" s="29" t="str">
        <f t="shared" si="5"/>
        <v/>
      </c>
      <c r="L13" s="29">
        <f t="shared" si="6"/>
        <v>0</v>
      </c>
      <c r="M13" s="29">
        <f t="shared" si="7"/>
        <v>0</v>
      </c>
      <c r="N13" s="22" t="str">
        <f t="shared" si="8"/>
        <v/>
      </c>
      <c r="O13" s="23"/>
      <c r="P13" s="45" t="str">
        <f t="shared" si="9"/>
        <v/>
      </c>
      <c r="Q13" s="25"/>
      <c r="R13" s="45" t="str">
        <f t="shared" si="10"/>
        <v/>
      </c>
      <c r="S13" s="47"/>
      <c r="T13" s="22" t="str">
        <f t="shared" si="11"/>
        <v/>
      </c>
      <c r="U13" s="23"/>
      <c r="V13" s="45" t="str">
        <f t="shared" si="12"/>
        <v/>
      </c>
      <c r="W13" s="25"/>
      <c r="X13" s="45" t="str">
        <f t="shared" si="13"/>
        <v/>
      </c>
      <c r="Y13" s="47"/>
      <c r="Z13" s="22" t="str">
        <f t="shared" si="14"/>
        <v/>
      </c>
      <c r="AA13" s="23"/>
      <c r="AB13" s="45" t="str">
        <f t="shared" si="15"/>
        <v/>
      </c>
      <c r="AC13" s="25"/>
      <c r="AD13" s="45" t="str">
        <f t="shared" si="16"/>
        <v/>
      </c>
      <c r="AE13" s="20">
        <v>0.0</v>
      </c>
      <c r="AF13" s="5"/>
      <c r="AG13" s="22" t="str">
        <f t="shared" si="17"/>
        <v/>
      </c>
      <c r="AH13" s="20" t="str">
        <f t="shared" si="31"/>
        <v/>
      </c>
      <c r="AI13" s="20"/>
      <c r="AJ13" s="20"/>
      <c r="AK13" s="23"/>
      <c r="AL13" s="5"/>
      <c r="AM13" s="45" t="str">
        <f t="shared" si="18"/>
        <v/>
      </c>
      <c r="AN13" s="23"/>
      <c r="AO13" s="45" t="str">
        <f t="shared" si="32"/>
        <v/>
      </c>
      <c r="AP13" s="25"/>
      <c r="AQ13" s="45" t="str">
        <f t="shared" si="33"/>
        <v/>
      </c>
      <c r="AR13" s="29" t="str">
        <f t="shared" si="19"/>
        <v/>
      </c>
      <c r="AS13" s="29">
        <f t="shared" si="20"/>
        <v>0</v>
      </c>
      <c r="AT13" s="29">
        <f t="shared" si="21"/>
        <v>0</v>
      </c>
      <c r="AU13" s="22" t="str">
        <f t="shared" si="22"/>
        <v/>
      </c>
      <c r="AV13" s="23"/>
      <c r="AW13" s="45" t="str">
        <f t="shared" si="23"/>
        <v/>
      </c>
      <c r="AX13" s="25"/>
      <c r="AY13" s="45" t="str">
        <f t="shared" si="24"/>
        <v/>
      </c>
      <c r="AZ13" s="47"/>
      <c r="BA13" s="22" t="str">
        <f t="shared" si="25"/>
        <v/>
      </c>
      <c r="BB13" s="23"/>
      <c r="BC13" s="45" t="str">
        <f t="shared" si="26"/>
        <v/>
      </c>
      <c r="BD13" s="25"/>
      <c r="BE13" s="45" t="str">
        <f t="shared" si="27"/>
        <v/>
      </c>
      <c r="BF13" s="47"/>
      <c r="BG13" s="22" t="str">
        <f t="shared" si="28"/>
        <v/>
      </c>
      <c r="BH13" s="23"/>
      <c r="BI13" s="45" t="str">
        <f t="shared" si="29"/>
        <v/>
      </c>
      <c r="BJ13" s="25"/>
      <c r="BK13" s="45" t="str">
        <f t="shared" si="30"/>
        <v/>
      </c>
      <c r="BL13" s="20">
        <v>0.0</v>
      </c>
      <c r="BM13" s="5"/>
    </row>
    <row r="14">
      <c r="A14" s="20" t="str">
        <f t="shared" si="1"/>
        <v/>
      </c>
      <c r="B14" s="21"/>
      <c r="C14" s="20"/>
      <c r="D14" s="23"/>
      <c r="E14" s="5"/>
      <c r="F14" s="22" t="str">
        <f t="shared" si="2"/>
        <v/>
      </c>
      <c r="G14" s="23"/>
      <c r="H14" s="45" t="str">
        <f t="shared" si="3"/>
        <v/>
      </c>
      <c r="I14" s="25"/>
      <c r="J14" s="45" t="str">
        <f t="shared" si="4"/>
        <v/>
      </c>
      <c r="K14" s="29" t="str">
        <f t="shared" si="5"/>
        <v/>
      </c>
      <c r="L14" s="29">
        <f t="shared" si="6"/>
        <v>0</v>
      </c>
      <c r="M14" s="29">
        <f t="shared" si="7"/>
        <v>0</v>
      </c>
      <c r="N14" s="22" t="str">
        <f t="shared" si="8"/>
        <v/>
      </c>
      <c r="O14" s="23"/>
      <c r="P14" s="45" t="str">
        <f t="shared" si="9"/>
        <v/>
      </c>
      <c r="Q14" s="25"/>
      <c r="R14" s="45" t="str">
        <f t="shared" si="10"/>
        <v/>
      </c>
      <c r="S14" s="47"/>
      <c r="T14" s="22" t="str">
        <f t="shared" si="11"/>
        <v/>
      </c>
      <c r="U14" s="23"/>
      <c r="V14" s="45" t="str">
        <f t="shared" si="12"/>
        <v/>
      </c>
      <c r="W14" s="25"/>
      <c r="X14" s="45" t="str">
        <f t="shared" si="13"/>
        <v/>
      </c>
      <c r="Y14" s="47"/>
      <c r="Z14" s="22" t="str">
        <f t="shared" si="14"/>
        <v/>
      </c>
      <c r="AA14" s="23"/>
      <c r="AB14" s="45" t="str">
        <f t="shared" si="15"/>
        <v/>
      </c>
      <c r="AC14" s="25"/>
      <c r="AD14" s="45" t="str">
        <f t="shared" si="16"/>
        <v/>
      </c>
      <c r="AE14" s="20">
        <v>0.0</v>
      </c>
      <c r="AF14" s="5"/>
      <c r="AG14" s="22" t="str">
        <f t="shared" si="17"/>
        <v/>
      </c>
      <c r="AH14" s="20" t="str">
        <f t="shared" si="31"/>
        <v/>
      </c>
      <c r="AI14" s="20"/>
      <c r="AJ14" s="20"/>
      <c r="AK14" s="23"/>
      <c r="AL14" s="5"/>
      <c r="AM14" s="45" t="str">
        <f t="shared" si="18"/>
        <v/>
      </c>
      <c r="AN14" s="23"/>
      <c r="AO14" s="45" t="str">
        <f t="shared" si="32"/>
        <v/>
      </c>
      <c r="AP14" s="25"/>
      <c r="AQ14" s="45" t="str">
        <f t="shared" si="33"/>
        <v/>
      </c>
      <c r="AR14" s="29" t="str">
        <f t="shared" si="19"/>
        <v/>
      </c>
      <c r="AS14" s="29">
        <f t="shared" si="20"/>
        <v>0</v>
      </c>
      <c r="AT14" s="29">
        <f t="shared" si="21"/>
        <v>0</v>
      </c>
      <c r="AU14" s="22" t="str">
        <f t="shared" si="22"/>
        <v/>
      </c>
      <c r="AV14" s="23"/>
      <c r="AW14" s="45" t="str">
        <f t="shared" si="23"/>
        <v/>
      </c>
      <c r="AX14" s="25"/>
      <c r="AY14" s="45" t="str">
        <f t="shared" si="24"/>
        <v/>
      </c>
      <c r="AZ14" s="47"/>
      <c r="BA14" s="22" t="str">
        <f t="shared" si="25"/>
        <v/>
      </c>
      <c r="BB14" s="23"/>
      <c r="BC14" s="45" t="str">
        <f t="shared" si="26"/>
        <v/>
      </c>
      <c r="BD14" s="25"/>
      <c r="BE14" s="45" t="str">
        <f t="shared" si="27"/>
        <v/>
      </c>
      <c r="BF14" s="47"/>
      <c r="BG14" s="22" t="str">
        <f t="shared" si="28"/>
        <v/>
      </c>
      <c r="BH14" s="23"/>
      <c r="BI14" s="45" t="str">
        <f t="shared" si="29"/>
        <v/>
      </c>
      <c r="BJ14" s="25"/>
      <c r="BK14" s="45" t="str">
        <f t="shared" si="30"/>
        <v/>
      </c>
      <c r="BL14" s="20">
        <v>0.0</v>
      </c>
      <c r="BM14" s="5"/>
    </row>
    <row r="15">
      <c r="A15" s="20" t="str">
        <f t="shared" si="1"/>
        <v/>
      </c>
      <c r="B15" s="21"/>
      <c r="C15" s="20"/>
      <c r="D15" s="23"/>
      <c r="E15" s="5"/>
      <c r="F15" s="22" t="str">
        <f t="shared" si="2"/>
        <v/>
      </c>
      <c r="G15" s="23"/>
      <c r="H15" s="45" t="str">
        <f t="shared" si="3"/>
        <v/>
      </c>
      <c r="I15" s="25"/>
      <c r="J15" s="45" t="str">
        <f t="shared" si="4"/>
        <v/>
      </c>
      <c r="K15" s="29" t="str">
        <f t="shared" si="5"/>
        <v/>
      </c>
      <c r="L15" s="29">
        <f t="shared" si="6"/>
        <v>0</v>
      </c>
      <c r="M15" s="29">
        <f t="shared" si="7"/>
        <v>0</v>
      </c>
      <c r="N15" s="22" t="str">
        <f t="shared" si="8"/>
        <v/>
      </c>
      <c r="O15" s="23"/>
      <c r="P15" s="45" t="str">
        <f t="shared" si="9"/>
        <v/>
      </c>
      <c r="Q15" s="25"/>
      <c r="R15" s="45" t="str">
        <f t="shared" si="10"/>
        <v/>
      </c>
      <c r="S15" s="47"/>
      <c r="T15" s="22" t="str">
        <f t="shared" si="11"/>
        <v/>
      </c>
      <c r="U15" s="23"/>
      <c r="V15" s="45" t="str">
        <f t="shared" si="12"/>
        <v/>
      </c>
      <c r="W15" s="25"/>
      <c r="X15" s="45" t="str">
        <f t="shared" si="13"/>
        <v/>
      </c>
      <c r="Y15" s="47"/>
      <c r="Z15" s="22" t="str">
        <f t="shared" si="14"/>
        <v/>
      </c>
      <c r="AA15" s="23"/>
      <c r="AB15" s="45" t="str">
        <f t="shared" si="15"/>
        <v/>
      </c>
      <c r="AC15" s="25"/>
      <c r="AD15" s="45" t="str">
        <f t="shared" si="16"/>
        <v/>
      </c>
      <c r="AE15" s="20">
        <v>0.0</v>
      </c>
      <c r="AF15" s="5"/>
      <c r="AG15" s="22" t="str">
        <f t="shared" si="17"/>
        <v/>
      </c>
      <c r="AH15" s="20" t="str">
        <f t="shared" si="31"/>
        <v/>
      </c>
      <c r="AI15" s="20"/>
      <c r="AJ15" s="20"/>
      <c r="AK15" s="23"/>
      <c r="AL15" s="5"/>
      <c r="AM15" s="45" t="str">
        <f t="shared" si="18"/>
        <v/>
      </c>
      <c r="AN15" s="23"/>
      <c r="AO15" s="45" t="str">
        <f t="shared" si="32"/>
        <v/>
      </c>
      <c r="AP15" s="25"/>
      <c r="AQ15" s="45" t="str">
        <f t="shared" si="33"/>
        <v/>
      </c>
      <c r="AR15" s="29" t="str">
        <f t="shared" si="19"/>
        <v/>
      </c>
      <c r="AS15" s="29">
        <f t="shared" si="20"/>
        <v>0</v>
      </c>
      <c r="AT15" s="29">
        <f t="shared" si="21"/>
        <v>0</v>
      </c>
      <c r="AU15" s="22" t="str">
        <f t="shared" si="22"/>
        <v/>
      </c>
      <c r="AV15" s="23"/>
      <c r="AW15" s="45" t="str">
        <f t="shared" si="23"/>
        <v/>
      </c>
      <c r="AX15" s="25"/>
      <c r="AY15" s="45" t="str">
        <f t="shared" si="24"/>
        <v/>
      </c>
      <c r="AZ15" s="47"/>
      <c r="BA15" s="22" t="str">
        <f t="shared" si="25"/>
        <v/>
      </c>
      <c r="BB15" s="23"/>
      <c r="BC15" s="45" t="str">
        <f t="shared" si="26"/>
        <v/>
      </c>
      <c r="BD15" s="25"/>
      <c r="BE15" s="45" t="str">
        <f t="shared" si="27"/>
        <v/>
      </c>
      <c r="BF15" s="47"/>
      <c r="BG15" s="22" t="str">
        <f t="shared" si="28"/>
        <v/>
      </c>
      <c r="BH15" s="23"/>
      <c r="BI15" s="45" t="str">
        <f t="shared" si="29"/>
        <v/>
      </c>
      <c r="BJ15" s="25"/>
      <c r="BK15" s="45" t="str">
        <f t="shared" si="30"/>
        <v/>
      </c>
      <c r="BL15" s="20">
        <v>0.0</v>
      </c>
      <c r="BM15" s="5"/>
    </row>
    <row r="16">
      <c r="A16" s="20" t="str">
        <f t="shared" si="1"/>
        <v/>
      </c>
      <c r="B16" s="21"/>
      <c r="C16" s="20"/>
      <c r="D16" s="55"/>
      <c r="E16" s="5"/>
      <c r="F16" s="22" t="str">
        <f t="shared" si="2"/>
        <v/>
      </c>
      <c r="G16" s="23"/>
      <c r="H16" s="45" t="str">
        <f t="shared" si="3"/>
        <v/>
      </c>
      <c r="I16" s="25"/>
      <c r="J16" s="45" t="str">
        <f t="shared" si="4"/>
        <v/>
      </c>
      <c r="K16" s="29" t="str">
        <f t="shared" si="5"/>
        <v/>
      </c>
      <c r="L16" s="29">
        <f t="shared" si="6"/>
        <v>0</v>
      </c>
      <c r="M16" s="29">
        <f t="shared" si="7"/>
        <v>0</v>
      </c>
      <c r="N16" s="22" t="str">
        <f t="shared" si="8"/>
        <v/>
      </c>
      <c r="O16" s="23"/>
      <c r="P16" s="45" t="str">
        <f t="shared" si="9"/>
        <v/>
      </c>
      <c r="Q16" s="25"/>
      <c r="R16" s="45" t="str">
        <f t="shared" si="10"/>
        <v/>
      </c>
      <c r="S16" s="47"/>
      <c r="T16" s="22" t="str">
        <f t="shared" si="11"/>
        <v/>
      </c>
      <c r="U16" s="23"/>
      <c r="V16" s="45" t="str">
        <f t="shared" si="12"/>
        <v/>
      </c>
      <c r="W16" s="25"/>
      <c r="X16" s="45" t="str">
        <f t="shared" si="13"/>
        <v/>
      </c>
      <c r="Y16" s="47"/>
      <c r="Z16" s="22" t="str">
        <f t="shared" si="14"/>
        <v/>
      </c>
      <c r="AA16" s="23"/>
      <c r="AB16" s="45" t="str">
        <f t="shared" si="15"/>
        <v/>
      </c>
      <c r="AC16" s="25"/>
      <c r="AD16" s="45" t="str">
        <f t="shared" si="16"/>
        <v/>
      </c>
      <c r="AE16" s="20">
        <v>0.0</v>
      </c>
      <c r="AF16" s="5"/>
      <c r="AG16" s="22" t="str">
        <f t="shared" si="17"/>
        <v/>
      </c>
      <c r="AH16" s="20" t="str">
        <f t="shared" si="31"/>
        <v/>
      </c>
      <c r="AI16" s="20"/>
      <c r="AJ16" s="20"/>
      <c r="AK16" s="55"/>
      <c r="AL16" s="5"/>
      <c r="AM16" s="45" t="str">
        <f t="shared" si="18"/>
        <v/>
      </c>
      <c r="AN16" s="23"/>
      <c r="AO16" s="45" t="str">
        <f t="shared" si="32"/>
        <v/>
      </c>
      <c r="AP16" s="25"/>
      <c r="AQ16" s="45" t="str">
        <f t="shared" si="33"/>
        <v/>
      </c>
      <c r="AR16" s="29" t="str">
        <f t="shared" si="19"/>
        <v/>
      </c>
      <c r="AS16" s="29">
        <f t="shared" si="20"/>
        <v>0</v>
      </c>
      <c r="AT16" s="29">
        <f t="shared" si="21"/>
        <v>0</v>
      </c>
      <c r="AU16" s="22" t="str">
        <f t="shared" si="22"/>
        <v/>
      </c>
      <c r="AV16" s="23"/>
      <c r="AW16" s="45" t="str">
        <f t="shared" si="23"/>
        <v/>
      </c>
      <c r="AX16" s="25"/>
      <c r="AY16" s="45" t="str">
        <f t="shared" si="24"/>
        <v/>
      </c>
      <c r="AZ16" s="47"/>
      <c r="BA16" s="22" t="str">
        <f t="shared" si="25"/>
        <v/>
      </c>
      <c r="BB16" s="23"/>
      <c r="BC16" s="45" t="str">
        <f t="shared" si="26"/>
        <v/>
      </c>
      <c r="BD16" s="25"/>
      <c r="BE16" s="45" t="str">
        <f t="shared" si="27"/>
        <v/>
      </c>
      <c r="BF16" s="47"/>
      <c r="BG16" s="22" t="str">
        <f t="shared" si="28"/>
        <v/>
      </c>
      <c r="BH16" s="23"/>
      <c r="BI16" s="45" t="str">
        <f t="shared" si="29"/>
        <v/>
      </c>
      <c r="BJ16" s="25"/>
      <c r="BK16" s="45" t="str">
        <f t="shared" si="30"/>
        <v/>
      </c>
      <c r="BL16" s="20">
        <v>0.0</v>
      </c>
      <c r="BM16" s="5"/>
    </row>
    <row r="17">
      <c r="A17" s="20" t="str">
        <f t="shared" si="1"/>
        <v/>
      </c>
      <c r="B17" s="21"/>
      <c r="C17" s="20"/>
      <c r="D17" s="55"/>
      <c r="E17" s="5"/>
      <c r="F17" s="22" t="str">
        <f t="shared" si="2"/>
        <v/>
      </c>
      <c r="G17" s="23"/>
      <c r="H17" s="45" t="str">
        <f t="shared" si="3"/>
        <v/>
      </c>
      <c r="I17" s="25"/>
      <c r="J17" s="45" t="str">
        <f t="shared" si="4"/>
        <v/>
      </c>
      <c r="K17" s="29" t="str">
        <f t="shared" si="5"/>
        <v/>
      </c>
      <c r="L17" s="29">
        <f t="shared" si="6"/>
        <v>0</v>
      </c>
      <c r="M17" s="29">
        <f t="shared" si="7"/>
        <v>0</v>
      </c>
      <c r="N17" s="22" t="str">
        <f t="shared" si="8"/>
        <v/>
      </c>
      <c r="O17" s="23"/>
      <c r="P17" s="45" t="str">
        <f t="shared" si="9"/>
        <v/>
      </c>
      <c r="Q17" s="25"/>
      <c r="R17" s="45" t="str">
        <f t="shared" si="10"/>
        <v/>
      </c>
      <c r="S17" s="47"/>
      <c r="T17" s="22" t="str">
        <f t="shared" si="11"/>
        <v/>
      </c>
      <c r="U17" s="23"/>
      <c r="V17" s="45" t="str">
        <f t="shared" si="12"/>
        <v/>
      </c>
      <c r="W17" s="25"/>
      <c r="X17" s="45" t="str">
        <f t="shared" si="13"/>
        <v/>
      </c>
      <c r="Y17" s="47"/>
      <c r="Z17" s="22" t="str">
        <f t="shared" si="14"/>
        <v/>
      </c>
      <c r="AA17" s="23"/>
      <c r="AB17" s="45" t="str">
        <f t="shared" si="15"/>
        <v/>
      </c>
      <c r="AC17" s="25"/>
      <c r="AD17" s="45" t="str">
        <f t="shared" si="16"/>
        <v/>
      </c>
      <c r="AE17" s="20">
        <v>0.0</v>
      </c>
      <c r="AF17" s="5"/>
      <c r="AG17" s="22" t="str">
        <f t="shared" si="17"/>
        <v/>
      </c>
      <c r="AH17" s="20" t="str">
        <f t="shared" si="31"/>
        <v/>
      </c>
      <c r="AI17" s="20"/>
      <c r="AJ17" s="20"/>
      <c r="AK17" s="55"/>
      <c r="AL17" s="5"/>
      <c r="AM17" s="45" t="str">
        <f t="shared" si="18"/>
        <v/>
      </c>
      <c r="AN17" s="23"/>
      <c r="AO17" s="45" t="str">
        <f t="shared" si="32"/>
        <v/>
      </c>
      <c r="AP17" s="25"/>
      <c r="AQ17" s="45" t="str">
        <f t="shared" si="33"/>
        <v/>
      </c>
      <c r="AR17" s="29" t="str">
        <f t="shared" si="19"/>
        <v/>
      </c>
      <c r="AS17" s="29">
        <f t="shared" si="20"/>
        <v>0</v>
      </c>
      <c r="AT17" s="29">
        <f t="shared" si="21"/>
        <v>0</v>
      </c>
      <c r="AU17" s="22" t="str">
        <f t="shared" si="22"/>
        <v/>
      </c>
      <c r="AV17" s="23"/>
      <c r="AW17" s="45" t="str">
        <f t="shared" si="23"/>
        <v/>
      </c>
      <c r="AX17" s="25"/>
      <c r="AY17" s="45" t="str">
        <f t="shared" si="24"/>
        <v/>
      </c>
      <c r="AZ17" s="47"/>
      <c r="BA17" s="22" t="str">
        <f t="shared" si="25"/>
        <v/>
      </c>
      <c r="BB17" s="23"/>
      <c r="BC17" s="45" t="str">
        <f t="shared" si="26"/>
        <v/>
      </c>
      <c r="BD17" s="25"/>
      <c r="BE17" s="45" t="str">
        <f t="shared" si="27"/>
        <v/>
      </c>
      <c r="BF17" s="47"/>
      <c r="BG17" s="22" t="str">
        <f t="shared" si="28"/>
        <v/>
      </c>
      <c r="BH17" s="23"/>
      <c r="BI17" s="45" t="str">
        <f t="shared" si="29"/>
        <v/>
      </c>
      <c r="BJ17" s="25"/>
      <c r="BK17" s="45" t="str">
        <f t="shared" si="30"/>
        <v/>
      </c>
      <c r="BL17" s="20">
        <v>0.0</v>
      </c>
      <c r="BM17" s="5"/>
    </row>
    <row r="18">
      <c r="A18" s="20" t="str">
        <f t="shared" si="1"/>
        <v/>
      </c>
      <c r="B18" s="21"/>
      <c r="C18" s="20"/>
      <c r="D18" s="55"/>
      <c r="E18" s="5"/>
      <c r="F18" s="22" t="str">
        <f t="shared" si="2"/>
        <v/>
      </c>
      <c r="G18" s="23"/>
      <c r="H18" s="45" t="str">
        <f t="shared" si="3"/>
        <v/>
      </c>
      <c r="I18" s="25"/>
      <c r="J18" s="45" t="str">
        <f t="shared" si="4"/>
        <v/>
      </c>
      <c r="K18" s="29" t="str">
        <f t="shared" si="5"/>
        <v/>
      </c>
      <c r="L18" s="29">
        <f t="shared" si="6"/>
        <v>0</v>
      </c>
      <c r="M18" s="29">
        <f t="shared" si="7"/>
        <v>0</v>
      </c>
      <c r="N18" s="22" t="str">
        <f t="shared" si="8"/>
        <v/>
      </c>
      <c r="O18" s="23"/>
      <c r="P18" s="45" t="str">
        <f t="shared" si="9"/>
        <v/>
      </c>
      <c r="Q18" s="25"/>
      <c r="R18" s="45" t="str">
        <f t="shared" si="10"/>
        <v/>
      </c>
      <c r="S18" s="47"/>
      <c r="T18" s="22" t="str">
        <f t="shared" si="11"/>
        <v/>
      </c>
      <c r="U18" s="23"/>
      <c r="V18" s="45" t="str">
        <f t="shared" si="12"/>
        <v/>
      </c>
      <c r="W18" s="25"/>
      <c r="X18" s="45" t="str">
        <f t="shared" si="13"/>
        <v/>
      </c>
      <c r="Y18" s="47"/>
      <c r="Z18" s="22" t="str">
        <f t="shared" si="14"/>
        <v/>
      </c>
      <c r="AA18" s="23"/>
      <c r="AB18" s="45" t="str">
        <f t="shared" si="15"/>
        <v/>
      </c>
      <c r="AC18" s="25"/>
      <c r="AD18" s="45" t="str">
        <f t="shared" si="16"/>
        <v/>
      </c>
      <c r="AE18" s="20">
        <v>0.0</v>
      </c>
      <c r="AF18" s="5"/>
      <c r="AG18" s="22" t="str">
        <f t="shared" si="17"/>
        <v/>
      </c>
      <c r="AH18" s="20" t="str">
        <f t="shared" si="31"/>
        <v/>
      </c>
      <c r="AI18" s="20"/>
      <c r="AJ18" s="20"/>
      <c r="AK18" s="55"/>
      <c r="AL18" s="5"/>
      <c r="AM18" s="45" t="str">
        <f t="shared" si="18"/>
        <v/>
      </c>
      <c r="AN18" s="23"/>
      <c r="AO18" s="45" t="str">
        <f t="shared" si="32"/>
        <v/>
      </c>
      <c r="AP18" s="25"/>
      <c r="AQ18" s="45" t="str">
        <f t="shared" si="33"/>
        <v/>
      </c>
      <c r="AR18" s="29" t="str">
        <f t="shared" si="19"/>
        <v/>
      </c>
      <c r="AS18" s="29">
        <f t="shared" si="20"/>
        <v>0</v>
      </c>
      <c r="AT18" s="29">
        <f t="shared" si="21"/>
        <v>0</v>
      </c>
      <c r="AU18" s="22" t="str">
        <f t="shared" si="22"/>
        <v/>
      </c>
      <c r="AV18" s="23"/>
      <c r="AW18" s="45" t="str">
        <f t="shared" si="23"/>
        <v/>
      </c>
      <c r="AX18" s="25"/>
      <c r="AY18" s="45" t="str">
        <f t="shared" si="24"/>
        <v/>
      </c>
      <c r="AZ18" s="47"/>
      <c r="BA18" s="22" t="str">
        <f t="shared" si="25"/>
        <v/>
      </c>
      <c r="BB18" s="23"/>
      <c r="BC18" s="45" t="str">
        <f t="shared" si="26"/>
        <v/>
      </c>
      <c r="BD18" s="25"/>
      <c r="BE18" s="45" t="str">
        <f t="shared" si="27"/>
        <v/>
      </c>
      <c r="BF18" s="47"/>
      <c r="BG18" s="22" t="str">
        <f t="shared" si="28"/>
        <v/>
      </c>
      <c r="BH18" s="23"/>
      <c r="BI18" s="45" t="str">
        <f t="shared" si="29"/>
        <v/>
      </c>
      <c r="BJ18" s="25"/>
      <c r="BK18" s="45" t="str">
        <f t="shared" si="30"/>
        <v/>
      </c>
      <c r="BL18" s="20">
        <v>0.0</v>
      </c>
      <c r="BM18" s="5"/>
    </row>
    <row r="19">
      <c r="A19" s="20" t="str">
        <f t="shared" si="1"/>
        <v/>
      </c>
      <c r="B19" s="21"/>
      <c r="C19" s="20"/>
      <c r="D19" s="55"/>
      <c r="E19" s="5"/>
      <c r="F19" s="22" t="str">
        <f t="shared" si="2"/>
        <v/>
      </c>
      <c r="G19" s="23"/>
      <c r="H19" s="45" t="str">
        <f t="shared" si="3"/>
        <v/>
      </c>
      <c r="I19" s="25"/>
      <c r="J19" s="45" t="str">
        <f t="shared" si="4"/>
        <v/>
      </c>
      <c r="K19" s="29" t="str">
        <f t="shared" si="5"/>
        <v/>
      </c>
      <c r="L19" s="29">
        <f t="shared" si="6"/>
        <v>0</v>
      </c>
      <c r="M19" s="29">
        <f t="shared" si="7"/>
        <v>0</v>
      </c>
      <c r="N19" s="22" t="str">
        <f t="shared" si="8"/>
        <v/>
      </c>
      <c r="O19" s="23"/>
      <c r="P19" s="45" t="str">
        <f t="shared" si="9"/>
        <v/>
      </c>
      <c r="Q19" s="25"/>
      <c r="R19" s="45" t="str">
        <f t="shared" si="10"/>
        <v/>
      </c>
      <c r="S19" s="47"/>
      <c r="T19" s="22" t="str">
        <f t="shared" si="11"/>
        <v/>
      </c>
      <c r="U19" s="23"/>
      <c r="V19" s="45" t="str">
        <f t="shared" si="12"/>
        <v/>
      </c>
      <c r="W19" s="25"/>
      <c r="X19" s="45" t="str">
        <f t="shared" si="13"/>
        <v/>
      </c>
      <c r="Y19" s="47"/>
      <c r="Z19" s="22" t="str">
        <f t="shared" si="14"/>
        <v/>
      </c>
      <c r="AA19" s="23"/>
      <c r="AB19" s="45" t="str">
        <f t="shared" si="15"/>
        <v/>
      </c>
      <c r="AC19" s="25"/>
      <c r="AD19" s="45" t="str">
        <f t="shared" si="16"/>
        <v/>
      </c>
      <c r="AE19" s="20">
        <v>0.0</v>
      </c>
      <c r="AF19" s="5"/>
      <c r="AG19" s="22" t="str">
        <f t="shared" si="17"/>
        <v/>
      </c>
      <c r="AH19" s="20" t="str">
        <f t="shared" si="31"/>
        <v/>
      </c>
      <c r="AI19" s="20"/>
      <c r="AJ19" s="20"/>
      <c r="AK19" s="55"/>
      <c r="AL19" s="5"/>
      <c r="AM19" s="45" t="str">
        <f t="shared" si="18"/>
        <v/>
      </c>
      <c r="AN19" s="23"/>
      <c r="AO19" s="45" t="str">
        <f t="shared" si="32"/>
        <v/>
      </c>
      <c r="AP19" s="25"/>
      <c r="AQ19" s="45" t="str">
        <f t="shared" si="33"/>
        <v/>
      </c>
      <c r="AR19" s="29" t="str">
        <f t="shared" si="19"/>
        <v/>
      </c>
      <c r="AS19" s="29">
        <f t="shared" si="20"/>
        <v>0</v>
      </c>
      <c r="AT19" s="29">
        <f t="shared" si="21"/>
        <v>0</v>
      </c>
      <c r="AU19" s="22" t="str">
        <f t="shared" si="22"/>
        <v/>
      </c>
      <c r="AV19" s="23"/>
      <c r="AW19" s="45" t="str">
        <f t="shared" si="23"/>
        <v/>
      </c>
      <c r="AX19" s="25"/>
      <c r="AY19" s="45" t="str">
        <f t="shared" si="24"/>
        <v/>
      </c>
      <c r="AZ19" s="47"/>
      <c r="BA19" s="22" t="str">
        <f t="shared" si="25"/>
        <v/>
      </c>
      <c r="BB19" s="23"/>
      <c r="BC19" s="45" t="str">
        <f t="shared" si="26"/>
        <v/>
      </c>
      <c r="BD19" s="25"/>
      <c r="BE19" s="45" t="str">
        <f t="shared" si="27"/>
        <v/>
      </c>
      <c r="BF19" s="47"/>
      <c r="BG19" s="22" t="str">
        <f t="shared" si="28"/>
        <v/>
      </c>
      <c r="BH19" s="23"/>
      <c r="BI19" s="45" t="str">
        <f t="shared" si="29"/>
        <v/>
      </c>
      <c r="BJ19" s="25"/>
      <c r="BK19" s="45" t="str">
        <f t="shared" si="30"/>
        <v/>
      </c>
      <c r="BL19" s="20">
        <v>0.0</v>
      </c>
      <c r="BM19" s="5"/>
    </row>
    <row r="20">
      <c r="A20" s="20" t="str">
        <f t="shared" si="1"/>
        <v/>
      </c>
      <c r="B20" s="21"/>
      <c r="C20" s="20"/>
      <c r="D20" s="55"/>
      <c r="E20" s="5"/>
      <c r="F20" s="22" t="str">
        <f t="shared" si="2"/>
        <v/>
      </c>
      <c r="G20" s="23"/>
      <c r="H20" s="45" t="str">
        <f t="shared" si="3"/>
        <v/>
      </c>
      <c r="I20" s="25"/>
      <c r="J20" s="45" t="str">
        <f t="shared" si="4"/>
        <v/>
      </c>
      <c r="K20" s="29" t="str">
        <f t="shared" si="5"/>
        <v/>
      </c>
      <c r="L20" s="29">
        <f t="shared" si="6"/>
        <v>0</v>
      </c>
      <c r="M20" s="29">
        <f t="shared" si="7"/>
        <v>0</v>
      </c>
      <c r="N20" s="22" t="str">
        <f t="shared" si="8"/>
        <v/>
      </c>
      <c r="O20" s="23"/>
      <c r="P20" s="45" t="str">
        <f t="shared" si="9"/>
        <v/>
      </c>
      <c r="Q20" s="25"/>
      <c r="R20" s="45" t="str">
        <f t="shared" si="10"/>
        <v/>
      </c>
      <c r="S20" s="47"/>
      <c r="T20" s="22" t="str">
        <f t="shared" si="11"/>
        <v/>
      </c>
      <c r="U20" s="23"/>
      <c r="V20" s="45" t="str">
        <f t="shared" si="12"/>
        <v/>
      </c>
      <c r="W20" s="25"/>
      <c r="X20" s="45" t="str">
        <f t="shared" si="13"/>
        <v/>
      </c>
      <c r="Y20" s="47"/>
      <c r="Z20" s="22" t="str">
        <f t="shared" si="14"/>
        <v/>
      </c>
      <c r="AA20" s="23"/>
      <c r="AB20" s="45" t="str">
        <f t="shared" si="15"/>
        <v/>
      </c>
      <c r="AC20" s="25"/>
      <c r="AD20" s="45" t="str">
        <f t="shared" si="16"/>
        <v/>
      </c>
      <c r="AE20" s="20">
        <v>0.0</v>
      </c>
      <c r="AF20" s="5"/>
      <c r="AG20" s="22" t="str">
        <f t="shared" si="17"/>
        <v/>
      </c>
      <c r="AH20" s="20" t="str">
        <f t="shared" si="31"/>
        <v/>
      </c>
      <c r="AI20" s="20"/>
      <c r="AJ20" s="20"/>
      <c r="AK20" s="55"/>
      <c r="AL20" s="5"/>
      <c r="AM20" s="45" t="str">
        <f t="shared" si="18"/>
        <v/>
      </c>
      <c r="AN20" s="23"/>
      <c r="AO20" s="45" t="str">
        <f t="shared" si="32"/>
        <v/>
      </c>
      <c r="AP20" s="25"/>
      <c r="AQ20" s="45" t="str">
        <f t="shared" si="33"/>
        <v/>
      </c>
      <c r="AR20" s="29" t="str">
        <f t="shared" si="19"/>
        <v/>
      </c>
      <c r="AS20" s="29">
        <f t="shared" si="20"/>
        <v>0</v>
      </c>
      <c r="AT20" s="29">
        <f t="shared" si="21"/>
        <v>0</v>
      </c>
      <c r="AU20" s="22" t="str">
        <f t="shared" si="22"/>
        <v/>
      </c>
      <c r="AV20" s="23"/>
      <c r="AW20" s="45" t="str">
        <f t="shared" si="23"/>
        <v/>
      </c>
      <c r="AX20" s="25"/>
      <c r="AY20" s="45" t="str">
        <f t="shared" si="24"/>
        <v/>
      </c>
      <c r="AZ20" s="47"/>
      <c r="BA20" s="22" t="str">
        <f t="shared" si="25"/>
        <v/>
      </c>
      <c r="BB20" s="23"/>
      <c r="BC20" s="45" t="str">
        <f t="shared" si="26"/>
        <v/>
      </c>
      <c r="BD20" s="25"/>
      <c r="BE20" s="45" t="str">
        <f t="shared" si="27"/>
        <v/>
      </c>
      <c r="BF20" s="47"/>
      <c r="BG20" s="22" t="str">
        <f t="shared" si="28"/>
        <v/>
      </c>
      <c r="BH20" s="23"/>
      <c r="BI20" s="45" t="str">
        <f t="shared" si="29"/>
        <v/>
      </c>
      <c r="BJ20" s="25"/>
      <c r="BK20" s="45" t="str">
        <f t="shared" si="30"/>
        <v/>
      </c>
      <c r="BL20" s="20">
        <v>0.0</v>
      </c>
      <c r="BM20" s="5"/>
    </row>
    <row r="21">
      <c r="A21" s="20" t="str">
        <f t="shared" si="1"/>
        <v/>
      </c>
      <c r="B21" s="21"/>
      <c r="C21" s="20"/>
      <c r="D21" s="55"/>
      <c r="E21" s="5"/>
      <c r="F21" s="22" t="str">
        <f t="shared" si="2"/>
        <v/>
      </c>
      <c r="G21" s="23"/>
      <c r="H21" s="45" t="str">
        <f t="shared" si="3"/>
        <v/>
      </c>
      <c r="I21" s="25"/>
      <c r="J21" s="45" t="str">
        <f t="shared" si="4"/>
        <v/>
      </c>
      <c r="K21" s="29" t="str">
        <f t="shared" si="5"/>
        <v/>
      </c>
      <c r="L21" s="29">
        <f t="shared" si="6"/>
        <v>0</v>
      </c>
      <c r="M21" s="29">
        <f t="shared" si="7"/>
        <v>0</v>
      </c>
      <c r="N21" s="22" t="str">
        <f t="shared" si="8"/>
        <v/>
      </c>
      <c r="O21" s="23"/>
      <c r="P21" s="45" t="str">
        <f t="shared" si="9"/>
        <v/>
      </c>
      <c r="Q21" s="25"/>
      <c r="R21" s="45" t="str">
        <f t="shared" si="10"/>
        <v/>
      </c>
      <c r="S21" s="47"/>
      <c r="T21" s="22" t="str">
        <f t="shared" si="11"/>
        <v/>
      </c>
      <c r="U21" s="23"/>
      <c r="V21" s="45" t="str">
        <f t="shared" si="12"/>
        <v/>
      </c>
      <c r="W21" s="25"/>
      <c r="X21" s="45" t="str">
        <f t="shared" si="13"/>
        <v/>
      </c>
      <c r="Y21" s="47"/>
      <c r="Z21" s="22" t="str">
        <f t="shared" si="14"/>
        <v/>
      </c>
      <c r="AA21" s="23"/>
      <c r="AB21" s="45" t="str">
        <f t="shared" si="15"/>
        <v/>
      </c>
      <c r="AC21" s="25"/>
      <c r="AD21" s="45" t="str">
        <f t="shared" si="16"/>
        <v/>
      </c>
      <c r="AE21" s="20">
        <v>0.0</v>
      </c>
      <c r="AF21" s="5"/>
      <c r="AG21" s="22" t="str">
        <f t="shared" si="17"/>
        <v/>
      </c>
      <c r="AH21" s="20" t="str">
        <f t="shared" si="31"/>
        <v/>
      </c>
      <c r="AI21" s="20"/>
      <c r="AJ21" s="20"/>
      <c r="AK21" s="55"/>
      <c r="AL21" s="5"/>
      <c r="AM21" s="45" t="str">
        <f t="shared" si="18"/>
        <v/>
      </c>
      <c r="AN21" s="23"/>
      <c r="AO21" s="45" t="str">
        <f t="shared" si="32"/>
        <v/>
      </c>
      <c r="AP21" s="25"/>
      <c r="AQ21" s="45" t="str">
        <f t="shared" si="33"/>
        <v/>
      </c>
      <c r="AR21" s="29" t="str">
        <f t="shared" si="19"/>
        <v/>
      </c>
      <c r="AS21" s="29">
        <f t="shared" si="20"/>
        <v>0</v>
      </c>
      <c r="AT21" s="29">
        <f t="shared" si="21"/>
        <v>0</v>
      </c>
      <c r="AU21" s="22" t="str">
        <f t="shared" si="22"/>
        <v/>
      </c>
      <c r="AV21" s="23"/>
      <c r="AW21" s="45" t="str">
        <f t="shared" si="23"/>
        <v/>
      </c>
      <c r="AX21" s="25"/>
      <c r="AY21" s="45" t="str">
        <f t="shared" si="24"/>
        <v/>
      </c>
      <c r="AZ21" s="47"/>
      <c r="BA21" s="22" t="str">
        <f t="shared" si="25"/>
        <v/>
      </c>
      <c r="BB21" s="23"/>
      <c r="BC21" s="45" t="str">
        <f t="shared" si="26"/>
        <v/>
      </c>
      <c r="BD21" s="25"/>
      <c r="BE21" s="45" t="str">
        <f t="shared" si="27"/>
        <v/>
      </c>
      <c r="BF21" s="47"/>
      <c r="BG21" s="22" t="str">
        <f t="shared" si="28"/>
        <v/>
      </c>
      <c r="BH21" s="23"/>
      <c r="BI21" s="45" t="str">
        <f t="shared" si="29"/>
        <v/>
      </c>
      <c r="BJ21" s="25"/>
      <c r="BK21" s="45" t="str">
        <f t="shared" si="30"/>
        <v/>
      </c>
      <c r="BL21" s="20">
        <v>0.0</v>
      </c>
      <c r="BM21" s="5"/>
    </row>
    <row r="22">
      <c r="A22" s="20" t="str">
        <f t="shared" si="1"/>
        <v/>
      </c>
      <c r="B22" s="21"/>
      <c r="C22" s="20"/>
      <c r="D22" s="55"/>
      <c r="E22" s="5"/>
      <c r="F22" s="22" t="str">
        <f t="shared" si="2"/>
        <v/>
      </c>
      <c r="G22" s="23"/>
      <c r="H22" s="45" t="str">
        <f t="shared" si="3"/>
        <v/>
      </c>
      <c r="I22" s="25"/>
      <c r="J22" s="45" t="str">
        <f t="shared" si="4"/>
        <v/>
      </c>
      <c r="K22" s="29" t="str">
        <f t="shared" si="5"/>
        <v/>
      </c>
      <c r="L22" s="29">
        <f t="shared" si="6"/>
        <v>0</v>
      </c>
      <c r="M22" s="29">
        <f t="shared" si="7"/>
        <v>0</v>
      </c>
      <c r="N22" s="22" t="str">
        <f t="shared" si="8"/>
        <v/>
      </c>
      <c r="O22" s="23"/>
      <c r="P22" s="45" t="str">
        <f t="shared" si="9"/>
        <v/>
      </c>
      <c r="Q22" s="25"/>
      <c r="R22" s="45" t="str">
        <f t="shared" si="10"/>
        <v/>
      </c>
      <c r="S22" s="47"/>
      <c r="T22" s="22" t="str">
        <f t="shared" si="11"/>
        <v/>
      </c>
      <c r="U22" s="23"/>
      <c r="V22" s="45" t="str">
        <f t="shared" si="12"/>
        <v/>
      </c>
      <c r="W22" s="25"/>
      <c r="X22" s="45" t="str">
        <f t="shared" si="13"/>
        <v/>
      </c>
      <c r="Y22" s="47"/>
      <c r="Z22" s="22" t="str">
        <f t="shared" si="14"/>
        <v/>
      </c>
      <c r="AA22" s="23"/>
      <c r="AB22" s="45" t="str">
        <f t="shared" si="15"/>
        <v/>
      </c>
      <c r="AC22" s="25"/>
      <c r="AD22" s="45" t="str">
        <f t="shared" si="16"/>
        <v/>
      </c>
      <c r="AE22" s="20">
        <v>0.0</v>
      </c>
      <c r="AF22" s="5"/>
      <c r="AG22" s="22" t="str">
        <f t="shared" si="17"/>
        <v/>
      </c>
      <c r="AH22" s="20" t="str">
        <f t="shared" si="31"/>
        <v/>
      </c>
      <c r="AI22" s="20"/>
      <c r="AJ22" s="20"/>
      <c r="AK22" s="55"/>
      <c r="AL22" s="5"/>
      <c r="AM22" s="45" t="str">
        <f t="shared" si="18"/>
        <v/>
      </c>
      <c r="AN22" s="23"/>
      <c r="AO22" s="45" t="str">
        <f t="shared" si="32"/>
        <v/>
      </c>
      <c r="AP22" s="25"/>
      <c r="AQ22" s="45" t="str">
        <f t="shared" si="33"/>
        <v/>
      </c>
      <c r="AR22" s="29" t="str">
        <f t="shared" si="19"/>
        <v/>
      </c>
      <c r="AS22" s="29">
        <f t="shared" si="20"/>
        <v>0</v>
      </c>
      <c r="AT22" s="29">
        <f t="shared" si="21"/>
        <v>0</v>
      </c>
      <c r="AU22" s="22" t="str">
        <f t="shared" si="22"/>
        <v/>
      </c>
      <c r="AV22" s="23"/>
      <c r="AW22" s="45" t="str">
        <f t="shared" si="23"/>
        <v/>
      </c>
      <c r="AX22" s="25"/>
      <c r="AY22" s="45" t="str">
        <f t="shared" si="24"/>
        <v/>
      </c>
      <c r="AZ22" s="47"/>
      <c r="BA22" s="22" t="str">
        <f t="shared" si="25"/>
        <v/>
      </c>
      <c r="BB22" s="23"/>
      <c r="BC22" s="45" t="str">
        <f t="shared" si="26"/>
        <v/>
      </c>
      <c r="BD22" s="25"/>
      <c r="BE22" s="45" t="str">
        <f t="shared" si="27"/>
        <v/>
      </c>
      <c r="BF22" s="47"/>
      <c r="BG22" s="22" t="str">
        <f t="shared" si="28"/>
        <v/>
      </c>
      <c r="BH22" s="23"/>
      <c r="BI22" s="45" t="str">
        <f t="shared" si="29"/>
        <v/>
      </c>
      <c r="BJ22" s="25"/>
      <c r="BK22" s="45" t="str">
        <f t="shared" si="30"/>
        <v/>
      </c>
      <c r="BL22" s="20">
        <v>0.0</v>
      </c>
      <c r="BM22" s="5"/>
    </row>
    <row r="23">
      <c r="A23" s="20" t="str">
        <f t="shared" si="1"/>
        <v/>
      </c>
      <c r="B23" s="21"/>
      <c r="C23" s="20"/>
      <c r="D23" s="55"/>
      <c r="E23" s="5"/>
      <c r="F23" s="22" t="str">
        <f t="shared" si="2"/>
        <v/>
      </c>
      <c r="G23" s="23"/>
      <c r="H23" s="45" t="str">
        <f t="shared" si="3"/>
        <v/>
      </c>
      <c r="I23" s="25"/>
      <c r="J23" s="45" t="str">
        <f t="shared" si="4"/>
        <v/>
      </c>
      <c r="K23" s="29" t="str">
        <f t="shared" si="5"/>
        <v/>
      </c>
      <c r="L23" s="29">
        <f t="shared" si="6"/>
        <v>0</v>
      </c>
      <c r="M23" s="29">
        <f t="shared" si="7"/>
        <v>0</v>
      </c>
      <c r="N23" s="22" t="str">
        <f t="shared" si="8"/>
        <v/>
      </c>
      <c r="O23" s="23"/>
      <c r="P23" s="45" t="str">
        <f t="shared" si="9"/>
        <v/>
      </c>
      <c r="Q23" s="25"/>
      <c r="R23" s="45" t="str">
        <f t="shared" si="10"/>
        <v/>
      </c>
      <c r="S23" s="47"/>
      <c r="T23" s="22" t="str">
        <f t="shared" si="11"/>
        <v/>
      </c>
      <c r="U23" s="23"/>
      <c r="V23" s="45" t="str">
        <f t="shared" si="12"/>
        <v/>
      </c>
      <c r="W23" s="25"/>
      <c r="X23" s="45" t="str">
        <f t="shared" si="13"/>
        <v/>
      </c>
      <c r="Y23" s="47"/>
      <c r="Z23" s="22" t="str">
        <f t="shared" si="14"/>
        <v/>
      </c>
      <c r="AA23" s="23"/>
      <c r="AB23" s="45" t="str">
        <f t="shared" si="15"/>
        <v/>
      </c>
      <c r="AC23" s="25"/>
      <c r="AD23" s="45" t="str">
        <f t="shared" si="16"/>
        <v/>
      </c>
      <c r="AE23" s="20">
        <v>0.0</v>
      </c>
      <c r="AF23" s="5"/>
      <c r="AG23" s="22" t="str">
        <f t="shared" si="17"/>
        <v/>
      </c>
      <c r="AH23" s="20" t="str">
        <f t="shared" si="31"/>
        <v/>
      </c>
      <c r="AI23" s="20"/>
      <c r="AJ23" s="20"/>
      <c r="AK23" s="55"/>
      <c r="AL23" s="5"/>
      <c r="AM23" s="45" t="str">
        <f t="shared" si="18"/>
        <v/>
      </c>
      <c r="AN23" s="23"/>
      <c r="AO23" s="45" t="str">
        <f t="shared" si="32"/>
        <v/>
      </c>
      <c r="AP23" s="25"/>
      <c r="AQ23" s="45" t="str">
        <f t="shared" si="33"/>
        <v/>
      </c>
      <c r="AR23" s="29" t="str">
        <f t="shared" si="19"/>
        <v/>
      </c>
      <c r="AS23" s="29">
        <f t="shared" si="20"/>
        <v>0</v>
      </c>
      <c r="AT23" s="29">
        <f t="shared" si="21"/>
        <v>0</v>
      </c>
      <c r="AU23" s="22" t="str">
        <f t="shared" si="22"/>
        <v/>
      </c>
      <c r="AV23" s="23"/>
      <c r="AW23" s="45" t="str">
        <f t="shared" si="23"/>
        <v/>
      </c>
      <c r="AX23" s="25"/>
      <c r="AY23" s="45" t="str">
        <f t="shared" si="24"/>
        <v/>
      </c>
      <c r="AZ23" s="47"/>
      <c r="BA23" s="22" t="str">
        <f t="shared" si="25"/>
        <v/>
      </c>
      <c r="BB23" s="23"/>
      <c r="BC23" s="45" t="str">
        <f t="shared" si="26"/>
        <v/>
      </c>
      <c r="BD23" s="25"/>
      <c r="BE23" s="45" t="str">
        <f t="shared" si="27"/>
        <v/>
      </c>
      <c r="BF23" s="47"/>
      <c r="BG23" s="22" t="str">
        <f t="shared" si="28"/>
        <v/>
      </c>
      <c r="BH23" s="23"/>
      <c r="BI23" s="45" t="str">
        <f t="shared" si="29"/>
        <v/>
      </c>
      <c r="BJ23" s="25"/>
      <c r="BK23" s="45" t="str">
        <f t="shared" si="30"/>
        <v/>
      </c>
      <c r="BL23" s="20">
        <v>0.0</v>
      </c>
      <c r="BM23" s="5"/>
    </row>
    <row r="24">
      <c r="A24" s="20" t="str">
        <f t="shared" si="1"/>
        <v/>
      </c>
      <c r="B24" s="21"/>
      <c r="C24" s="20"/>
      <c r="D24" s="55"/>
      <c r="E24" s="5"/>
      <c r="F24" s="22" t="str">
        <f t="shared" si="2"/>
        <v/>
      </c>
      <c r="G24" s="23"/>
      <c r="H24" s="45" t="str">
        <f t="shared" si="3"/>
        <v/>
      </c>
      <c r="I24" s="25"/>
      <c r="J24" s="45" t="str">
        <f t="shared" si="4"/>
        <v/>
      </c>
      <c r="K24" s="29" t="str">
        <f t="shared" si="5"/>
        <v/>
      </c>
      <c r="L24" s="29">
        <f t="shared" si="6"/>
        <v>0</v>
      </c>
      <c r="M24" s="29">
        <f t="shared" si="7"/>
        <v>0</v>
      </c>
      <c r="N24" s="22" t="str">
        <f t="shared" si="8"/>
        <v/>
      </c>
      <c r="O24" s="23"/>
      <c r="P24" s="45" t="str">
        <f t="shared" si="9"/>
        <v/>
      </c>
      <c r="Q24" s="25"/>
      <c r="R24" s="45" t="str">
        <f t="shared" si="10"/>
        <v/>
      </c>
      <c r="S24" s="47"/>
      <c r="T24" s="22" t="str">
        <f t="shared" si="11"/>
        <v/>
      </c>
      <c r="U24" s="23"/>
      <c r="V24" s="45" t="str">
        <f t="shared" si="12"/>
        <v/>
      </c>
      <c r="W24" s="25"/>
      <c r="X24" s="45" t="str">
        <f t="shared" si="13"/>
        <v/>
      </c>
      <c r="Y24" s="47"/>
      <c r="Z24" s="22" t="str">
        <f t="shared" si="14"/>
        <v/>
      </c>
      <c r="AA24" s="23"/>
      <c r="AB24" s="45" t="str">
        <f t="shared" si="15"/>
        <v/>
      </c>
      <c r="AC24" s="25"/>
      <c r="AD24" s="45" t="str">
        <f t="shared" si="16"/>
        <v/>
      </c>
      <c r="AE24" s="20">
        <v>0.0</v>
      </c>
      <c r="AF24" s="5"/>
      <c r="AG24" s="22" t="str">
        <f t="shared" si="17"/>
        <v/>
      </c>
      <c r="AH24" s="20" t="str">
        <f t="shared" si="31"/>
        <v/>
      </c>
      <c r="AI24" s="20"/>
      <c r="AJ24" s="20"/>
      <c r="AK24" s="55"/>
      <c r="AL24" s="5"/>
      <c r="AM24" s="45" t="str">
        <f t="shared" si="18"/>
        <v/>
      </c>
      <c r="AN24" s="23"/>
      <c r="AO24" s="45" t="str">
        <f t="shared" si="32"/>
        <v/>
      </c>
      <c r="AP24" s="25"/>
      <c r="AQ24" s="45" t="str">
        <f t="shared" si="33"/>
        <v/>
      </c>
      <c r="AR24" s="29" t="str">
        <f t="shared" si="19"/>
        <v/>
      </c>
      <c r="AS24" s="29">
        <f t="shared" si="20"/>
        <v>0</v>
      </c>
      <c r="AT24" s="29">
        <f t="shared" si="21"/>
        <v>0</v>
      </c>
      <c r="AU24" s="22" t="str">
        <f t="shared" si="22"/>
        <v/>
      </c>
      <c r="AV24" s="23"/>
      <c r="AW24" s="45" t="str">
        <f t="shared" si="23"/>
        <v/>
      </c>
      <c r="AX24" s="25"/>
      <c r="AY24" s="45" t="str">
        <f t="shared" si="24"/>
        <v/>
      </c>
      <c r="AZ24" s="47"/>
      <c r="BA24" s="22" t="str">
        <f t="shared" si="25"/>
        <v/>
      </c>
      <c r="BB24" s="23"/>
      <c r="BC24" s="45" t="str">
        <f t="shared" si="26"/>
        <v/>
      </c>
      <c r="BD24" s="25"/>
      <c r="BE24" s="45" t="str">
        <f t="shared" si="27"/>
        <v/>
      </c>
      <c r="BF24" s="47"/>
      <c r="BG24" s="22" t="str">
        <f t="shared" si="28"/>
        <v/>
      </c>
      <c r="BH24" s="23"/>
      <c r="BI24" s="45" t="str">
        <f t="shared" si="29"/>
        <v/>
      </c>
      <c r="BJ24" s="25"/>
      <c r="BK24" s="45" t="str">
        <f t="shared" si="30"/>
        <v/>
      </c>
      <c r="BL24" s="20">
        <v>0.0</v>
      </c>
      <c r="BM24" s="5"/>
    </row>
    <row r="25">
      <c r="A25" s="20" t="str">
        <f t="shared" si="1"/>
        <v/>
      </c>
      <c r="B25" s="21"/>
      <c r="C25" s="20"/>
      <c r="D25" s="55"/>
      <c r="E25" s="5"/>
      <c r="F25" s="22" t="str">
        <f t="shared" si="2"/>
        <v/>
      </c>
      <c r="G25" s="23"/>
      <c r="H25" s="45" t="str">
        <f t="shared" si="3"/>
        <v/>
      </c>
      <c r="I25" s="25"/>
      <c r="J25" s="45" t="str">
        <f t="shared" si="4"/>
        <v/>
      </c>
      <c r="K25" s="29" t="str">
        <f t="shared" si="5"/>
        <v/>
      </c>
      <c r="L25" s="29">
        <f t="shared" si="6"/>
        <v>0</v>
      </c>
      <c r="M25" s="29">
        <f t="shared" si="7"/>
        <v>0</v>
      </c>
      <c r="N25" s="22" t="str">
        <f t="shared" si="8"/>
        <v/>
      </c>
      <c r="O25" s="23"/>
      <c r="P25" s="45" t="str">
        <f t="shared" si="9"/>
        <v/>
      </c>
      <c r="Q25" s="25"/>
      <c r="R25" s="45" t="str">
        <f t="shared" si="10"/>
        <v/>
      </c>
      <c r="S25" s="47"/>
      <c r="T25" s="22" t="str">
        <f t="shared" si="11"/>
        <v/>
      </c>
      <c r="U25" s="23"/>
      <c r="V25" s="45" t="str">
        <f t="shared" si="12"/>
        <v/>
      </c>
      <c r="W25" s="25"/>
      <c r="X25" s="45" t="str">
        <f t="shared" si="13"/>
        <v/>
      </c>
      <c r="Y25" s="47"/>
      <c r="Z25" s="22" t="str">
        <f t="shared" si="14"/>
        <v/>
      </c>
      <c r="AA25" s="23"/>
      <c r="AB25" s="45" t="str">
        <f t="shared" si="15"/>
        <v/>
      </c>
      <c r="AC25" s="25"/>
      <c r="AD25" s="45" t="str">
        <f t="shared" si="16"/>
        <v/>
      </c>
      <c r="AE25" s="20">
        <v>0.0</v>
      </c>
      <c r="AF25" s="5"/>
      <c r="AG25" s="22" t="str">
        <f t="shared" si="17"/>
        <v/>
      </c>
      <c r="AH25" s="20" t="str">
        <f t="shared" si="31"/>
        <v/>
      </c>
      <c r="AI25" s="20"/>
      <c r="AJ25" s="20"/>
      <c r="AK25" s="55"/>
      <c r="AL25" s="5"/>
      <c r="AM25" s="45" t="str">
        <f t="shared" si="18"/>
        <v/>
      </c>
      <c r="AN25" s="23"/>
      <c r="AO25" s="45" t="str">
        <f t="shared" si="32"/>
        <v/>
      </c>
      <c r="AP25" s="25"/>
      <c r="AQ25" s="45" t="str">
        <f t="shared" si="33"/>
        <v/>
      </c>
      <c r="AR25" s="29" t="str">
        <f t="shared" si="19"/>
        <v/>
      </c>
      <c r="AS25" s="29">
        <f t="shared" si="20"/>
        <v>0</v>
      </c>
      <c r="AT25" s="29">
        <f t="shared" si="21"/>
        <v>0</v>
      </c>
      <c r="AU25" s="22" t="str">
        <f t="shared" si="22"/>
        <v/>
      </c>
      <c r="AV25" s="23"/>
      <c r="AW25" s="45" t="str">
        <f t="shared" si="23"/>
        <v/>
      </c>
      <c r="AX25" s="25"/>
      <c r="AY25" s="45" t="str">
        <f t="shared" si="24"/>
        <v/>
      </c>
      <c r="AZ25" s="47"/>
      <c r="BA25" s="22" t="str">
        <f t="shared" si="25"/>
        <v/>
      </c>
      <c r="BB25" s="23"/>
      <c r="BC25" s="45" t="str">
        <f t="shared" si="26"/>
        <v/>
      </c>
      <c r="BD25" s="25"/>
      <c r="BE25" s="45" t="str">
        <f t="shared" si="27"/>
        <v/>
      </c>
      <c r="BF25" s="47"/>
      <c r="BG25" s="22" t="str">
        <f t="shared" si="28"/>
        <v/>
      </c>
      <c r="BH25" s="23"/>
      <c r="BI25" s="45" t="str">
        <f t="shared" si="29"/>
        <v/>
      </c>
      <c r="BJ25" s="25"/>
      <c r="BK25" s="45" t="str">
        <f t="shared" si="30"/>
        <v/>
      </c>
      <c r="BL25" s="20">
        <v>0.0</v>
      </c>
      <c r="BM25" s="5"/>
    </row>
    <row r="26">
      <c r="A26" s="20" t="str">
        <f t="shared" si="1"/>
        <v/>
      </c>
      <c r="B26" s="21"/>
      <c r="C26" s="20"/>
      <c r="D26" s="55"/>
      <c r="E26" s="5"/>
      <c r="F26" s="22" t="str">
        <f t="shared" si="2"/>
        <v/>
      </c>
      <c r="G26" s="23"/>
      <c r="H26" s="45" t="str">
        <f t="shared" si="3"/>
        <v/>
      </c>
      <c r="I26" s="25"/>
      <c r="J26" s="45" t="str">
        <f t="shared" si="4"/>
        <v/>
      </c>
      <c r="K26" s="29" t="str">
        <f t="shared" si="5"/>
        <v/>
      </c>
      <c r="L26" s="29">
        <f t="shared" si="6"/>
        <v>0</v>
      </c>
      <c r="M26" s="29">
        <f t="shared" si="7"/>
        <v>0</v>
      </c>
      <c r="N26" s="22" t="str">
        <f t="shared" si="8"/>
        <v/>
      </c>
      <c r="O26" s="23"/>
      <c r="P26" s="45" t="str">
        <f t="shared" si="9"/>
        <v/>
      </c>
      <c r="Q26" s="25"/>
      <c r="R26" s="45" t="str">
        <f t="shared" si="10"/>
        <v/>
      </c>
      <c r="S26" s="47"/>
      <c r="T26" s="22" t="str">
        <f t="shared" si="11"/>
        <v/>
      </c>
      <c r="U26" s="23"/>
      <c r="V26" s="45" t="str">
        <f t="shared" si="12"/>
        <v/>
      </c>
      <c r="W26" s="25"/>
      <c r="X26" s="45" t="str">
        <f t="shared" si="13"/>
        <v/>
      </c>
      <c r="Y26" s="47"/>
      <c r="Z26" s="22" t="str">
        <f t="shared" si="14"/>
        <v/>
      </c>
      <c r="AA26" s="23"/>
      <c r="AB26" s="45" t="str">
        <f t="shared" si="15"/>
        <v/>
      </c>
      <c r="AC26" s="25"/>
      <c r="AD26" s="45" t="str">
        <f t="shared" si="16"/>
        <v/>
      </c>
      <c r="AE26" s="20">
        <v>0.0</v>
      </c>
      <c r="AF26" s="5"/>
      <c r="AG26" s="22" t="str">
        <f t="shared" si="17"/>
        <v/>
      </c>
      <c r="AH26" s="20" t="str">
        <f t="shared" si="31"/>
        <v/>
      </c>
      <c r="AI26" s="20"/>
      <c r="AJ26" s="20"/>
      <c r="AK26" s="55"/>
      <c r="AL26" s="5"/>
      <c r="AM26" s="45" t="str">
        <f t="shared" si="18"/>
        <v/>
      </c>
      <c r="AN26" s="23"/>
      <c r="AO26" s="45" t="str">
        <f t="shared" si="32"/>
        <v/>
      </c>
      <c r="AP26" s="25"/>
      <c r="AQ26" s="45" t="str">
        <f t="shared" si="33"/>
        <v/>
      </c>
      <c r="AR26" s="29" t="str">
        <f t="shared" si="19"/>
        <v/>
      </c>
      <c r="AS26" s="29">
        <f t="shared" si="20"/>
        <v>0</v>
      </c>
      <c r="AT26" s="29">
        <f t="shared" si="21"/>
        <v>0</v>
      </c>
      <c r="AU26" s="22" t="str">
        <f t="shared" si="22"/>
        <v/>
      </c>
      <c r="AV26" s="23"/>
      <c r="AW26" s="45" t="str">
        <f t="shared" si="23"/>
        <v/>
      </c>
      <c r="AX26" s="25"/>
      <c r="AY26" s="45" t="str">
        <f t="shared" si="24"/>
        <v/>
      </c>
      <c r="AZ26" s="47"/>
      <c r="BA26" s="22" t="str">
        <f t="shared" si="25"/>
        <v/>
      </c>
      <c r="BB26" s="23"/>
      <c r="BC26" s="45" t="str">
        <f t="shared" si="26"/>
        <v/>
      </c>
      <c r="BD26" s="25"/>
      <c r="BE26" s="45" t="str">
        <f t="shared" si="27"/>
        <v/>
      </c>
      <c r="BF26" s="47"/>
      <c r="BG26" s="22" t="str">
        <f t="shared" si="28"/>
        <v/>
      </c>
      <c r="BH26" s="23"/>
      <c r="BI26" s="45" t="str">
        <f t="shared" si="29"/>
        <v/>
      </c>
      <c r="BJ26" s="25"/>
      <c r="BK26" s="45" t="str">
        <f t="shared" si="30"/>
        <v/>
      </c>
      <c r="BL26" s="20">
        <v>0.0</v>
      </c>
      <c r="BM26" s="5"/>
    </row>
    <row r="27">
      <c r="A27" s="20" t="str">
        <f t="shared" si="1"/>
        <v/>
      </c>
      <c r="B27" s="21"/>
      <c r="C27" s="20"/>
      <c r="D27" s="55"/>
      <c r="E27" s="5"/>
      <c r="F27" s="22" t="str">
        <f t="shared" si="2"/>
        <v/>
      </c>
      <c r="G27" s="23"/>
      <c r="H27" s="45" t="str">
        <f t="shared" si="3"/>
        <v/>
      </c>
      <c r="I27" s="25"/>
      <c r="J27" s="45" t="str">
        <f t="shared" si="4"/>
        <v/>
      </c>
      <c r="K27" s="29" t="str">
        <f t="shared" si="5"/>
        <v/>
      </c>
      <c r="L27" s="29">
        <f t="shared" si="6"/>
        <v>0</v>
      </c>
      <c r="M27" s="29">
        <f t="shared" si="7"/>
        <v>0</v>
      </c>
      <c r="N27" s="22" t="str">
        <f t="shared" si="8"/>
        <v/>
      </c>
      <c r="O27" s="23"/>
      <c r="P27" s="45" t="str">
        <f t="shared" si="9"/>
        <v/>
      </c>
      <c r="Q27" s="25"/>
      <c r="R27" s="45" t="str">
        <f t="shared" si="10"/>
        <v/>
      </c>
      <c r="S27" s="47"/>
      <c r="T27" s="22" t="str">
        <f t="shared" si="11"/>
        <v/>
      </c>
      <c r="U27" s="23"/>
      <c r="V27" s="45" t="str">
        <f t="shared" si="12"/>
        <v/>
      </c>
      <c r="W27" s="25"/>
      <c r="X27" s="45" t="str">
        <f t="shared" si="13"/>
        <v/>
      </c>
      <c r="Y27" s="47"/>
      <c r="Z27" s="22" t="str">
        <f t="shared" si="14"/>
        <v/>
      </c>
      <c r="AA27" s="23"/>
      <c r="AB27" s="45" t="str">
        <f t="shared" si="15"/>
        <v/>
      </c>
      <c r="AC27" s="25"/>
      <c r="AD27" s="45" t="str">
        <f t="shared" si="16"/>
        <v/>
      </c>
      <c r="AE27" s="20">
        <v>0.0</v>
      </c>
      <c r="AF27" s="5"/>
      <c r="AG27" s="22" t="str">
        <f t="shared" si="17"/>
        <v/>
      </c>
      <c r="AH27" s="20" t="str">
        <f t="shared" si="31"/>
        <v/>
      </c>
      <c r="AI27" s="20"/>
      <c r="AJ27" s="20"/>
      <c r="AK27" s="55"/>
      <c r="AL27" s="5"/>
      <c r="AM27" s="45" t="str">
        <f t="shared" si="18"/>
        <v/>
      </c>
      <c r="AN27" s="23"/>
      <c r="AO27" s="45" t="str">
        <f t="shared" si="32"/>
        <v/>
      </c>
      <c r="AP27" s="25"/>
      <c r="AQ27" s="45" t="str">
        <f t="shared" si="33"/>
        <v/>
      </c>
      <c r="AR27" s="29" t="str">
        <f t="shared" si="19"/>
        <v/>
      </c>
      <c r="AS27" s="29">
        <f t="shared" si="20"/>
        <v>0</v>
      </c>
      <c r="AT27" s="29">
        <f t="shared" si="21"/>
        <v>0</v>
      </c>
      <c r="AU27" s="22" t="str">
        <f t="shared" si="22"/>
        <v/>
      </c>
      <c r="AV27" s="23"/>
      <c r="AW27" s="45" t="str">
        <f t="shared" si="23"/>
        <v/>
      </c>
      <c r="AX27" s="25"/>
      <c r="AY27" s="45" t="str">
        <f t="shared" si="24"/>
        <v/>
      </c>
      <c r="AZ27" s="47"/>
      <c r="BA27" s="22" t="str">
        <f t="shared" si="25"/>
        <v/>
      </c>
      <c r="BB27" s="23"/>
      <c r="BC27" s="45" t="str">
        <f t="shared" si="26"/>
        <v/>
      </c>
      <c r="BD27" s="25"/>
      <c r="BE27" s="45" t="str">
        <f t="shared" si="27"/>
        <v/>
      </c>
      <c r="BF27" s="47"/>
      <c r="BG27" s="22" t="str">
        <f t="shared" si="28"/>
        <v/>
      </c>
      <c r="BH27" s="23"/>
      <c r="BI27" s="45" t="str">
        <f t="shared" si="29"/>
        <v/>
      </c>
      <c r="BJ27" s="25"/>
      <c r="BK27" s="45" t="str">
        <f t="shared" si="30"/>
        <v/>
      </c>
      <c r="BL27" s="20">
        <v>0.0</v>
      </c>
      <c r="BM27" s="5"/>
    </row>
    <row r="28">
      <c r="A28" s="20" t="str">
        <f t="shared" si="1"/>
        <v/>
      </c>
      <c r="B28" s="21"/>
      <c r="C28" s="20"/>
      <c r="D28" s="55"/>
      <c r="E28" s="5"/>
      <c r="F28" s="22" t="str">
        <f t="shared" si="2"/>
        <v/>
      </c>
      <c r="G28" s="23"/>
      <c r="H28" s="45" t="str">
        <f t="shared" si="3"/>
        <v/>
      </c>
      <c r="I28" s="25"/>
      <c r="J28" s="45" t="str">
        <f t="shared" si="4"/>
        <v/>
      </c>
      <c r="K28" s="29" t="str">
        <f t="shared" si="5"/>
        <v/>
      </c>
      <c r="L28" s="29">
        <f t="shared" si="6"/>
        <v>0</v>
      </c>
      <c r="M28" s="29">
        <f t="shared" si="7"/>
        <v>0</v>
      </c>
      <c r="N28" s="22" t="str">
        <f t="shared" si="8"/>
        <v/>
      </c>
      <c r="O28" s="23"/>
      <c r="P28" s="45" t="str">
        <f t="shared" si="9"/>
        <v/>
      </c>
      <c r="Q28" s="25"/>
      <c r="R28" s="45" t="str">
        <f t="shared" si="10"/>
        <v/>
      </c>
      <c r="S28" s="47"/>
      <c r="T28" s="22" t="str">
        <f t="shared" si="11"/>
        <v/>
      </c>
      <c r="U28" s="23"/>
      <c r="V28" s="45" t="str">
        <f t="shared" si="12"/>
        <v/>
      </c>
      <c r="W28" s="25"/>
      <c r="X28" s="45" t="str">
        <f t="shared" si="13"/>
        <v/>
      </c>
      <c r="Y28" s="47"/>
      <c r="Z28" s="22" t="str">
        <f t="shared" si="14"/>
        <v/>
      </c>
      <c r="AA28" s="23"/>
      <c r="AB28" s="45" t="str">
        <f t="shared" si="15"/>
        <v/>
      </c>
      <c r="AC28" s="25"/>
      <c r="AD28" s="45" t="str">
        <f t="shared" si="16"/>
        <v/>
      </c>
      <c r="AE28" s="20">
        <v>0.0</v>
      </c>
      <c r="AF28" s="5"/>
      <c r="AG28" s="22" t="str">
        <f t="shared" si="17"/>
        <v/>
      </c>
      <c r="AH28" s="20" t="str">
        <f t="shared" si="31"/>
        <v/>
      </c>
      <c r="AI28" s="20"/>
      <c r="AJ28" s="20"/>
      <c r="AK28" s="55"/>
      <c r="AL28" s="5"/>
      <c r="AM28" s="45" t="str">
        <f t="shared" si="18"/>
        <v/>
      </c>
      <c r="AN28" s="23"/>
      <c r="AO28" s="45" t="str">
        <f t="shared" si="32"/>
        <v/>
      </c>
      <c r="AP28" s="25"/>
      <c r="AQ28" s="45" t="str">
        <f t="shared" si="33"/>
        <v/>
      </c>
      <c r="AR28" s="29" t="str">
        <f t="shared" si="19"/>
        <v/>
      </c>
      <c r="AS28" s="29">
        <f t="shared" si="20"/>
        <v>0</v>
      </c>
      <c r="AT28" s="29">
        <f t="shared" si="21"/>
        <v>0</v>
      </c>
      <c r="AU28" s="22" t="str">
        <f t="shared" si="22"/>
        <v/>
      </c>
      <c r="AV28" s="23"/>
      <c r="AW28" s="45" t="str">
        <f t="shared" si="23"/>
        <v/>
      </c>
      <c r="AX28" s="25"/>
      <c r="AY28" s="45" t="str">
        <f t="shared" si="24"/>
        <v/>
      </c>
      <c r="AZ28" s="47"/>
      <c r="BA28" s="22" t="str">
        <f t="shared" si="25"/>
        <v/>
      </c>
      <c r="BB28" s="23"/>
      <c r="BC28" s="45" t="str">
        <f t="shared" si="26"/>
        <v/>
      </c>
      <c r="BD28" s="25"/>
      <c r="BE28" s="45" t="str">
        <f t="shared" si="27"/>
        <v/>
      </c>
      <c r="BF28" s="47"/>
      <c r="BG28" s="22" t="str">
        <f t="shared" si="28"/>
        <v/>
      </c>
      <c r="BH28" s="23"/>
      <c r="BI28" s="45" t="str">
        <f t="shared" si="29"/>
        <v/>
      </c>
      <c r="BJ28" s="25"/>
      <c r="BK28" s="45" t="str">
        <f t="shared" si="30"/>
        <v/>
      </c>
      <c r="BL28" s="20">
        <v>0.0</v>
      </c>
      <c r="BM28" s="5"/>
    </row>
    <row r="29">
      <c r="A29" s="20" t="str">
        <f t="shared" si="1"/>
        <v/>
      </c>
      <c r="B29" s="21"/>
      <c r="C29" s="20"/>
      <c r="D29" s="55"/>
      <c r="E29" s="5"/>
      <c r="F29" s="22" t="str">
        <f t="shared" si="2"/>
        <v/>
      </c>
      <c r="G29" s="23"/>
      <c r="H29" s="45" t="str">
        <f t="shared" si="3"/>
        <v/>
      </c>
      <c r="I29" s="25"/>
      <c r="J29" s="45" t="str">
        <f t="shared" si="4"/>
        <v/>
      </c>
      <c r="K29" s="29" t="str">
        <f t="shared" si="5"/>
        <v/>
      </c>
      <c r="L29" s="29">
        <f t="shared" si="6"/>
        <v>0</v>
      </c>
      <c r="M29" s="29">
        <f t="shared" si="7"/>
        <v>0</v>
      </c>
      <c r="N29" s="22" t="str">
        <f t="shared" si="8"/>
        <v/>
      </c>
      <c r="O29" s="23"/>
      <c r="P29" s="45" t="str">
        <f t="shared" si="9"/>
        <v/>
      </c>
      <c r="Q29" s="25"/>
      <c r="R29" s="45" t="str">
        <f t="shared" si="10"/>
        <v/>
      </c>
      <c r="S29" s="47"/>
      <c r="T29" s="22" t="str">
        <f t="shared" si="11"/>
        <v/>
      </c>
      <c r="U29" s="23"/>
      <c r="V29" s="45" t="str">
        <f t="shared" si="12"/>
        <v/>
      </c>
      <c r="W29" s="25"/>
      <c r="X29" s="45" t="str">
        <f t="shared" si="13"/>
        <v/>
      </c>
      <c r="Y29" s="47"/>
      <c r="Z29" s="22" t="str">
        <f t="shared" si="14"/>
        <v/>
      </c>
      <c r="AA29" s="23"/>
      <c r="AB29" s="45" t="str">
        <f t="shared" si="15"/>
        <v/>
      </c>
      <c r="AC29" s="25"/>
      <c r="AD29" s="45" t="str">
        <f t="shared" si="16"/>
        <v/>
      </c>
      <c r="AE29" s="20">
        <v>0.0</v>
      </c>
      <c r="AF29" s="5"/>
      <c r="AG29" s="22" t="str">
        <f t="shared" si="17"/>
        <v/>
      </c>
      <c r="AH29" s="20" t="str">
        <f t="shared" si="31"/>
        <v/>
      </c>
      <c r="AI29" s="20"/>
      <c r="AJ29" s="20"/>
      <c r="AK29" s="55"/>
      <c r="AL29" s="5"/>
      <c r="AM29" s="45" t="str">
        <f t="shared" si="18"/>
        <v/>
      </c>
      <c r="AN29" s="23"/>
      <c r="AO29" s="45" t="str">
        <f t="shared" si="32"/>
        <v/>
      </c>
      <c r="AP29" s="25"/>
      <c r="AQ29" s="45" t="str">
        <f t="shared" si="33"/>
        <v/>
      </c>
      <c r="AR29" s="29" t="str">
        <f t="shared" si="19"/>
        <v/>
      </c>
      <c r="AS29" s="29">
        <f t="shared" si="20"/>
        <v>0</v>
      </c>
      <c r="AT29" s="29">
        <f t="shared" si="21"/>
        <v>0</v>
      </c>
      <c r="AU29" s="22" t="str">
        <f t="shared" si="22"/>
        <v/>
      </c>
      <c r="AV29" s="23"/>
      <c r="AW29" s="45" t="str">
        <f t="shared" si="23"/>
        <v/>
      </c>
      <c r="AX29" s="25"/>
      <c r="AY29" s="45" t="str">
        <f t="shared" si="24"/>
        <v/>
      </c>
      <c r="AZ29" s="47"/>
      <c r="BA29" s="22" t="str">
        <f t="shared" si="25"/>
        <v/>
      </c>
      <c r="BB29" s="23"/>
      <c r="BC29" s="45" t="str">
        <f t="shared" si="26"/>
        <v/>
      </c>
      <c r="BD29" s="25"/>
      <c r="BE29" s="45" t="str">
        <f t="shared" si="27"/>
        <v/>
      </c>
      <c r="BF29" s="47"/>
      <c r="BG29" s="22" t="str">
        <f t="shared" si="28"/>
        <v/>
      </c>
      <c r="BH29" s="23"/>
      <c r="BI29" s="45" t="str">
        <f t="shared" si="29"/>
        <v/>
      </c>
      <c r="BJ29" s="25"/>
      <c r="BK29" s="45" t="str">
        <f t="shared" si="30"/>
        <v/>
      </c>
      <c r="BL29" s="20">
        <v>0.0</v>
      </c>
      <c r="BM29" s="5"/>
    </row>
    <row r="30">
      <c r="A30" s="20" t="str">
        <f t="shared" si="1"/>
        <v/>
      </c>
      <c r="B30" s="21"/>
      <c r="C30" s="20"/>
      <c r="D30" s="55"/>
      <c r="E30" s="5"/>
      <c r="F30" s="22" t="str">
        <f t="shared" si="2"/>
        <v/>
      </c>
      <c r="G30" s="23"/>
      <c r="H30" s="45" t="str">
        <f t="shared" si="3"/>
        <v/>
      </c>
      <c r="I30" s="25"/>
      <c r="J30" s="45" t="str">
        <f t="shared" si="4"/>
        <v/>
      </c>
      <c r="K30" s="29" t="str">
        <f t="shared" si="5"/>
        <v/>
      </c>
      <c r="L30" s="29">
        <f t="shared" si="6"/>
        <v>0</v>
      </c>
      <c r="M30" s="29">
        <f t="shared" si="7"/>
        <v>0</v>
      </c>
      <c r="N30" s="22" t="str">
        <f t="shared" si="8"/>
        <v/>
      </c>
      <c r="O30" s="23"/>
      <c r="P30" s="45" t="str">
        <f t="shared" si="9"/>
        <v/>
      </c>
      <c r="Q30" s="25"/>
      <c r="R30" s="45" t="str">
        <f t="shared" si="10"/>
        <v/>
      </c>
      <c r="S30" s="47"/>
      <c r="T30" s="22" t="str">
        <f t="shared" si="11"/>
        <v/>
      </c>
      <c r="U30" s="23"/>
      <c r="V30" s="45" t="str">
        <f t="shared" si="12"/>
        <v/>
      </c>
      <c r="W30" s="25"/>
      <c r="X30" s="45" t="str">
        <f t="shared" si="13"/>
        <v/>
      </c>
      <c r="Y30" s="47"/>
      <c r="Z30" s="22" t="str">
        <f t="shared" si="14"/>
        <v/>
      </c>
      <c r="AA30" s="23"/>
      <c r="AB30" s="45" t="str">
        <f t="shared" si="15"/>
        <v/>
      </c>
      <c r="AC30" s="25"/>
      <c r="AD30" s="45" t="str">
        <f t="shared" si="16"/>
        <v/>
      </c>
      <c r="AE30" s="20">
        <v>0.0</v>
      </c>
      <c r="AF30" s="5"/>
      <c r="AG30" s="22" t="str">
        <f t="shared" si="17"/>
        <v/>
      </c>
      <c r="AH30" s="20" t="str">
        <f t="shared" si="31"/>
        <v/>
      </c>
      <c r="AI30" s="20"/>
      <c r="AJ30" s="20"/>
      <c r="AK30" s="55"/>
      <c r="AL30" s="5"/>
      <c r="AM30" s="45" t="str">
        <f t="shared" si="18"/>
        <v/>
      </c>
      <c r="AN30" s="23"/>
      <c r="AO30" s="45" t="str">
        <f t="shared" si="32"/>
        <v/>
      </c>
      <c r="AP30" s="25"/>
      <c r="AQ30" s="45" t="str">
        <f t="shared" si="33"/>
        <v/>
      </c>
      <c r="AR30" s="29" t="str">
        <f t="shared" si="19"/>
        <v/>
      </c>
      <c r="AS30" s="29">
        <f t="shared" si="20"/>
        <v>0</v>
      </c>
      <c r="AT30" s="29">
        <f t="shared" si="21"/>
        <v>0</v>
      </c>
      <c r="AU30" s="22" t="str">
        <f t="shared" si="22"/>
        <v/>
      </c>
      <c r="AV30" s="23"/>
      <c r="AW30" s="45" t="str">
        <f t="shared" si="23"/>
        <v/>
      </c>
      <c r="AX30" s="25"/>
      <c r="AY30" s="45" t="str">
        <f t="shared" si="24"/>
        <v/>
      </c>
      <c r="AZ30" s="47"/>
      <c r="BA30" s="22" t="str">
        <f t="shared" si="25"/>
        <v/>
      </c>
      <c r="BB30" s="23"/>
      <c r="BC30" s="45" t="str">
        <f t="shared" si="26"/>
        <v/>
      </c>
      <c r="BD30" s="25"/>
      <c r="BE30" s="45" t="str">
        <f t="shared" si="27"/>
        <v/>
      </c>
      <c r="BF30" s="47"/>
      <c r="BG30" s="22" t="str">
        <f t="shared" si="28"/>
        <v/>
      </c>
      <c r="BH30" s="23"/>
      <c r="BI30" s="45" t="str">
        <f t="shared" si="29"/>
        <v/>
      </c>
      <c r="BJ30" s="25"/>
      <c r="BK30" s="45" t="str">
        <f t="shared" si="30"/>
        <v/>
      </c>
      <c r="BL30" s="20">
        <v>0.0</v>
      </c>
      <c r="BM30" s="5"/>
    </row>
  </sheetData>
  <mergeCells count="21">
    <mergeCell ref="A1:B1"/>
    <mergeCell ref="C1:D1"/>
    <mergeCell ref="E1:E2"/>
    <mergeCell ref="F1:M1"/>
    <mergeCell ref="N1:N2"/>
    <mergeCell ref="O1:S1"/>
    <mergeCell ref="T1:T2"/>
    <mergeCell ref="AM1:AQ1"/>
    <mergeCell ref="AU1:AU2"/>
    <mergeCell ref="AV1:AZ1"/>
    <mergeCell ref="BA1:BA2"/>
    <mergeCell ref="BB1:BF1"/>
    <mergeCell ref="BG1:BG2"/>
    <mergeCell ref="BH1:BL1"/>
    <mergeCell ref="U1:Y1"/>
    <mergeCell ref="Z1:Z2"/>
    <mergeCell ref="AA1:AE1"/>
    <mergeCell ref="AF1:AF2"/>
    <mergeCell ref="AG1:AI1"/>
    <mergeCell ref="AJ1:AK1"/>
    <mergeCell ref="AL1:AL2"/>
  </mergeCells>
  <dataValidations>
    <dataValidation type="list" allowBlank="1" showErrorMessage="1" sqref="AI3:AI6">
      <formula1>"Logo,Template PDF,Brochure,Design Template Video"</formula1>
    </dataValidation>
    <dataValidation type="list" allowBlank="1" showErrorMessage="1" sqref="AI7:AI30">
      <formula1>"Logo,Template PDF,Brochure,Design Template Video,Template PDF"</formula1>
    </dataValidation>
    <dataValidation type="list" allowBlank="1" showErrorMessage="1" sqref="C3:C30 AJ3:AJ30">
      <formula1>"1,2,3,4,5"</formula1>
    </dataValidation>
    <dataValidation type="list" allowBlank="1" showErrorMessage="1" sqref="D3:D30 G3:G30 O3:O30 U3:U30 AA3:AA30 AK3:AK30 AN3:AN30 AV3:AV30 BB3:BB30 BH3:BH30">
      <formula1>'List Personnel'!$A$2:$A$56</formula1>
    </dataValidation>
    <dataValidation type="list" allowBlank="1" showErrorMessage="1" sqref="S3:S30 Y3:Y30 AZ3:AZ30 BF3:BF30">
      <formula1>"5%,10%,20%,30%,40%,50%,60%,70%,80%,90%,100%"</formula1>
    </dataValidation>
    <dataValidation type="list" allowBlank="1" showErrorMessage="1" sqref="I3:I30 Q3:Q30 W3:W30 AC3:AC30 AP3:AP30 AX3:AX30 BD3:BD30 BJ3:BJ30">
      <formula1>"Ongoing,Done,Pending,Revision"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7.13"/>
    <col customWidth="1" min="2" max="2" width="25.25"/>
    <col customWidth="1" min="3" max="3" width="22.5"/>
    <col customWidth="1" min="4" max="4" width="18.5"/>
    <col customWidth="1" min="5" max="5" width="19.75"/>
    <col customWidth="1" min="6" max="6" width="3.63"/>
    <col customWidth="1" min="7" max="7" width="11.13"/>
    <col customWidth="1" min="8" max="9" width="20.88"/>
    <col collapsed="1" customWidth="1" min="11" max="11" width="19.13"/>
    <col hidden="1" min="12" max="14" width="12.63" outlineLevel="1"/>
    <col collapsed="1" min="15" max="15" width="12.63"/>
    <col hidden="1" min="16" max="20" width="12.63" outlineLevel="1"/>
    <col collapsed="1" min="21" max="21" width="12.63"/>
    <col hidden="1" min="22" max="26" width="12.63" outlineLevel="1"/>
    <col collapsed="1" min="27" max="27" width="12.63"/>
    <col hidden="1" min="28" max="32" width="12.63" outlineLevel="1"/>
    <col customWidth="1" min="33" max="33" width="3.63"/>
  </cols>
  <sheetData>
    <row r="1">
      <c r="A1" s="97" t="s">
        <v>486</v>
      </c>
      <c r="D1" s="97" t="s">
        <v>487</v>
      </c>
      <c r="F1" s="5"/>
      <c r="G1" s="97" t="s">
        <v>488</v>
      </c>
      <c r="L1" s="104"/>
      <c r="M1" s="104"/>
      <c r="N1" s="104"/>
      <c r="O1" s="99" t="s">
        <v>8</v>
      </c>
      <c r="P1" s="103" t="s">
        <v>8</v>
      </c>
      <c r="U1" s="99" t="s">
        <v>10</v>
      </c>
      <c r="V1" s="103" t="s">
        <v>10</v>
      </c>
      <c r="AA1" s="98" t="s">
        <v>478</v>
      </c>
      <c r="AB1" s="104" t="s">
        <v>14</v>
      </c>
      <c r="AG1" s="5"/>
    </row>
    <row r="2">
      <c r="A2" s="18" t="s">
        <v>24</v>
      </c>
      <c r="B2" s="18" t="s">
        <v>489</v>
      </c>
      <c r="C2" s="18" t="s">
        <v>65</v>
      </c>
      <c r="D2" s="16" t="s">
        <v>490</v>
      </c>
      <c r="E2" s="17" t="s">
        <v>31</v>
      </c>
      <c r="G2" s="16" t="s">
        <v>35</v>
      </c>
      <c r="H2" s="15" t="s">
        <v>36</v>
      </c>
      <c r="I2" s="17" t="s">
        <v>38</v>
      </c>
      <c r="J2" s="17" t="s">
        <v>39</v>
      </c>
      <c r="K2" s="17" t="s">
        <v>40</v>
      </c>
      <c r="L2" s="17" t="s">
        <v>42</v>
      </c>
      <c r="M2" s="17" t="s">
        <v>44</v>
      </c>
      <c r="N2" s="17" t="s">
        <v>45</v>
      </c>
      <c r="P2" s="103" t="s">
        <v>46</v>
      </c>
      <c r="Q2" s="103" t="s">
        <v>38</v>
      </c>
      <c r="R2" s="103" t="s">
        <v>39</v>
      </c>
      <c r="S2" s="103" t="s">
        <v>40</v>
      </c>
      <c r="T2" s="107" t="s">
        <v>47</v>
      </c>
      <c r="V2" s="103" t="s">
        <v>48</v>
      </c>
      <c r="W2" s="103" t="s">
        <v>38</v>
      </c>
      <c r="X2" s="103" t="s">
        <v>39</v>
      </c>
      <c r="Y2" s="103" t="s">
        <v>40</v>
      </c>
      <c r="Z2" s="107" t="s">
        <v>47</v>
      </c>
      <c r="AB2" s="15" t="s">
        <v>49</v>
      </c>
      <c r="AC2" s="15" t="s">
        <v>38</v>
      </c>
      <c r="AD2" s="15" t="s">
        <v>39</v>
      </c>
      <c r="AE2" s="15" t="s">
        <v>40</v>
      </c>
      <c r="AF2" s="18" t="s">
        <v>51</v>
      </c>
      <c r="AG2" s="5"/>
    </row>
    <row r="3">
      <c r="A3" s="22" t="str">
        <f t="shared" ref="A3:A30" si="1">IF(B3="","",COUNTA($A$3:A3))</f>
        <v/>
      </c>
      <c r="B3" s="20" t="str">
        <f t="shared" ref="B3:B30" si="2">IF(C3="","",
IF(C3="Bumper",
"BMP_DRVSIM_"&amp;TEXT(COUNTIF($C$3:C3,"Bumper"),"000"),
IF(C3="Template",
"TMP_DRVSIM_"&amp;TEXT(COUNTIF($C$3:C3,"Template"),"000"),
"")))</f>
        <v/>
      </c>
      <c r="C3" s="20"/>
      <c r="D3" s="20"/>
      <c r="E3" s="23"/>
      <c r="F3" s="5"/>
      <c r="G3" s="45" t="str">
        <f t="shared" ref="G3:G30" si="3">D3</f>
        <v/>
      </c>
      <c r="H3" s="23"/>
      <c r="I3" s="45" t="str">
        <f t="shared" ref="I3:I30" si="4">if(H3&lt;&gt;"", if(I3="",NOW(),I3),"")</f>
        <v/>
      </c>
      <c r="J3" s="25"/>
      <c r="K3" s="45" t="str">
        <f t="shared" ref="K3:K30" si="5">if(J3="Done", if(K3="",NOW(),K3),"")</f>
        <v/>
      </c>
      <c r="L3" s="29" t="str">
        <f t="shared" ref="L3:L30" si="6">IF(AND(I3&lt;&gt;"",K3&lt;&gt;""),(K3-I3)*1440,"")</f>
        <v/>
      </c>
      <c r="M3" s="29">
        <f t="shared" ref="M3:M30" si="7">IF(
  INT(I3)=INT(K3),
  IF(
    AND(MOD(I3,1)&lt;TIME(12,0,0), MOD(K3,1)&gt;TIME(12,0,0)),
    60,
    0
  ),
  IF(
    MOD(K3,1)&lt;=TIME(12,0,0),
    (INT(K3)-INT(I3))*960,
    (INT(K3)-INT(I3))*1020
  )
)</f>
        <v>0</v>
      </c>
      <c r="N3" s="29">
        <f t="shared" ref="N3:N30" si="8">(L3-M3)/60</f>
        <v>0</v>
      </c>
      <c r="O3" s="22" t="str">
        <f t="shared" ref="O3:O30" si="9">R3</f>
        <v/>
      </c>
      <c r="P3" s="23"/>
      <c r="Q3" s="45" t="str">
        <f t="shared" ref="Q3:Q30" si="10">if(P3&lt;&gt;"", if(Q3="",NOW(),Q3),"")</f>
        <v/>
      </c>
      <c r="R3" s="25"/>
      <c r="S3" s="45" t="str">
        <f t="shared" ref="S3:S30" si="11">if(R3="Done", if(S3="",NOW(),S3),"")</f>
        <v/>
      </c>
      <c r="T3" s="47"/>
      <c r="U3" s="22" t="str">
        <f t="shared" ref="U3:U30" si="12">X3</f>
        <v/>
      </c>
      <c r="V3" s="23"/>
      <c r="W3" s="45" t="str">
        <f t="shared" ref="W3:W30" si="13">if(V3&lt;&gt;"", if(W3="",NOW(),W3),"")</f>
        <v/>
      </c>
      <c r="X3" s="25"/>
      <c r="Y3" s="45" t="str">
        <f t="shared" ref="Y3:Y30" si="14">if(X3="Done", if(Y3="",NOW(),Y3),"")</f>
        <v/>
      </c>
      <c r="Z3" s="47"/>
      <c r="AA3" s="22" t="str">
        <f t="shared" ref="AA3:AA30" si="15">AD3</f>
        <v/>
      </c>
      <c r="AB3" s="23"/>
      <c r="AC3" s="45" t="str">
        <f t="shared" ref="AC3:AC30" si="16">if(AB3&lt;&gt;"", if(AC3="",NOW(),AC3),"")</f>
        <v/>
      </c>
      <c r="AD3" s="25"/>
      <c r="AE3" s="45" t="str">
        <f t="shared" ref="AE3:AE30" si="17">if(AD3="Done", if(AE3="",NOW(),AE3),"")</f>
        <v/>
      </c>
      <c r="AF3" s="20">
        <v>0.0</v>
      </c>
      <c r="AG3" s="5"/>
    </row>
    <row r="4">
      <c r="A4" s="22" t="str">
        <f t="shared" si="1"/>
        <v/>
      </c>
      <c r="B4" s="20" t="str">
        <f t="shared" si="2"/>
        <v/>
      </c>
      <c r="C4" s="20"/>
      <c r="D4" s="20"/>
      <c r="E4" s="23"/>
      <c r="F4" s="5"/>
      <c r="G4" s="45" t="str">
        <f t="shared" si="3"/>
        <v/>
      </c>
      <c r="H4" s="23"/>
      <c r="I4" s="45" t="str">
        <f t="shared" si="4"/>
        <v/>
      </c>
      <c r="J4" s="25"/>
      <c r="K4" s="45" t="str">
        <f t="shared" si="5"/>
        <v/>
      </c>
      <c r="L4" s="29" t="str">
        <f t="shared" si="6"/>
        <v/>
      </c>
      <c r="M4" s="29">
        <f t="shared" si="7"/>
        <v>0</v>
      </c>
      <c r="N4" s="29">
        <f t="shared" si="8"/>
        <v>0</v>
      </c>
      <c r="O4" s="22" t="str">
        <f t="shared" si="9"/>
        <v/>
      </c>
      <c r="P4" s="23"/>
      <c r="Q4" s="45" t="str">
        <f t="shared" si="10"/>
        <v/>
      </c>
      <c r="R4" s="25"/>
      <c r="S4" s="45" t="str">
        <f t="shared" si="11"/>
        <v/>
      </c>
      <c r="T4" s="47"/>
      <c r="U4" s="22" t="str">
        <f t="shared" si="12"/>
        <v/>
      </c>
      <c r="V4" s="23"/>
      <c r="W4" s="45" t="str">
        <f t="shared" si="13"/>
        <v/>
      </c>
      <c r="X4" s="25"/>
      <c r="Y4" s="45" t="str">
        <f t="shared" si="14"/>
        <v/>
      </c>
      <c r="Z4" s="47"/>
      <c r="AA4" s="22" t="str">
        <f t="shared" si="15"/>
        <v/>
      </c>
      <c r="AB4" s="23"/>
      <c r="AC4" s="45" t="str">
        <f t="shared" si="16"/>
        <v/>
      </c>
      <c r="AD4" s="25"/>
      <c r="AE4" s="45" t="str">
        <f t="shared" si="17"/>
        <v/>
      </c>
      <c r="AF4" s="20">
        <v>0.0</v>
      </c>
      <c r="AG4" s="5"/>
    </row>
    <row r="5">
      <c r="A5" s="22" t="str">
        <f t="shared" si="1"/>
        <v/>
      </c>
      <c r="B5" s="20" t="str">
        <f t="shared" si="2"/>
        <v/>
      </c>
      <c r="C5" s="20"/>
      <c r="D5" s="20"/>
      <c r="E5" s="23"/>
      <c r="F5" s="5"/>
      <c r="G5" s="45" t="str">
        <f t="shared" si="3"/>
        <v/>
      </c>
      <c r="H5" s="23"/>
      <c r="I5" s="45" t="str">
        <f t="shared" si="4"/>
        <v/>
      </c>
      <c r="J5" s="25"/>
      <c r="K5" s="45" t="str">
        <f t="shared" si="5"/>
        <v/>
      </c>
      <c r="L5" s="29" t="str">
        <f t="shared" si="6"/>
        <v/>
      </c>
      <c r="M5" s="29">
        <f t="shared" si="7"/>
        <v>0</v>
      </c>
      <c r="N5" s="29">
        <f t="shared" si="8"/>
        <v>0</v>
      </c>
      <c r="O5" s="22" t="str">
        <f t="shared" si="9"/>
        <v/>
      </c>
      <c r="P5" s="23"/>
      <c r="Q5" s="45" t="str">
        <f t="shared" si="10"/>
        <v/>
      </c>
      <c r="R5" s="25"/>
      <c r="S5" s="45" t="str">
        <f t="shared" si="11"/>
        <v/>
      </c>
      <c r="T5" s="47"/>
      <c r="U5" s="22" t="str">
        <f t="shared" si="12"/>
        <v/>
      </c>
      <c r="V5" s="23"/>
      <c r="W5" s="45" t="str">
        <f t="shared" si="13"/>
        <v/>
      </c>
      <c r="X5" s="25"/>
      <c r="Y5" s="45" t="str">
        <f t="shared" si="14"/>
        <v/>
      </c>
      <c r="Z5" s="47"/>
      <c r="AA5" s="22" t="str">
        <f t="shared" si="15"/>
        <v/>
      </c>
      <c r="AB5" s="23"/>
      <c r="AC5" s="45" t="str">
        <f t="shared" si="16"/>
        <v/>
      </c>
      <c r="AD5" s="25"/>
      <c r="AE5" s="45" t="str">
        <f t="shared" si="17"/>
        <v/>
      </c>
      <c r="AF5" s="20">
        <v>0.0</v>
      </c>
      <c r="AG5" s="5"/>
    </row>
    <row r="6">
      <c r="A6" s="22" t="str">
        <f t="shared" si="1"/>
        <v/>
      </c>
      <c r="B6" s="20" t="str">
        <f t="shared" si="2"/>
        <v/>
      </c>
      <c r="C6" s="20"/>
      <c r="D6" s="20"/>
      <c r="E6" s="23"/>
      <c r="F6" s="5"/>
      <c r="G6" s="45" t="str">
        <f t="shared" si="3"/>
        <v/>
      </c>
      <c r="H6" s="23"/>
      <c r="I6" s="45" t="str">
        <f t="shared" si="4"/>
        <v/>
      </c>
      <c r="J6" s="25"/>
      <c r="K6" s="45" t="str">
        <f t="shared" si="5"/>
        <v/>
      </c>
      <c r="L6" s="29" t="str">
        <f t="shared" si="6"/>
        <v/>
      </c>
      <c r="M6" s="29">
        <f t="shared" si="7"/>
        <v>0</v>
      </c>
      <c r="N6" s="29">
        <f t="shared" si="8"/>
        <v>0</v>
      </c>
      <c r="O6" s="22" t="str">
        <f t="shared" si="9"/>
        <v/>
      </c>
      <c r="P6" s="23"/>
      <c r="Q6" s="45" t="str">
        <f t="shared" si="10"/>
        <v/>
      </c>
      <c r="R6" s="25"/>
      <c r="S6" s="45" t="str">
        <f t="shared" si="11"/>
        <v/>
      </c>
      <c r="T6" s="47"/>
      <c r="U6" s="22" t="str">
        <f t="shared" si="12"/>
        <v/>
      </c>
      <c r="V6" s="23"/>
      <c r="W6" s="45" t="str">
        <f t="shared" si="13"/>
        <v/>
      </c>
      <c r="X6" s="25"/>
      <c r="Y6" s="45" t="str">
        <f t="shared" si="14"/>
        <v/>
      </c>
      <c r="Z6" s="47"/>
      <c r="AA6" s="22" t="str">
        <f t="shared" si="15"/>
        <v/>
      </c>
      <c r="AB6" s="23"/>
      <c r="AC6" s="45" t="str">
        <f t="shared" si="16"/>
        <v/>
      </c>
      <c r="AD6" s="25"/>
      <c r="AE6" s="45" t="str">
        <f t="shared" si="17"/>
        <v/>
      </c>
      <c r="AF6" s="20">
        <v>0.0</v>
      </c>
      <c r="AG6" s="5"/>
    </row>
    <row r="7">
      <c r="A7" s="22" t="str">
        <f t="shared" si="1"/>
        <v/>
      </c>
      <c r="B7" s="20" t="str">
        <f t="shared" si="2"/>
        <v/>
      </c>
      <c r="C7" s="20"/>
      <c r="D7" s="20"/>
      <c r="E7" s="23"/>
      <c r="F7" s="5"/>
      <c r="G7" s="45" t="str">
        <f t="shared" si="3"/>
        <v/>
      </c>
      <c r="H7" s="23"/>
      <c r="I7" s="45" t="str">
        <f t="shared" si="4"/>
        <v/>
      </c>
      <c r="J7" s="25"/>
      <c r="K7" s="45" t="str">
        <f t="shared" si="5"/>
        <v/>
      </c>
      <c r="L7" s="29" t="str">
        <f t="shared" si="6"/>
        <v/>
      </c>
      <c r="M7" s="29">
        <f t="shared" si="7"/>
        <v>0</v>
      </c>
      <c r="N7" s="29">
        <f t="shared" si="8"/>
        <v>0</v>
      </c>
      <c r="O7" s="22" t="str">
        <f t="shared" si="9"/>
        <v/>
      </c>
      <c r="P7" s="23"/>
      <c r="Q7" s="45" t="str">
        <f t="shared" si="10"/>
        <v/>
      </c>
      <c r="R7" s="25"/>
      <c r="S7" s="45" t="str">
        <f t="shared" si="11"/>
        <v/>
      </c>
      <c r="T7" s="47"/>
      <c r="U7" s="22" t="str">
        <f t="shared" si="12"/>
        <v/>
      </c>
      <c r="V7" s="23"/>
      <c r="W7" s="45" t="str">
        <f t="shared" si="13"/>
        <v/>
      </c>
      <c r="X7" s="25"/>
      <c r="Y7" s="45" t="str">
        <f t="shared" si="14"/>
        <v/>
      </c>
      <c r="Z7" s="47"/>
      <c r="AA7" s="22" t="str">
        <f t="shared" si="15"/>
        <v/>
      </c>
      <c r="AB7" s="23"/>
      <c r="AC7" s="45" t="str">
        <f t="shared" si="16"/>
        <v/>
      </c>
      <c r="AD7" s="25"/>
      <c r="AE7" s="45" t="str">
        <f t="shared" si="17"/>
        <v/>
      </c>
      <c r="AF7" s="20">
        <v>0.0</v>
      </c>
      <c r="AG7" s="5"/>
    </row>
    <row r="8">
      <c r="A8" s="22" t="str">
        <f t="shared" si="1"/>
        <v/>
      </c>
      <c r="B8" s="20" t="str">
        <f t="shared" si="2"/>
        <v/>
      </c>
      <c r="C8" s="20"/>
      <c r="D8" s="20"/>
      <c r="E8" s="23"/>
      <c r="F8" s="5"/>
      <c r="G8" s="45" t="str">
        <f t="shared" si="3"/>
        <v/>
      </c>
      <c r="H8" s="23"/>
      <c r="I8" s="45" t="str">
        <f t="shared" si="4"/>
        <v/>
      </c>
      <c r="J8" s="25"/>
      <c r="K8" s="45" t="str">
        <f t="shared" si="5"/>
        <v/>
      </c>
      <c r="L8" s="29" t="str">
        <f t="shared" si="6"/>
        <v/>
      </c>
      <c r="M8" s="29">
        <f t="shared" si="7"/>
        <v>0</v>
      </c>
      <c r="N8" s="29">
        <f t="shared" si="8"/>
        <v>0</v>
      </c>
      <c r="O8" s="22" t="str">
        <f t="shared" si="9"/>
        <v/>
      </c>
      <c r="P8" s="23"/>
      <c r="Q8" s="45" t="str">
        <f t="shared" si="10"/>
        <v/>
      </c>
      <c r="R8" s="25"/>
      <c r="S8" s="45" t="str">
        <f t="shared" si="11"/>
        <v/>
      </c>
      <c r="T8" s="47"/>
      <c r="U8" s="22" t="str">
        <f t="shared" si="12"/>
        <v/>
      </c>
      <c r="V8" s="23"/>
      <c r="W8" s="45" t="str">
        <f t="shared" si="13"/>
        <v/>
      </c>
      <c r="X8" s="25"/>
      <c r="Y8" s="45" t="str">
        <f t="shared" si="14"/>
        <v/>
      </c>
      <c r="Z8" s="47"/>
      <c r="AA8" s="22" t="str">
        <f t="shared" si="15"/>
        <v/>
      </c>
      <c r="AB8" s="23"/>
      <c r="AC8" s="45" t="str">
        <f t="shared" si="16"/>
        <v/>
      </c>
      <c r="AD8" s="25"/>
      <c r="AE8" s="45" t="str">
        <f t="shared" si="17"/>
        <v/>
      </c>
      <c r="AF8" s="20">
        <v>0.0</v>
      </c>
      <c r="AG8" s="5"/>
    </row>
    <row r="9">
      <c r="A9" s="22" t="str">
        <f t="shared" si="1"/>
        <v/>
      </c>
      <c r="B9" s="20" t="str">
        <f t="shared" si="2"/>
        <v/>
      </c>
      <c r="C9" s="20"/>
      <c r="D9" s="20"/>
      <c r="E9" s="23"/>
      <c r="F9" s="5"/>
      <c r="G9" s="45" t="str">
        <f t="shared" si="3"/>
        <v/>
      </c>
      <c r="H9" s="23"/>
      <c r="I9" s="45" t="str">
        <f t="shared" si="4"/>
        <v/>
      </c>
      <c r="J9" s="25"/>
      <c r="K9" s="45" t="str">
        <f t="shared" si="5"/>
        <v/>
      </c>
      <c r="L9" s="29" t="str">
        <f t="shared" si="6"/>
        <v/>
      </c>
      <c r="M9" s="29">
        <f t="shared" si="7"/>
        <v>0</v>
      </c>
      <c r="N9" s="29">
        <f t="shared" si="8"/>
        <v>0</v>
      </c>
      <c r="O9" s="22" t="str">
        <f t="shared" si="9"/>
        <v/>
      </c>
      <c r="P9" s="23"/>
      <c r="Q9" s="45" t="str">
        <f t="shared" si="10"/>
        <v/>
      </c>
      <c r="R9" s="25"/>
      <c r="S9" s="45" t="str">
        <f t="shared" si="11"/>
        <v/>
      </c>
      <c r="T9" s="47"/>
      <c r="U9" s="22" t="str">
        <f t="shared" si="12"/>
        <v/>
      </c>
      <c r="V9" s="23"/>
      <c r="W9" s="45" t="str">
        <f t="shared" si="13"/>
        <v/>
      </c>
      <c r="X9" s="25"/>
      <c r="Y9" s="45" t="str">
        <f t="shared" si="14"/>
        <v/>
      </c>
      <c r="Z9" s="47"/>
      <c r="AA9" s="22" t="str">
        <f t="shared" si="15"/>
        <v/>
      </c>
      <c r="AB9" s="23"/>
      <c r="AC9" s="45" t="str">
        <f t="shared" si="16"/>
        <v/>
      </c>
      <c r="AD9" s="25"/>
      <c r="AE9" s="45" t="str">
        <f t="shared" si="17"/>
        <v/>
      </c>
      <c r="AF9" s="20">
        <v>0.0</v>
      </c>
      <c r="AG9" s="5"/>
    </row>
    <row r="10">
      <c r="A10" s="22" t="str">
        <f t="shared" si="1"/>
        <v/>
      </c>
      <c r="B10" s="20" t="str">
        <f t="shared" si="2"/>
        <v/>
      </c>
      <c r="C10" s="20"/>
      <c r="D10" s="20"/>
      <c r="E10" s="23"/>
      <c r="F10" s="5"/>
      <c r="G10" s="45" t="str">
        <f t="shared" si="3"/>
        <v/>
      </c>
      <c r="H10" s="23"/>
      <c r="I10" s="45" t="str">
        <f t="shared" si="4"/>
        <v/>
      </c>
      <c r="J10" s="25"/>
      <c r="K10" s="45" t="str">
        <f t="shared" si="5"/>
        <v/>
      </c>
      <c r="L10" s="29" t="str">
        <f t="shared" si="6"/>
        <v/>
      </c>
      <c r="M10" s="29">
        <f t="shared" si="7"/>
        <v>0</v>
      </c>
      <c r="N10" s="29">
        <f t="shared" si="8"/>
        <v>0</v>
      </c>
      <c r="O10" s="22" t="str">
        <f t="shared" si="9"/>
        <v/>
      </c>
      <c r="P10" s="23"/>
      <c r="Q10" s="45" t="str">
        <f t="shared" si="10"/>
        <v/>
      </c>
      <c r="R10" s="25"/>
      <c r="S10" s="45" t="str">
        <f t="shared" si="11"/>
        <v/>
      </c>
      <c r="T10" s="47"/>
      <c r="U10" s="22" t="str">
        <f t="shared" si="12"/>
        <v/>
      </c>
      <c r="V10" s="23"/>
      <c r="W10" s="45" t="str">
        <f t="shared" si="13"/>
        <v/>
      </c>
      <c r="X10" s="25"/>
      <c r="Y10" s="45" t="str">
        <f t="shared" si="14"/>
        <v/>
      </c>
      <c r="Z10" s="47"/>
      <c r="AA10" s="22" t="str">
        <f t="shared" si="15"/>
        <v/>
      </c>
      <c r="AB10" s="23"/>
      <c r="AC10" s="45" t="str">
        <f t="shared" si="16"/>
        <v/>
      </c>
      <c r="AD10" s="25"/>
      <c r="AE10" s="45" t="str">
        <f t="shared" si="17"/>
        <v/>
      </c>
      <c r="AF10" s="20">
        <v>0.0</v>
      </c>
      <c r="AG10" s="5"/>
    </row>
    <row r="11">
      <c r="A11" s="22" t="str">
        <f t="shared" si="1"/>
        <v/>
      </c>
      <c r="B11" s="20" t="str">
        <f t="shared" si="2"/>
        <v/>
      </c>
      <c r="C11" s="20"/>
      <c r="D11" s="20"/>
      <c r="E11" s="23"/>
      <c r="F11" s="5"/>
      <c r="G11" s="45" t="str">
        <f t="shared" si="3"/>
        <v/>
      </c>
      <c r="H11" s="23"/>
      <c r="I11" s="45" t="str">
        <f t="shared" si="4"/>
        <v/>
      </c>
      <c r="J11" s="25"/>
      <c r="K11" s="45" t="str">
        <f t="shared" si="5"/>
        <v/>
      </c>
      <c r="L11" s="29" t="str">
        <f t="shared" si="6"/>
        <v/>
      </c>
      <c r="M11" s="29">
        <f t="shared" si="7"/>
        <v>0</v>
      </c>
      <c r="N11" s="29">
        <f t="shared" si="8"/>
        <v>0</v>
      </c>
      <c r="O11" s="22" t="str">
        <f t="shared" si="9"/>
        <v/>
      </c>
      <c r="P11" s="23"/>
      <c r="Q11" s="45" t="str">
        <f t="shared" si="10"/>
        <v/>
      </c>
      <c r="R11" s="25"/>
      <c r="S11" s="45" t="str">
        <f t="shared" si="11"/>
        <v/>
      </c>
      <c r="T11" s="47"/>
      <c r="U11" s="22" t="str">
        <f t="shared" si="12"/>
        <v/>
      </c>
      <c r="V11" s="23"/>
      <c r="W11" s="45" t="str">
        <f t="shared" si="13"/>
        <v/>
      </c>
      <c r="X11" s="25"/>
      <c r="Y11" s="45" t="str">
        <f t="shared" si="14"/>
        <v/>
      </c>
      <c r="Z11" s="47"/>
      <c r="AA11" s="22" t="str">
        <f t="shared" si="15"/>
        <v/>
      </c>
      <c r="AB11" s="23"/>
      <c r="AC11" s="45" t="str">
        <f t="shared" si="16"/>
        <v/>
      </c>
      <c r="AD11" s="25"/>
      <c r="AE11" s="45" t="str">
        <f t="shared" si="17"/>
        <v/>
      </c>
      <c r="AF11" s="20">
        <v>0.0</v>
      </c>
      <c r="AG11" s="5"/>
    </row>
    <row r="12">
      <c r="A12" s="22" t="str">
        <f t="shared" si="1"/>
        <v/>
      </c>
      <c r="B12" s="20" t="str">
        <f t="shared" si="2"/>
        <v/>
      </c>
      <c r="C12" s="20"/>
      <c r="D12" s="20"/>
      <c r="E12" s="23"/>
      <c r="F12" s="5"/>
      <c r="G12" s="45" t="str">
        <f t="shared" si="3"/>
        <v/>
      </c>
      <c r="H12" s="23"/>
      <c r="I12" s="45" t="str">
        <f t="shared" si="4"/>
        <v/>
      </c>
      <c r="J12" s="25"/>
      <c r="K12" s="45" t="str">
        <f t="shared" si="5"/>
        <v/>
      </c>
      <c r="L12" s="29" t="str">
        <f t="shared" si="6"/>
        <v/>
      </c>
      <c r="M12" s="29">
        <f t="shared" si="7"/>
        <v>0</v>
      </c>
      <c r="N12" s="29">
        <f t="shared" si="8"/>
        <v>0</v>
      </c>
      <c r="O12" s="22" t="str">
        <f t="shared" si="9"/>
        <v/>
      </c>
      <c r="P12" s="23"/>
      <c r="Q12" s="45" t="str">
        <f t="shared" si="10"/>
        <v/>
      </c>
      <c r="R12" s="25"/>
      <c r="S12" s="45" t="str">
        <f t="shared" si="11"/>
        <v/>
      </c>
      <c r="T12" s="47"/>
      <c r="U12" s="22" t="str">
        <f t="shared" si="12"/>
        <v/>
      </c>
      <c r="V12" s="23"/>
      <c r="W12" s="45" t="str">
        <f t="shared" si="13"/>
        <v/>
      </c>
      <c r="X12" s="25"/>
      <c r="Y12" s="45" t="str">
        <f t="shared" si="14"/>
        <v/>
      </c>
      <c r="Z12" s="47"/>
      <c r="AA12" s="22" t="str">
        <f t="shared" si="15"/>
        <v/>
      </c>
      <c r="AB12" s="23"/>
      <c r="AC12" s="45" t="str">
        <f t="shared" si="16"/>
        <v/>
      </c>
      <c r="AD12" s="25"/>
      <c r="AE12" s="45" t="str">
        <f t="shared" si="17"/>
        <v/>
      </c>
      <c r="AF12" s="20">
        <v>0.0</v>
      </c>
      <c r="AG12" s="5"/>
    </row>
    <row r="13">
      <c r="A13" s="22" t="str">
        <f t="shared" si="1"/>
        <v/>
      </c>
      <c r="B13" s="20" t="str">
        <f t="shared" si="2"/>
        <v/>
      </c>
      <c r="C13" s="20"/>
      <c r="D13" s="20"/>
      <c r="E13" s="23"/>
      <c r="F13" s="5"/>
      <c r="G13" s="45" t="str">
        <f t="shared" si="3"/>
        <v/>
      </c>
      <c r="H13" s="23"/>
      <c r="I13" s="45" t="str">
        <f t="shared" si="4"/>
        <v/>
      </c>
      <c r="J13" s="25"/>
      <c r="K13" s="45" t="str">
        <f t="shared" si="5"/>
        <v/>
      </c>
      <c r="L13" s="29" t="str">
        <f t="shared" si="6"/>
        <v/>
      </c>
      <c r="M13" s="29">
        <f t="shared" si="7"/>
        <v>0</v>
      </c>
      <c r="N13" s="29">
        <f t="shared" si="8"/>
        <v>0</v>
      </c>
      <c r="O13" s="22" t="str">
        <f t="shared" si="9"/>
        <v/>
      </c>
      <c r="P13" s="23"/>
      <c r="Q13" s="45" t="str">
        <f t="shared" si="10"/>
        <v/>
      </c>
      <c r="R13" s="25"/>
      <c r="S13" s="45" t="str">
        <f t="shared" si="11"/>
        <v/>
      </c>
      <c r="T13" s="47"/>
      <c r="U13" s="22" t="str">
        <f t="shared" si="12"/>
        <v/>
      </c>
      <c r="V13" s="23"/>
      <c r="W13" s="45" t="str">
        <f t="shared" si="13"/>
        <v/>
      </c>
      <c r="X13" s="25"/>
      <c r="Y13" s="45" t="str">
        <f t="shared" si="14"/>
        <v/>
      </c>
      <c r="Z13" s="47"/>
      <c r="AA13" s="22" t="str">
        <f t="shared" si="15"/>
        <v/>
      </c>
      <c r="AB13" s="23"/>
      <c r="AC13" s="45" t="str">
        <f t="shared" si="16"/>
        <v/>
      </c>
      <c r="AD13" s="25"/>
      <c r="AE13" s="45" t="str">
        <f t="shared" si="17"/>
        <v/>
      </c>
      <c r="AF13" s="20">
        <v>0.0</v>
      </c>
      <c r="AG13" s="5"/>
    </row>
    <row r="14">
      <c r="A14" s="22" t="str">
        <f t="shared" si="1"/>
        <v/>
      </c>
      <c r="B14" s="20" t="str">
        <f t="shared" si="2"/>
        <v/>
      </c>
      <c r="C14" s="20"/>
      <c r="D14" s="20"/>
      <c r="E14" s="23"/>
      <c r="F14" s="5"/>
      <c r="G14" s="45" t="str">
        <f t="shared" si="3"/>
        <v/>
      </c>
      <c r="H14" s="23"/>
      <c r="I14" s="45" t="str">
        <f t="shared" si="4"/>
        <v/>
      </c>
      <c r="J14" s="25"/>
      <c r="K14" s="45" t="str">
        <f t="shared" si="5"/>
        <v/>
      </c>
      <c r="L14" s="29" t="str">
        <f t="shared" si="6"/>
        <v/>
      </c>
      <c r="M14" s="29">
        <f t="shared" si="7"/>
        <v>0</v>
      </c>
      <c r="N14" s="29">
        <f t="shared" si="8"/>
        <v>0</v>
      </c>
      <c r="O14" s="22" t="str">
        <f t="shared" si="9"/>
        <v/>
      </c>
      <c r="P14" s="23"/>
      <c r="Q14" s="45" t="str">
        <f t="shared" si="10"/>
        <v/>
      </c>
      <c r="R14" s="25"/>
      <c r="S14" s="45" t="str">
        <f t="shared" si="11"/>
        <v/>
      </c>
      <c r="T14" s="47"/>
      <c r="U14" s="22" t="str">
        <f t="shared" si="12"/>
        <v/>
      </c>
      <c r="V14" s="23"/>
      <c r="W14" s="45" t="str">
        <f t="shared" si="13"/>
        <v/>
      </c>
      <c r="X14" s="25"/>
      <c r="Y14" s="45" t="str">
        <f t="shared" si="14"/>
        <v/>
      </c>
      <c r="Z14" s="47"/>
      <c r="AA14" s="22" t="str">
        <f t="shared" si="15"/>
        <v/>
      </c>
      <c r="AB14" s="23"/>
      <c r="AC14" s="45" t="str">
        <f t="shared" si="16"/>
        <v/>
      </c>
      <c r="AD14" s="25"/>
      <c r="AE14" s="45" t="str">
        <f t="shared" si="17"/>
        <v/>
      </c>
      <c r="AF14" s="20">
        <v>0.0</v>
      </c>
      <c r="AG14" s="5"/>
    </row>
    <row r="15">
      <c r="A15" s="22" t="str">
        <f t="shared" si="1"/>
        <v/>
      </c>
      <c r="B15" s="20" t="str">
        <f t="shared" si="2"/>
        <v/>
      </c>
      <c r="C15" s="20"/>
      <c r="D15" s="20"/>
      <c r="E15" s="23"/>
      <c r="F15" s="5"/>
      <c r="G15" s="45" t="str">
        <f t="shared" si="3"/>
        <v/>
      </c>
      <c r="H15" s="23"/>
      <c r="I15" s="45" t="str">
        <f t="shared" si="4"/>
        <v/>
      </c>
      <c r="J15" s="25"/>
      <c r="K15" s="45" t="str">
        <f t="shared" si="5"/>
        <v/>
      </c>
      <c r="L15" s="29" t="str">
        <f t="shared" si="6"/>
        <v/>
      </c>
      <c r="M15" s="29">
        <f t="shared" si="7"/>
        <v>0</v>
      </c>
      <c r="N15" s="29">
        <f t="shared" si="8"/>
        <v>0</v>
      </c>
      <c r="O15" s="22" t="str">
        <f t="shared" si="9"/>
        <v/>
      </c>
      <c r="P15" s="23"/>
      <c r="Q15" s="45" t="str">
        <f t="shared" si="10"/>
        <v/>
      </c>
      <c r="R15" s="25"/>
      <c r="S15" s="45" t="str">
        <f t="shared" si="11"/>
        <v/>
      </c>
      <c r="T15" s="47"/>
      <c r="U15" s="22" t="str">
        <f t="shared" si="12"/>
        <v/>
      </c>
      <c r="V15" s="23"/>
      <c r="W15" s="45" t="str">
        <f t="shared" si="13"/>
        <v/>
      </c>
      <c r="X15" s="25"/>
      <c r="Y15" s="45" t="str">
        <f t="shared" si="14"/>
        <v/>
      </c>
      <c r="Z15" s="47"/>
      <c r="AA15" s="22" t="str">
        <f t="shared" si="15"/>
        <v/>
      </c>
      <c r="AB15" s="23"/>
      <c r="AC15" s="45" t="str">
        <f t="shared" si="16"/>
        <v/>
      </c>
      <c r="AD15" s="25"/>
      <c r="AE15" s="45" t="str">
        <f t="shared" si="17"/>
        <v/>
      </c>
      <c r="AF15" s="20">
        <v>0.0</v>
      </c>
      <c r="AG15" s="5"/>
    </row>
    <row r="16">
      <c r="A16" s="22" t="str">
        <f t="shared" si="1"/>
        <v/>
      </c>
      <c r="B16" s="20" t="str">
        <f t="shared" si="2"/>
        <v/>
      </c>
      <c r="C16" s="20"/>
      <c r="D16" s="20"/>
      <c r="E16" s="55"/>
      <c r="F16" s="5"/>
      <c r="G16" s="45" t="str">
        <f t="shared" si="3"/>
        <v/>
      </c>
      <c r="H16" s="23"/>
      <c r="I16" s="45" t="str">
        <f t="shared" si="4"/>
        <v/>
      </c>
      <c r="J16" s="25"/>
      <c r="K16" s="45" t="str">
        <f t="shared" si="5"/>
        <v/>
      </c>
      <c r="L16" s="29" t="str">
        <f t="shared" si="6"/>
        <v/>
      </c>
      <c r="M16" s="29">
        <f t="shared" si="7"/>
        <v>0</v>
      </c>
      <c r="N16" s="29">
        <f t="shared" si="8"/>
        <v>0</v>
      </c>
      <c r="O16" s="22" t="str">
        <f t="shared" si="9"/>
        <v/>
      </c>
      <c r="P16" s="23"/>
      <c r="Q16" s="45" t="str">
        <f t="shared" si="10"/>
        <v/>
      </c>
      <c r="R16" s="25"/>
      <c r="S16" s="45" t="str">
        <f t="shared" si="11"/>
        <v/>
      </c>
      <c r="T16" s="47"/>
      <c r="U16" s="22" t="str">
        <f t="shared" si="12"/>
        <v/>
      </c>
      <c r="V16" s="23"/>
      <c r="W16" s="45" t="str">
        <f t="shared" si="13"/>
        <v/>
      </c>
      <c r="X16" s="25"/>
      <c r="Y16" s="45" t="str">
        <f t="shared" si="14"/>
        <v/>
      </c>
      <c r="Z16" s="47"/>
      <c r="AA16" s="22" t="str">
        <f t="shared" si="15"/>
        <v/>
      </c>
      <c r="AB16" s="23"/>
      <c r="AC16" s="45" t="str">
        <f t="shared" si="16"/>
        <v/>
      </c>
      <c r="AD16" s="25"/>
      <c r="AE16" s="45" t="str">
        <f t="shared" si="17"/>
        <v/>
      </c>
      <c r="AF16" s="20">
        <v>0.0</v>
      </c>
      <c r="AG16" s="5"/>
    </row>
    <row r="17">
      <c r="A17" s="22" t="str">
        <f t="shared" si="1"/>
        <v/>
      </c>
      <c r="B17" s="20" t="str">
        <f t="shared" si="2"/>
        <v/>
      </c>
      <c r="C17" s="20"/>
      <c r="D17" s="20"/>
      <c r="E17" s="55"/>
      <c r="F17" s="5"/>
      <c r="G17" s="45" t="str">
        <f t="shared" si="3"/>
        <v/>
      </c>
      <c r="H17" s="23"/>
      <c r="I17" s="45" t="str">
        <f t="shared" si="4"/>
        <v/>
      </c>
      <c r="J17" s="25"/>
      <c r="K17" s="45" t="str">
        <f t="shared" si="5"/>
        <v/>
      </c>
      <c r="L17" s="29" t="str">
        <f t="shared" si="6"/>
        <v/>
      </c>
      <c r="M17" s="29">
        <f t="shared" si="7"/>
        <v>0</v>
      </c>
      <c r="N17" s="29">
        <f t="shared" si="8"/>
        <v>0</v>
      </c>
      <c r="O17" s="22" t="str">
        <f t="shared" si="9"/>
        <v/>
      </c>
      <c r="P17" s="23"/>
      <c r="Q17" s="45" t="str">
        <f t="shared" si="10"/>
        <v/>
      </c>
      <c r="R17" s="25"/>
      <c r="S17" s="45" t="str">
        <f t="shared" si="11"/>
        <v/>
      </c>
      <c r="T17" s="47"/>
      <c r="U17" s="22" t="str">
        <f t="shared" si="12"/>
        <v/>
      </c>
      <c r="V17" s="23"/>
      <c r="W17" s="45" t="str">
        <f t="shared" si="13"/>
        <v/>
      </c>
      <c r="X17" s="25"/>
      <c r="Y17" s="45" t="str">
        <f t="shared" si="14"/>
        <v/>
      </c>
      <c r="Z17" s="47"/>
      <c r="AA17" s="22" t="str">
        <f t="shared" si="15"/>
        <v/>
      </c>
      <c r="AB17" s="23"/>
      <c r="AC17" s="45" t="str">
        <f t="shared" si="16"/>
        <v/>
      </c>
      <c r="AD17" s="25"/>
      <c r="AE17" s="45" t="str">
        <f t="shared" si="17"/>
        <v/>
      </c>
      <c r="AF17" s="20">
        <v>0.0</v>
      </c>
      <c r="AG17" s="5"/>
    </row>
    <row r="18">
      <c r="A18" s="22" t="str">
        <f t="shared" si="1"/>
        <v/>
      </c>
      <c r="B18" s="20" t="str">
        <f t="shared" si="2"/>
        <v/>
      </c>
      <c r="C18" s="20"/>
      <c r="D18" s="20"/>
      <c r="E18" s="55"/>
      <c r="F18" s="5"/>
      <c r="G18" s="45" t="str">
        <f t="shared" si="3"/>
        <v/>
      </c>
      <c r="H18" s="23"/>
      <c r="I18" s="45" t="str">
        <f t="shared" si="4"/>
        <v/>
      </c>
      <c r="J18" s="25"/>
      <c r="K18" s="45" t="str">
        <f t="shared" si="5"/>
        <v/>
      </c>
      <c r="L18" s="29" t="str">
        <f t="shared" si="6"/>
        <v/>
      </c>
      <c r="M18" s="29">
        <f t="shared" si="7"/>
        <v>0</v>
      </c>
      <c r="N18" s="29">
        <f t="shared" si="8"/>
        <v>0</v>
      </c>
      <c r="O18" s="22" t="str">
        <f t="shared" si="9"/>
        <v/>
      </c>
      <c r="P18" s="23"/>
      <c r="Q18" s="45" t="str">
        <f t="shared" si="10"/>
        <v/>
      </c>
      <c r="R18" s="25"/>
      <c r="S18" s="45" t="str">
        <f t="shared" si="11"/>
        <v/>
      </c>
      <c r="T18" s="47"/>
      <c r="U18" s="22" t="str">
        <f t="shared" si="12"/>
        <v/>
      </c>
      <c r="V18" s="23"/>
      <c r="W18" s="45" t="str">
        <f t="shared" si="13"/>
        <v/>
      </c>
      <c r="X18" s="25"/>
      <c r="Y18" s="45" t="str">
        <f t="shared" si="14"/>
        <v/>
      </c>
      <c r="Z18" s="47"/>
      <c r="AA18" s="22" t="str">
        <f t="shared" si="15"/>
        <v/>
      </c>
      <c r="AB18" s="23"/>
      <c r="AC18" s="45" t="str">
        <f t="shared" si="16"/>
        <v/>
      </c>
      <c r="AD18" s="25"/>
      <c r="AE18" s="45" t="str">
        <f t="shared" si="17"/>
        <v/>
      </c>
      <c r="AF18" s="20">
        <v>0.0</v>
      </c>
      <c r="AG18" s="5"/>
    </row>
    <row r="19">
      <c r="A19" s="22" t="str">
        <f t="shared" si="1"/>
        <v/>
      </c>
      <c r="B19" s="20" t="str">
        <f t="shared" si="2"/>
        <v/>
      </c>
      <c r="C19" s="20"/>
      <c r="D19" s="20"/>
      <c r="E19" s="55"/>
      <c r="F19" s="5"/>
      <c r="G19" s="45" t="str">
        <f t="shared" si="3"/>
        <v/>
      </c>
      <c r="H19" s="23"/>
      <c r="I19" s="45" t="str">
        <f t="shared" si="4"/>
        <v/>
      </c>
      <c r="J19" s="25"/>
      <c r="K19" s="45" t="str">
        <f t="shared" si="5"/>
        <v/>
      </c>
      <c r="L19" s="29" t="str">
        <f t="shared" si="6"/>
        <v/>
      </c>
      <c r="M19" s="29">
        <f t="shared" si="7"/>
        <v>0</v>
      </c>
      <c r="N19" s="29">
        <f t="shared" si="8"/>
        <v>0</v>
      </c>
      <c r="O19" s="22" t="str">
        <f t="shared" si="9"/>
        <v/>
      </c>
      <c r="P19" s="23"/>
      <c r="Q19" s="45" t="str">
        <f t="shared" si="10"/>
        <v/>
      </c>
      <c r="R19" s="25"/>
      <c r="S19" s="45" t="str">
        <f t="shared" si="11"/>
        <v/>
      </c>
      <c r="T19" s="47"/>
      <c r="U19" s="22" t="str">
        <f t="shared" si="12"/>
        <v/>
      </c>
      <c r="V19" s="23"/>
      <c r="W19" s="45" t="str">
        <f t="shared" si="13"/>
        <v/>
      </c>
      <c r="X19" s="25"/>
      <c r="Y19" s="45" t="str">
        <f t="shared" si="14"/>
        <v/>
      </c>
      <c r="Z19" s="47"/>
      <c r="AA19" s="22" t="str">
        <f t="shared" si="15"/>
        <v/>
      </c>
      <c r="AB19" s="23"/>
      <c r="AC19" s="45" t="str">
        <f t="shared" si="16"/>
        <v/>
      </c>
      <c r="AD19" s="25"/>
      <c r="AE19" s="45" t="str">
        <f t="shared" si="17"/>
        <v/>
      </c>
      <c r="AF19" s="20">
        <v>0.0</v>
      </c>
      <c r="AG19" s="5"/>
    </row>
    <row r="20">
      <c r="A20" s="22" t="str">
        <f t="shared" si="1"/>
        <v/>
      </c>
      <c r="B20" s="20" t="str">
        <f t="shared" si="2"/>
        <v/>
      </c>
      <c r="C20" s="20"/>
      <c r="D20" s="20"/>
      <c r="E20" s="55"/>
      <c r="F20" s="5"/>
      <c r="G20" s="45" t="str">
        <f t="shared" si="3"/>
        <v/>
      </c>
      <c r="H20" s="23"/>
      <c r="I20" s="45" t="str">
        <f t="shared" si="4"/>
        <v/>
      </c>
      <c r="J20" s="25"/>
      <c r="K20" s="45" t="str">
        <f t="shared" si="5"/>
        <v/>
      </c>
      <c r="L20" s="29" t="str">
        <f t="shared" si="6"/>
        <v/>
      </c>
      <c r="M20" s="29">
        <f t="shared" si="7"/>
        <v>0</v>
      </c>
      <c r="N20" s="29">
        <f t="shared" si="8"/>
        <v>0</v>
      </c>
      <c r="O20" s="22" t="str">
        <f t="shared" si="9"/>
        <v/>
      </c>
      <c r="P20" s="23"/>
      <c r="Q20" s="45" t="str">
        <f t="shared" si="10"/>
        <v/>
      </c>
      <c r="R20" s="25"/>
      <c r="S20" s="45" t="str">
        <f t="shared" si="11"/>
        <v/>
      </c>
      <c r="T20" s="47"/>
      <c r="U20" s="22" t="str">
        <f t="shared" si="12"/>
        <v/>
      </c>
      <c r="V20" s="23"/>
      <c r="W20" s="45" t="str">
        <f t="shared" si="13"/>
        <v/>
      </c>
      <c r="X20" s="25"/>
      <c r="Y20" s="45" t="str">
        <f t="shared" si="14"/>
        <v/>
      </c>
      <c r="Z20" s="47"/>
      <c r="AA20" s="22" t="str">
        <f t="shared" si="15"/>
        <v/>
      </c>
      <c r="AB20" s="23"/>
      <c r="AC20" s="45" t="str">
        <f t="shared" si="16"/>
        <v/>
      </c>
      <c r="AD20" s="25"/>
      <c r="AE20" s="45" t="str">
        <f t="shared" si="17"/>
        <v/>
      </c>
      <c r="AF20" s="20">
        <v>0.0</v>
      </c>
      <c r="AG20" s="5"/>
    </row>
    <row r="21">
      <c r="A21" s="22" t="str">
        <f t="shared" si="1"/>
        <v/>
      </c>
      <c r="B21" s="20" t="str">
        <f t="shared" si="2"/>
        <v/>
      </c>
      <c r="C21" s="20"/>
      <c r="D21" s="20"/>
      <c r="E21" s="55"/>
      <c r="F21" s="5"/>
      <c r="G21" s="45" t="str">
        <f t="shared" si="3"/>
        <v/>
      </c>
      <c r="H21" s="23"/>
      <c r="I21" s="45" t="str">
        <f t="shared" si="4"/>
        <v/>
      </c>
      <c r="J21" s="25"/>
      <c r="K21" s="45" t="str">
        <f t="shared" si="5"/>
        <v/>
      </c>
      <c r="L21" s="29" t="str">
        <f t="shared" si="6"/>
        <v/>
      </c>
      <c r="M21" s="29">
        <f t="shared" si="7"/>
        <v>0</v>
      </c>
      <c r="N21" s="29">
        <f t="shared" si="8"/>
        <v>0</v>
      </c>
      <c r="O21" s="22" t="str">
        <f t="shared" si="9"/>
        <v/>
      </c>
      <c r="P21" s="23"/>
      <c r="Q21" s="45" t="str">
        <f t="shared" si="10"/>
        <v/>
      </c>
      <c r="R21" s="25"/>
      <c r="S21" s="45" t="str">
        <f t="shared" si="11"/>
        <v/>
      </c>
      <c r="T21" s="47"/>
      <c r="U21" s="22" t="str">
        <f t="shared" si="12"/>
        <v/>
      </c>
      <c r="V21" s="23"/>
      <c r="W21" s="45" t="str">
        <f t="shared" si="13"/>
        <v/>
      </c>
      <c r="X21" s="25"/>
      <c r="Y21" s="45" t="str">
        <f t="shared" si="14"/>
        <v/>
      </c>
      <c r="Z21" s="47"/>
      <c r="AA21" s="22" t="str">
        <f t="shared" si="15"/>
        <v/>
      </c>
      <c r="AB21" s="23"/>
      <c r="AC21" s="45" t="str">
        <f t="shared" si="16"/>
        <v/>
      </c>
      <c r="AD21" s="25"/>
      <c r="AE21" s="45" t="str">
        <f t="shared" si="17"/>
        <v/>
      </c>
      <c r="AF21" s="20">
        <v>0.0</v>
      </c>
      <c r="AG21" s="5"/>
    </row>
    <row r="22">
      <c r="A22" s="22" t="str">
        <f t="shared" si="1"/>
        <v/>
      </c>
      <c r="B22" s="20" t="str">
        <f t="shared" si="2"/>
        <v/>
      </c>
      <c r="C22" s="20"/>
      <c r="D22" s="20"/>
      <c r="E22" s="55"/>
      <c r="F22" s="5"/>
      <c r="G22" s="45" t="str">
        <f t="shared" si="3"/>
        <v/>
      </c>
      <c r="H22" s="23"/>
      <c r="I22" s="45" t="str">
        <f t="shared" si="4"/>
        <v/>
      </c>
      <c r="J22" s="25"/>
      <c r="K22" s="45" t="str">
        <f t="shared" si="5"/>
        <v/>
      </c>
      <c r="L22" s="29" t="str">
        <f t="shared" si="6"/>
        <v/>
      </c>
      <c r="M22" s="29">
        <f t="shared" si="7"/>
        <v>0</v>
      </c>
      <c r="N22" s="29">
        <f t="shared" si="8"/>
        <v>0</v>
      </c>
      <c r="O22" s="22" t="str">
        <f t="shared" si="9"/>
        <v/>
      </c>
      <c r="P22" s="23"/>
      <c r="Q22" s="45" t="str">
        <f t="shared" si="10"/>
        <v/>
      </c>
      <c r="R22" s="25"/>
      <c r="S22" s="45" t="str">
        <f t="shared" si="11"/>
        <v/>
      </c>
      <c r="T22" s="47"/>
      <c r="U22" s="22" t="str">
        <f t="shared" si="12"/>
        <v/>
      </c>
      <c r="V22" s="23"/>
      <c r="W22" s="45" t="str">
        <f t="shared" si="13"/>
        <v/>
      </c>
      <c r="X22" s="25"/>
      <c r="Y22" s="45" t="str">
        <f t="shared" si="14"/>
        <v/>
      </c>
      <c r="Z22" s="47"/>
      <c r="AA22" s="22" t="str">
        <f t="shared" si="15"/>
        <v/>
      </c>
      <c r="AB22" s="23"/>
      <c r="AC22" s="45" t="str">
        <f t="shared" si="16"/>
        <v/>
      </c>
      <c r="AD22" s="25"/>
      <c r="AE22" s="45" t="str">
        <f t="shared" si="17"/>
        <v/>
      </c>
      <c r="AF22" s="20">
        <v>0.0</v>
      </c>
      <c r="AG22" s="5"/>
    </row>
    <row r="23">
      <c r="A23" s="22" t="str">
        <f t="shared" si="1"/>
        <v/>
      </c>
      <c r="B23" s="20" t="str">
        <f t="shared" si="2"/>
        <v/>
      </c>
      <c r="C23" s="20"/>
      <c r="D23" s="20"/>
      <c r="E23" s="55"/>
      <c r="F23" s="5"/>
      <c r="G23" s="45" t="str">
        <f t="shared" si="3"/>
        <v/>
      </c>
      <c r="H23" s="23"/>
      <c r="I23" s="45" t="str">
        <f t="shared" si="4"/>
        <v/>
      </c>
      <c r="J23" s="25"/>
      <c r="K23" s="45" t="str">
        <f t="shared" si="5"/>
        <v/>
      </c>
      <c r="L23" s="29" t="str">
        <f t="shared" si="6"/>
        <v/>
      </c>
      <c r="M23" s="29">
        <f t="shared" si="7"/>
        <v>0</v>
      </c>
      <c r="N23" s="29">
        <f t="shared" si="8"/>
        <v>0</v>
      </c>
      <c r="O23" s="22" t="str">
        <f t="shared" si="9"/>
        <v/>
      </c>
      <c r="P23" s="23"/>
      <c r="Q23" s="45" t="str">
        <f t="shared" si="10"/>
        <v/>
      </c>
      <c r="R23" s="25"/>
      <c r="S23" s="45" t="str">
        <f t="shared" si="11"/>
        <v/>
      </c>
      <c r="T23" s="47"/>
      <c r="U23" s="22" t="str">
        <f t="shared" si="12"/>
        <v/>
      </c>
      <c r="V23" s="23"/>
      <c r="W23" s="45" t="str">
        <f t="shared" si="13"/>
        <v/>
      </c>
      <c r="X23" s="25"/>
      <c r="Y23" s="45" t="str">
        <f t="shared" si="14"/>
        <v/>
      </c>
      <c r="Z23" s="47"/>
      <c r="AA23" s="22" t="str">
        <f t="shared" si="15"/>
        <v/>
      </c>
      <c r="AB23" s="23"/>
      <c r="AC23" s="45" t="str">
        <f t="shared" si="16"/>
        <v/>
      </c>
      <c r="AD23" s="25"/>
      <c r="AE23" s="45" t="str">
        <f t="shared" si="17"/>
        <v/>
      </c>
      <c r="AF23" s="20">
        <v>0.0</v>
      </c>
      <c r="AG23" s="5"/>
    </row>
    <row r="24">
      <c r="A24" s="22" t="str">
        <f t="shared" si="1"/>
        <v/>
      </c>
      <c r="B24" s="20" t="str">
        <f t="shared" si="2"/>
        <v/>
      </c>
      <c r="C24" s="20"/>
      <c r="D24" s="20"/>
      <c r="E24" s="55"/>
      <c r="F24" s="5"/>
      <c r="G24" s="45" t="str">
        <f t="shared" si="3"/>
        <v/>
      </c>
      <c r="H24" s="23"/>
      <c r="I24" s="45" t="str">
        <f t="shared" si="4"/>
        <v/>
      </c>
      <c r="J24" s="25"/>
      <c r="K24" s="45" t="str">
        <f t="shared" si="5"/>
        <v/>
      </c>
      <c r="L24" s="29" t="str">
        <f t="shared" si="6"/>
        <v/>
      </c>
      <c r="M24" s="29">
        <f t="shared" si="7"/>
        <v>0</v>
      </c>
      <c r="N24" s="29">
        <f t="shared" si="8"/>
        <v>0</v>
      </c>
      <c r="O24" s="22" t="str">
        <f t="shared" si="9"/>
        <v/>
      </c>
      <c r="P24" s="23"/>
      <c r="Q24" s="45" t="str">
        <f t="shared" si="10"/>
        <v/>
      </c>
      <c r="R24" s="25"/>
      <c r="S24" s="45" t="str">
        <f t="shared" si="11"/>
        <v/>
      </c>
      <c r="T24" s="47"/>
      <c r="U24" s="22" t="str">
        <f t="shared" si="12"/>
        <v/>
      </c>
      <c r="V24" s="23"/>
      <c r="W24" s="45" t="str">
        <f t="shared" si="13"/>
        <v/>
      </c>
      <c r="X24" s="25"/>
      <c r="Y24" s="45" t="str">
        <f t="shared" si="14"/>
        <v/>
      </c>
      <c r="Z24" s="47"/>
      <c r="AA24" s="22" t="str">
        <f t="shared" si="15"/>
        <v/>
      </c>
      <c r="AB24" s="23"/>
      <c r="AC24" s="45" t="str">
        <f t="shared" si="16"/>
        <v/>
      </c>
      <c r="AD24" s="25"/>
      <c r="AE24" s="45" t="str">
        <f t="shared" si="17"/>
        <v/>
      </c>
      <c r="AF24" s="20">
        <v>0.0</v>
      </c>
      <c r="AG24" s="5"/>
    </row>
    <row r="25">
      <c r="A25" s="22" t="str">
        <f t="shared" si="1"/>
        <v/>
      </c>
      <c r="B25" s="20" t="str">
        <f t="shared" si="2"/>
        <v/>
      </c>
      <c r="C25" s="20"/>
      <c r="D25" s="20"/>
      <c r="E25" s="55"/>
      <c r="F25" s="5"/>
      <c r="G25" s="45" t="str">
        <f t="shared" si="3"/>
        <v/>
      </c>
      <c r="H25" s="23"/>
      <c r="I25" s="45" t="str">
        <f t="shared" si="4"/>
        <v/>
      </c>
      <c r="J25" s="25"/>
      <c r="K25" s="45" t="str">
        <f t="shared" si="5"/>
        <v/>
      </c>
      <c r="L25" s="29" t="str">
        <f t="shared" si="6"/>
        <v/>
      </c>
      <c r="M25" s="29">
        <f t="shared" si="7"/>
        <v>0</v>
      </c>
      <c r="N25" s="29">
        <f t="shared" si="8"/>
        <v>0</v>
      </c>
      <c r="O25" s="22" t="str">
        <f t="shared" si="9"/>
        <v/>
      </c>
      <c r="P25" s="23"/>
      <c r="Q25" s="45" t="str">
        <f t="shared" si="10"/>
        <v/>
      </c>
      <c r="R25" s="25"/>
      <c r="S25" s="45" t="str">
        <f t="shared" si="11"/>
        <v/>
      </c>
      <c r="T25" s="47"/>
      <c r="U25" s="22" t="str">
        <f t="shared" si="12"/>
        <v/>
      </c>
      <c r="V25" s="23"/>
      <c r="W25" s="45" t="str">
        <f t="shared" si="13"/>
        <v/>
      </c>
      <c r="X25" s="25"/>
      <c r="Y25" s="45" t="str">
        <f t="shared" si="14"/>
        <v/>
      </c>
      <c r="Z25" s="47"/>
      <c r="AA25" s="22" t="str">
        <f t="shared" si="15"/>
        <v/>
      </c>
      <c r="AB25" s="23"/>
      <c r="AC25" s="45" t="str">
        <f t="shared" si="16"/>
        <v/>
      </c>
      <c r="AD25" s="25"/>
      <c r="AE25" s="45" t="str">
        <f t="shared" si="17"/>
        <v/>
      </c>
      <c r="AF25" s="20">
        <v>0.0</v>
      </c>
      <c r="AG25" s="5"/>
    </row>
    <row r="26">
      <c r="A26" s="22" t="str">
        <f t="shared" si="1"/>
        <v/>
      </c>
      <c r="B26" s="20" t="str">
        <f t="shared" si="2"/>
        <v/>
      </c>
      <c r="C26" s="20"/>
      <c r="D26" s="20"/>
      <c r="E26" s="55"/>
      <c r="F26" s="5"/>
      <c r="G26" s="45" t="str">
        <f t="shared" si="3"/>
        <v/>
      </c>
      <c r="H26" s="23"/>
      <c r="I26" s="45" t="str">
        <f t="shared" si="4"/>
        <v/>
      </c>
      <c r="J26" s="25"/>
      <c r="K26" s="45" t="str">
        <f t="shared" si="5"/>
        <v/>
      </c>
      <c r="L26" s="29" t="str">
        <f t="shared" si="6"/>
        <v/>
      </c>
      <c r="M26" s="29">
        <f t="shared" si="7"/>
        <v>0</v>
      </c>
      <c r="N26" s="29">
        <f t="shared" si="8"/>
        <v>0</v>
      </c>
      <c r="O26" s="22" t="str">
        <f t="shared" si="9"/>
        <v/>
      </c>
      <c r="P26" s="23"/>
      <c r="Q26" s="45" t="str">
        <f t="shared" si="10"/>
        <v/>
      </c>
      <c r="R26" s="25"/>
      <c r="S26" s="45" t="str">
        <f t="shared" si="11"/>
        <v/>
      </c>
      <c r="T26" s="47"/>
      <c r="U26" s="22" t="str">
        <f t="shared" si="12"/>
        <v/>
      </c>
      <c r="V26" s="23"/>
      <c r="W26" s="45" t="str">
        <f t="shared" si="13"/>
        <v/>
      </c>
      <c r="X26" s="25"/>
      <c r="Y26" s="45" t="str">
        <f t="shared" si="14"/>
        <v/>
      </c>
      <c r="Z26" s="47"/>
      <c r="AA26" s="22" t="str">
        <f t="shared" si="15"/>
        <v/>
      </c>
      <c r="AB26" s="23"/>
      <c r="AC26" s="45" t="str">
        <f t="shared" si="16"/>
        <v/>
      </c>
      <c r="AD26" s="25"/>
      <c r="AE26" s="45" t="str">
        <f t="shared" si="17"/>
        <v/>
      </c>
      <c r="AF26" s="20">
        <v>0.0</v>
      </c>
      <c r="AG26" s="5"/>
    </row>
    <row r="27">
      <c r="A27" s="22" t="str">
        <f t="shared" si="1"/>
        <v/>
      </c>
      <c r="B27" s="20" t="str">
        <f t="shared" si="2"/>
        <v/>
      </c>
      <c r="C27" s="20"/>
      <c r="D27" s="20"/>
      <c r="E27" s="55"/>
      <c r="F27" s="5"/>
      <c r="G27" s="45" t="str">
        <f t="shared" si="3"/>
        <v/>
      </c>
      <c r="H27" s="23"/>
      <c r="I27" s="45" t="str">
        <f t="shared" si="4"/>
        <v/>
      </c>
      <c r="J27" s="25"/>
      <c r="K27" s="45" t="str">
        <f t="shared" si="5"/>
        <v/>
      </c>
      <c r="L27" s="29" t="str">
        <f t="shared" si="6"/>
        <v/>
      </c>
      <c r="M27" s="29">
        <f t="shared" si="7"/>
        <v>0</v>
      </c>
      <c r="N27" s="29">
        <f t="shared" si="8"/>
        <v>0</v>
      </c>
      <c r="O27" s="22" t="str">
        <f t="shared" si="9"/>
        <v/>
      </c>
      <c r="P27" s="23"/>
      <c r="Q27" s="45" t="str">
        <f t="shared" si="10"/>
        <v/>
      </c>
      <c r="R27" s="25"/>
      <c r="S27" s="45" t="str">
        <f t="shared" si="11"/>
        <v/>
      </c>
      <c r="T27" s="47"/>
      <c r="U27" s="22" t="str">
        <f t="shared" si="12"/>
        <v/>
      </c>
      <c r="V27" s="23"/>
      <c r="W27" s="45" t="str">
        <f t="shared" si="13"/>
        <v/>
      </c>
      <c r="X27" s="25"/>
      <c r="Y27" s="45" t="str">
        <f t="shared" si="14"/>
        <v/>
      </c>
      <c r="Z27" s="47"/>
      <c r="AA27" s="22" t="str">
        <f t="shared" si="15"/>
        <v/>
      </c>
      <c r="AB27" s="23"/>
      <c r="AC27" s="45" t="str">
        <f t="shared" si="16"/>
        <v/>
      </c>
      <c r="AD27" s="25"/>
      <c r="AE27" s="45" t="str">
        <f t="shared" si="17"/>
        <v/>
      </c>
      <c r="AF27" s="20">
        <v>0.0</v>
      </c>
      <c r="AG27" s="5"/>
    </row>
    <row r="28">
      <c r="A28" s="22" t="str">
        <f t="shared" si="1"/>
        <v/>
      </c>
      <c r="B28" s="20" t="str">
        <f t="shared" si="2"/>
        <v/>
      </c>
      <c r="C28" s="20"/>
      <c r="D28" s="20"/>
      <c r="E28" s="55"/>
      <c r="F28" s="5"/>
      <c r="G28" s="45" t="str">
        <f t="shared" si="3"/>
        <v/>
      </c>
      <c r="H28" s="23"/>
      <c r="I28" s="45" t="str">
        <f t="shared" si="4"/>
        <v/>
      </c>
      <c r="J28" s="25"/>
      <c r="K28" s="45" t="str">
        <f t="shared" si="5"/>
        <v/>
      </c>
      <c r="L28" s="29" t="str">
        <f t="shared" si="6"/>
        <v/>
      </c>
      <c r="M28" s="29">
        <f t="shared" si="7"/>
        <v>0</v>
      </c>
      <c r="N28" s="29">
        <f t="shared" si="8"/>
        <v>0</v>
      </c>
      <c r="O28" s="22" t="str">
        <f t="shared" si="9"/>
        <v/>
      </c>
      <c r="P28" s="23"/>
      <c r="Q28" s="45" t="str">
        <f t="shared" si="10"/>
        <v/>
      </c>
      <c r="R28" s="25"/>
      <c r="S28" s="45" t="str">
        <f t="shared" si="11"/>
        <v/>
      </c>
      <c r="T28" s="47"/>
      <c r="U28" s="22" t="str">
        <f t="shared" si="12"/>
        <v/>
      </c>
      <c r="V28" s="23"/>
      <c r="W28" s="45" t="str">
        <f t="shared" si="13"/>
        <v/>
      </c>
      <c r="X28" s="25"/>
      <c r="Y28" s="45" t="str">
        <f t="shared" si="14"/>
        <v/>
      </c>
      <c r="Z28" s="47"/>
      <c r="AA28" s="22" t="str">
        <f t="shared" si="15"/>
        <v/>
      </c>
      <c r="AB28" s="23"/>
      <c r="AC28" s="45" t="str">
        <f t="shared" si="16"/>
        <v/>
      </c>
      <c r="AD28" s="25"/>
      <c r="AE28" s="45" t="str">
        <f t="shared" si="17"/>
        <v/>
      </c>
      <c r="AF28" s="20">
        <v>0.0</v>
      </c>
      <c r="AG28" s="5"/>
    </row>
    <row r="29">
      <c r="A29" s="22" t="str">
        <f t="shared" si="1"/>
        <v/>
      </c>
      <c r="B29" s="20" t="str">
        <f t="shared" si="2"/>
        <v/>
      </c>
      <c r="C29" s="20"/>
      <c r="D29" s="20"/>
      <c r="E29" s="55"/>
      <c r="F29" s="5"/>
      <c r="G29" s="45" t="str">
        <f t="shared" si="3"/>
        <v/>
      </c>
      <c r="H29" s="23"/>
      <c r="I29" s="45" t="str">
        <f t="shared" si="4"/>
        <v/>
      </c>
      <c r="J29" s="25"/>
      <c r="K29" s="45" t="str">
        <f t="shared" si="5"/>
        <v/>
      </c>
      <c r="L29" s="29" t="str">
        <f t="shared" si="6"/>
        <v/>
      </c>
      <c r="M29" s="29">
        <f t="shared" si="7"/>
        <v>0</v>
      </c>
      <c r="N29" s="29">
        <f t="shared" si="8"/>
        <v>0</v>
      </c>
      <c r="O29" s="22" t="str">
        <f t="shared" si="9"/>
        <v/>
      </c>
      <c r="P29" s="23"/>
      <c r="Q29" s="45" t="str">
        <f t="shared" si="10"/>
        <v/>
      </c>
      <c r="R29" s="25"/>
      <c r="S29" s="45" t="str">
        <f t="shared" si="11"/>
        <v/>
      </c>
      <c r="T29" s="47"/>
      <c r="U29" s="22" t="str">
        <f t="shared" si="12"/>
        <v/>
      </c>
      <c r="V29" s="23"/>
      <c r="W29" s="45" t="str">
        <f t="shared" si="13"/>
        <v/>
      </c>
      <c r="X29" s="25"/>
      <c r="Y29" s="45" t="str">
        <f t="shared" si="14"/>
        <v/>
      </c>
      <c r="Z29" s="47"/>
      <c r="AA29" s="22" t="str">
        <f t="shared" si="15"/>
        <v/>
      </c>
      <c r="AB29" s="23"/>
      <c r="AC29" s="45" t="str">
        <f t="shared" si="16"/>
        <v/>
      </c>
      <c r="AD29" s="25"/>
      <c r="AE29" s="45" t="str">
        <f t="shared" si="17"/>
        <v/>
      </c>
      <c r="AF29" s="20">
        <v>0.0</v>
      </c>
      <c r="AG29" s="5"/>
    </row>
    <row r="30">
      <c r="A30" s="22" t="str">
        <f t="shared" si="1"/>
        <v/>
      </c>
      <c r="B30" s="20" t="str">
        <f t="shared" si="2"/>
        <v/>
      </c>
      <c r="C30" s="20"/>
      <c r="D30" s="20"/>
      <c r="E30" s="55"/>
      <c r="F30" s="5"/>
      <c r="G30" s="45" t="str">
        <f t="shared" si="3"/>
        <v/>
      </c>
      <c r="H30" s="23"/>
      <c r="I30" s="45" t="str">
        <f t="shared" si="4"/>
        <v/>
      </c>
      <c r="J30" s="25"/>
      <c r="K30" s="45" t="str">
        <f t="shared" si="5"/>
        <v/>
      </c>
      <c r="L30" s="29" t="str">
        <f t="shared" si="6"/>
        <v/>
      </c>
      <c r="M30" s="29">
        <f t="shared" si="7"/>
        <v>0</v>
      </c>
      <c r="N30" s="29">
        <f t="shared" si="8"/>
        <v>0</v>
      </c>
      <c r="O30" s="22" t="str">
        <f t="shared" si="9"/>
        <v/>
      </c>
      <c r="P30" s="23"/>
      <c r="Q30" s="45" t="str">
        <f t="shared" si="10"/>
        <v/>
      </c>
      <c r="R30" s="25"/>
      <c r="S30" s="45" t="str">
        <f t="shared" si="11"/>
        <v/>
      </c>
      <c r="T30" s="47"/>
      <c r="U30" s="22" t="str">
        <f t="shared" si="12"/>
        <v/>
      </c>
      <c r="V30" s="23"/>
      <c r="W30" s="45" t="str">
        <f t="shared" si="13"/>
        <v/>
      </c>
      <c r="X30" s="25"/>
      <c r="Y30" s="45" t="str">
        <f t="shared" si="14"/>
        <v/>
      </c>
      <c r="Z30" s="47"/>
      <c r="AA30" s="22" t="str">
        <f t="shared" si="15"/>
        <v/>
      </c>
      <c r="AB30" s="23"/>
      <c r="AC30" s="45" t="str">
        <f t="shared" si="16"/>
        <v/>
      </c>
      <c r="AD30" s="25"/>
      <c r="AE30" s="45" t="str">
        <f t="shared" si="17"/>
        <v/>
      </c>
      <c r="AF30" s="20">
        <v>0.0</v>
      </c>
      <c r="AG30" s="5"/>
    </row>
  </sheetData>
  <mergeCells count="10">
    <mergeCell ref="V1:Z1"/>
    <mergeCell ref="AA1:AA2"/>
    <mergeCell ref="AB1:AF1"/>
    <mergeCell ref="A1:C1"/>
    <mergeCell ref="D1:E1"/>
    <mergeCell ref="F1:F2"/>
    <mergeCell ref="G1:K1"/>
    <mergeCell ref="O1:O2"/>
    <mergeCell ref="P1:T1"/>
    <mergeCell ref="U1:U2"/>
  </mergeCells>
  <dataValidations>
    <dataValidation type="list" allowBlank="1" showErrorMessage="1" sqref="D3:D30">
      <formula1>"1,2,3,4,5"</formula1>
    </dataValidation>
    <dataValidation type="list" allowBlank="1" showErrorMessage="1" sqref="E3:E30 H3:H30 P3:P30 V3:V30 AB3:AB30">
      <formula1>'List Personnel'!$A$2:$A$56</formula1>
    </dataValidation>
    <dataValidation type="list" allowBlank="1" showErrorMessage="1" sqref="T3:T30 Z3:Z30">
      <formula1>"5%,10%,20%,30%,40%,50%,60%,70%,80%,90%,100%"</formula1>
    </dataValidation>
    <dataValidation type="list" allowBlank="1" showErrorMessage="1" sqref="C3:C30">
      <formula1>"Bumper,Template"</formula1>
    </dataValidation>
    <dataValidation type="list" allowBlank="1" showErrorMessage="1" sqref="J3:J30 R3:R30 X3:X30 AD3:AD30">
      <formula1>"Ongoing,Done,Pending,Revision"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4.63"/>
    <col customWidth="1" min="2" max="2" width="29.88"/>
  </cols>
  <sheetData>
    <row r="1">
      <c r="A1" s="108" t="s">
        <v>24</v>
      </c>
      <c r="B1" s="108" t="s">
        <v>363</v>
      </c>
      <c r="C1" s="108" t="s">
        <v>491</v>
      </c>
      <c r="D1" s="108" t="s">
        <v>492</v>
      </c>
      <c r="E1" s="108" t="s">
        <v>69</v>
      </c>
      <c r="F1" s="108" t="s">
        <v>493</v>
      </c>
      <c r="G1" s="108" t="s">
        <v>93</v>
      </c>
      <c r="H1" s="108" t="s">
        <v>494</v>
      </c>
    </row>
    <row r="2">
      <c r="A2" s="109">
        <v>1.0</v>
      </c>
      <c r="B2" s="27" t="s">
        <v>495</v>
      </c>
      <c r="C2" s="108">
        <v>13.0</v>
      </c>
    </row>
    <row r="3">
      <c r="A3" s="109">
        <v>2.0</v>
      </c>
      <c r="B3" s="27" t="s">
        <v>496</v>
      </c>
      <c r="C3" s="108">
        <v>47.0</v>
      </c>
    </row>
    <row r="4">
      <c r="A4" s="109">
        <v>3.0</v>
      </c>
      <c r="B4" s="27" t="s">
        <v>497</v>
      </c>
      <c r="C4" s="108">
        <v>7.0</v>
      </c>
    </row>
    <row r="5">
      <c r="A5" s="109">
        <v>4.0</v>
      </c>
      <c r="B5" s="27" t="s">
        <v>498</v>
      </c>
      <c r="C5" s="108">
        <v>27.0</v>
      </c>
    </row>
    <row r="6">
      <c r="A6" s="109">
        <v>5.0</v>
      </c>
      <c r="B6" s="27" t="s">
        <v>499</v>
      </c>
      <c r="C6" s="108">
        <v>40.0</v>
      </c>
    </row>
    <row r="7">
      <c r="A7" s="109">
        <v>6.0</v>
      </c>
      <c r="B7" s="27" t="s">
        <v>500</v>
      </c>
      <c r="C7" s="108">
        <v>27.0</v>
      </c>
    </row>
    <row r="8">
      <c r="A8" s="109">
        <v>7.0</v>
      </c>
      <c r="B8" s="27" t="s">
        <v>501</v>
      </c>
      <c r="C8" s="108">
        <v>40.0</v>
      </c>
    </row>
    <row r="9">
      <c r="A9" s="109">
        <v>8.0</v>
      </c>
      <c r="B9" s="27" t="s">
        <v>502</v>
      </c>
      <c r="C9" s="108">
        <v>67.0</v>
      </c>
    </row>
    <row r="10">
      <c r="A10" s="109">
        <v>9.0</v>
      </c>
      <c r="B10" s="27" t="s">
        <v>503</v>
      </c>
      <c r="C10" s="108">
        <v>44.0</v>
      </c>
    </row>
    <row r="11">
      <c r="A11" s="109">
        <v>10.0</v>
      </c>
      <c r="B11" s="27" t="s">
        <v>504</v>
      </c>
      <c r="C11" s="108">
        <v>44.0</v>
      </c>
    </row>
    <row r="12">
      <c r="A12" s="109">
        <v>11.0</v>
      </c>
      <c r="B12" s="27" t="s">
        <v>505</v>
      </c>
      <c r="C12" s="108">
        <v>88.0</v>
      </c>
    </row>
    <row r="13">
      <c r="A13" s="109">
        <v>12.0</v>
      </c>
      <c r="B13" s="27" t="s">
        <v>506</v>
      </c>
      <c r="C13" s="108">
        <v>88.0</v>
      </c>
    </row>
    <row r="14">
      <c r="A14" s="109">
        <v>13.0</v>
      </c>
      <c r="B14" s="27" t="s">
        <v>507</v>
      </c>
      <c r="C14" s="108">
        <v>176.0</v>
      </c>
    </row>
    <row r="15">
      <c r="A15" s="109">
        <v>14.0</v>
      </c>
      <c r="B15" s="27" t="s">
        <v>508</v>
      </c>
      <c r="C15" s="108">
        <v>44.0</v>
      </c>
    </row>
    <row r="16">
      <c r="A16" s="109">
        <v>15.0</v>
      </c>
      <c r="B16" s="27" t="s">
        <v>509</v>
      </c>
      <c r="C16" s="108">
        <v>132.0</v>
      </c>
    </row>
    <row r="17">
      <c r="A17" s="109">
        <v>16.0</v>
      </c>
      <c r="B17" s="27" t="s">
        <v>510</v>
      </c>
      <c r="C17" s="108">
        <v>220.0</v>
      </c>
    </row>
    <row r="18">
      <c r="A18" s="109">
        <v>17.0</v>
      </c>
      <c r="B18" s="27" t="s">
        <v>511</v>
      </c>
      <c r="C18" s="108">
        <v>44.0</v>
      </c>
    </row>
    <row r="19">
      <c r="A19" s="109">
        <v>18.0</v>
      </c>
      <c r="B19" s="27" t="s">
        <v>41</v>
      </c>
      <c r="C19" s="108">
        <v>440.0</v>
      </c>
    </row>
    <row r="20">
      <c r="A20" s="109">
        <v>19.0</v>
      </c>
      <c r="B20" s="27" t="s">
        <v>512</v>
      </c>
      <c r="C20" s="110"/>
    </row>
    <row r="21">
      <c r="A21" s="109">
        <v>20.0</v>
      </c>
      <c r="B21" s="27" t="s">
        <v>513</v>
      </c>
      <c r="C21" s="110"/>
    </row>
    <row r="22">
      <c r="A22" s="109">
        <v>21.0</v>
      </c>
      <c r="B22" s="27" t="s">
        <v>514</v>
      </c>
      <c r="C22" s="110"/>
    </row>
    <row r="23">
      <c r="A23" s="109">
        <v>22.0</v>
      </c>
      <c r="B23" s="27" t="s">
        <v>515</v>
      </c>
      <c r="C23" s="110"/>
    </row>
    <row r="24">
      <c r="A24" s="109">
        <v>23.0</v>
      </c>
      <c r="B24" s="27" t="s">
        <v>516</v>
      </c>
      <c r="C24" s="110"/>
    </row>
    <row r="25">
      <c r="A25" s="109">
        <v>24.0</v>
      </c>
      <c r="B25" s="27" t="s">
        <v>517</v>
      </c>
      <c r="C25" s="110"/>
    </row>
    <row r="26">
      <c r="A26" s="109">
        <v>25.0</v>
      </c>
      <c r="B26" s="27" t="s">
        <v>518</v>
      </c>
      <c r="C26" s="110"/>
    </row>
    <row r="27">
      <c r="A27" s="109">
        <v>26.0</v>
      </c>
      <c r="B27" s="27" t="s">
        <v>340</v>
      </c>
      <c r="C27" s="110"/>
    </row>
    <row r="28">
      <c r="A28" s="109">
        <v>27.0</v>
      </c>
      <c r="B28" s="27" t="s">
        <v>427</v>
      </c>
      <c r="C28" s="110"/>
    </row>
    <row r="29">
      <c r="A29" s="109">
        <v>28.0</v>
      </c>
      <c r="B29" s="27" t="s">
        <v>519</v>
      </c>
      <c r="C29" s="110"/>
    </row>
    <row r="30">
      <c r="A30" s="109">
        <v>29.0</v>
      </c>
      <c r="B30" s="27" t="s">
        <v>520</v>
      </c>
      <c r="C30" s="1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1.0"/>
  </cols>
  <sheetData>
    <row r="1">
      <c r="A1" s="111" t="s">
        <v>521</v>
      </c>
      <c r="C1" s="62" t="s">
        <v>522</v>
      </c>
      <c r="H1" s="112" t="s">
        <v>523</v>
      </c>
      <c r="I1" s="113"/>
      <c r="J1" s="113"/>
      <c r="K1" s="113"/>
      <c r="L1" s="113"/>
      <c r="M1" s="113"/>
      <c r="N1" s="113"/>
      <c r="O1" s="114"/>
    </row>
    <row r="2">
      <c r="A2" s="115" t="s">
        <v>524</v>
      </c>
      <c r="C2" s="62" t="s">
        <v>525</v>
      </c>
      <c r="H2" s="116" t="s">
        <v>526</v>
      </c>
      <c r="I2" s="116" t="s">
        <v>527</v>
      </c>
      <c r="J2" s="116" t="s">
        <v>528</v>
      </c>
      <c r="K2" s="116" t="s">
        <v>529</v>
      </c>
      <c r="L2" s="116" t="s">
        <v>530</v>
      </c>
      <c r="M2" s="116" t="s">
        <v>531</v>
      </c>
      <c r="N2" s="116" t="s">
        <v>532</v>
      </c>
      <c r="O2" s="116" t="s">
        <v>533</v>
      </c>
    </row>
    <row r="3">
      <c r="A3" s="115" t="s">
        <v>534</v>
      </c>
      <c r="H3" s="117" t="s">
        <v>535</v>
      </c>
      <c r="I3" s="118">
        <f>countifs('VR - 3D - Product'!C3:C1000,"?*",'VR - 3D - Product'!D3:D1000,"Content")</f>
        <v>0</v>
      </c>
      <c r="J3" s="119">
        <f>COUNTIFS('VR - 3D - Product'!C3:C1000, "?*", 'VR - 3D - Product'!D3:D1000, "Content", 'VR - 3D - Product'!N3:N1000, "Done")</f>
        <v>0</v>
      </c>
      <c r="K3" s="119">
        <f>COUNTIFS('VR - 3D - Product'!C3:C1000, "?*", 'VR - 3D - Product'!D3:D1000, "Content", 'VR - 3D - Product'!AO3:AO1000, "Done")</f>
        <v>0</v>
      </c>
      <c r="L3" s="121"/>
      <c r="M3" s="119">
        <f>COUNTIFS('VR - 3D - Product'!C3:C1000, "?*", 'VR - 3D - Product'!D3:D1000, "Content", 'VR - 3D - Product'!BP3:BP1000, "Done")</f>
        <v>0</v>
      </c>
      <c r="N3" s="121"/>
      <c r="O3" s="121"/>
    </row>
    <row r="4">
      <c r="A4" s="115" t="s">
        <v>545</v>
      </c>
      <c r="H4" s="124" t="s">
        <v>546</v>
      </c>
      <c r="I4" s="118">
        <f>countifs('VR - 3D - Product'!C3:C1000,"?*",'VR - 3D - Product'!D3:D1000,"Environment")</f>
        <v>0</v>
      </c>
      <c r="J4" s="125">
        <f>COUNTIFS('VR - 3D - Product'!C3:C1000, "?*", 'VR - 3D - Product'!D3:D1000, "Environment", 'VR - 3D - Product'!N3:N1000, "Done")</f>
        <v>0</v>
      </c>
      <c r="K4" s="126">
        <f>COUNTIFS('VR - 3D - Product'!C3:C1000, "?*", 'VR - 3D - Product'!D3:D1000, "Environment", 'VR - 3D - Product'!AO3:AO1000, "Done")</f>
        <v>0</v>
      </c>
      <c r="L4" s="121"/>
      <c r="M4" s="127"/>
      <c r="N4" s="127"/>
      <c r="O4" s="127"/>
    </row>
    <row r="5">
      <c r="A5" s="115" t="s">
        <v>485</v>
      </c>
      <c r="H5" s="128" t="s">
        <v>547</v>
      </c>
      <c r="I5" s="129">
        <f>COUNTIF('3D - Envi'!B3:B1000,"?*")</f>
        <v>1</v>
      </c>
      <c r="J5" s="125">
        <f>COUNTIF('3D - Envi'!M3:M1000,"Done")</f>
        <v>1</v>
      </c>
      <c r="K5" s="126">
        <f>COUNTIF('3D - Envi'!AO3:AO1000,"Done")</f>
        <v>1</v>
      </c>
      <c r="L5" s="126">
        <f>COUNTIF('3D - Envi'!BP3:BP1000,"Done")</f>
        <v>0</v>
      </c>
      <c r="M5" s="126">
        <f>COUNTIF('3D - Envi'!BQ4:BQ1000,"Done")</f>
        <v>0</v>
      </c>
      <c r="N5" s="127"/>
      <c r="O5" s="127"/>
    </row>
    <row r="6">
      <c r="A6" s="115" t="s">
        <v>548</v>
      </c>
      <c r="H6" s="124"/>
      <c r="I6" s="128"/>
      <c r="J6" s="130"/>
      <c r="K6" s="131"/>
      <c r="L6" s="131"/>
      <c r="M6" s="131"/>
      <c r="N6" s="131"/>
      <c r="O6" s="131"/>
    </row>
    <row r="7">
      <c r="A7" s="115" t="s">
        <v>549</v>
      </c>
      <c r="H7" s="124"/>
      <c r="I7" s="128"/>
      <c r="J7" s="130"/>
      <c r="K7" s="131"/>
      <c r="L7" s="131"/>
      <c r="M7" s="131"/>
      <c r="N7" s="131"/>
      <c r="O7" s="131"/>
    </row>
    <row r="8">
      <c r="A8" s="115" t="s">
        <v>126</v>
      </c>
      <c r="H8" s="128"/>
      <c r="I8" s="128"/>
      <c r="J8" s="130"/>
      <c r="K8" s="131"/>
      <c r="L8" s="131"/>
      <c r="M8" s="131"/>
      <c r="N8" s="131"/>
      <c r="O8" s="131"/>
    </row>
    <row r="9">
      <c r="A9" s="115" t="s">
        <v>80</v>
      </c>
      <c r="H9" s="132" t="s">
        <v>550</v>
      </c>
      <c r="I9" s="133">
        <f>(SUM(J3:O8) / ((I3*3) + (I4*2) + (I5*4)))</f>
        <v>0.5</v>
      </c>
      <c r="J9" s="134" t="str">
        <f>IFERROR(__xludf.DUMMYFUNCTION("SPARKLINE(I9,{""charttype"",""bar"";""max"",100%})"),"")</f>
        <v/>
      </c>
      <c r="K9" s="135"/>
      <c r="L9" s="135"/>
      <c r="M9" s="135"/>
      <c r="N9" s="135"/>
      <c r="O9" s="136"/>
    </row>
    <row r="10">
      <c r="A10" s="115" t="s">
        <v>269</v>
      </c>
    </row>
    <row r="11">
      <c r="A11" s="115" t="s">
        <v>180</v>
      </c>
    </row>
    <row r="12">
      <c r="A12" s="115" t="s">
        <v>225</v>
      </c>
    </row>
    <row r="13">
      <c r="A13" s="115" t="s">
        <v>176</v>
      </c>
    </row>
    <row r="14">
      <c r="A14" s="115" t="s">
        <v>173</v>
      </c>
    </row>
    <row r="15">
      <c r="A15" s="115" t="s">
        <v>73</v>
      </c>
    </row>
    <row r="16">
      <c r="A16" s="115" t="s">
        <v>272</v>
      </c>
    </row>
    <row r="17">
      <c r="A17" s="115" t="s">
        <v>289</v>
      </c>
    </row>
    <row r="18">
      <c r="A18" s="115" t="s">
        <v>194</v>
      </c>
    </row>
    <row r="19">
      <c r="A19" s="115" t="s">
        <v>373</v>
      </c>
    </row>
    <row r="20">
      <c r="A20" s="115" t="s">
        <v>224</v>
      </c>
    </row>
    <row r="21">
      <c r="A21" s="115" t="s">
        <v>551</v>
      </c>
    </row>
    <row r="22">
      <c r="A22" s="115" t="s">
        <v>552</v>
      </c>
    </row>
    <row r="23">
      <c r="A23" s="115" t="s">
        <v>212</v>
      </c>
    </row>
    <row r="24">
      <c r="A24" s="115" t="s">
        <v>553</v>
      </c>
    </row>
    <row r="25">
      <c r="A25" s="115" t="s">
        <v>104</v>
      </c>
    </row>
    <row r="26">
      <c r="A26" s="115" t="s">
        <v>172</v>
      </c>
    </row>
    <row r="27">
      <c r="A27" s="115" t="s">
        <v>210</v>
      </c>
    </row>
    <row r="28">
      <c r="A28" s="115" t="s">
        <v>186</v>
      </c>
    </row>
    <row r="29">
      <c r="A29" s="115" t="s">
        <v>554</v>
      </c>
    </row>
    <row r="30">
      <c r="A30" s="115" t="s">
        <v>555</v>
      </c>
    </row>
    <row r="31">
      <c r="A31" s="115" t="s">
        <v>556</v>
      </c>
    </row>
    <row r="32">
      <c r="A32" s="115" t="s">
        <v>557</v>
      </c>
    </row>
    <row r="33">
      <c r="A33" s="115" t="s">
        <v>78</v>
      </c>
    </row>
    <row r="34">
      <c r="A34" s="115" t="s">
        <v>558</v>
      </c>
    </row>
    <row r="35">
      <c r="A35" s="115" t="s">
        <v>559</v>
      </c>
    </row>
    <row r="36">
      <c r="A36" s="115" t="s">
        <v>87</v>
      </c>
    </row>
    <row r="37">
      <c r="A37" s="115" t="s">
        <v>67</v>
      </c>
    </row>
    <row r="38">
      <c r="A38" s="115" t="s">
        <v>83</v>
      </c>
    </row>
    <row r="39">
      <c r="A39" s="115" t="s">
        <v>124</v>
      </c>
    </row>
    <row r="40">
      <c r="A40" s="115" t="s">
        <v>560</v>
      </c>
    </row>
    <row r="41">
      <c r="A41" s="115" t="s">
        <v>484</v>
      </c>
    </row>
    <row r="42">
      <c r="A42" s="115" t="s">
        <v>72</v>
      </c>
    </row>
    <row r="43">
      <c r="A43" s="115" t="s">
        <v>66</v>
      </c>
    </row>
    <row r="44">
      <c r="A44" s="115" t="s">
        <v>561</v>
      </c>
    </row>
    <row r="45">
      <c r="A45" s="115" t="s">
        <v>562</v>
      </c>
    </row>
    <row r="46">
      <c r="A46" s="115" t="s">
        <v>77</v>
      </c>
    </row>
    <row r="47">
      <c r="A47" s="115" t="s">
        <v>563</v>
      </c>
    </row>
    <row r="48">
      <c r="A48" s="115" t="s">
        <v>564</v>
      </c>
    </row>
    <row r="49">
      <c r="A49" s="115" t="s">
        <v>565</v>
      </c>
    </row>
    <row r="50">
      <c r="A50" s="115" t="s">
        <v>566</v>
      </c>
    </row>
    <row r="51">
      <c r="A51" s="115" t="s">
        <v>567</v>
      </c>
    </row>
    <row r="52">
      <c r="A52" s="115" t="s">
        <v>568</v>
      </c>
    </row>
    <row r="53">
      <c r="A53" s="115" t="s">
        <v>569</v>
      </c>
    </row>
    <row r="54">
      <c r="A54" s="115" t="s">
        <v>570</v>
      </c>
    </row>
    <row r="55">
      <c r="A55" s="115" t="s">
        <v>571</v>
      </c>
    </row>
    <row r="56">
      <c r="A56" s="115" t="s">
        <v>572</v>
      </c>
    </row>
    <row r="57">
      <c r="A57" s="137" t="s">
        <v>573</v>
      </c>
    </row>
  </sheetData>
  <mergeCells count="3">
    <mergeCell ref="C1:D1"/>
    <mergeCell ref="H1:O1"/>
    <mergeCell ref="J9:O9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16.25"/>
  </cols>
  <sheetData>
    <row r="1">
      <c r="A1" s="108" t="s">
        <v>522</v>
      </c>
    </row>
    <row r="2">
      <c r="A2" s="120" t="s">
        <v>525</v>
      </c>
      <c r="B2" s="120" t="s">
        <v>536</v>
      </c>
    </row>
    <row r="3">
      <c r="A3" s="122" t="s">
        <v>526</v>
      </c>
      <c r="B3" s="122" t="s">
        <v>537</v>
      </c>
    </row>
    <row r="4">
      <c r="A4" s="122" t="s">
        <v>538</v>
      </c>
      <c r="B4" s="122" t="s">
        <v>539</v>
      </c>
    </row>
    <row r="5">
      <c r="A5" s="122" t="s">
        <v>537</v>
      </c>
      <c r="B5" s="122" t="s">
        <v>540</v>
      </c>
    </row>
    <row r="6">
      <c r="A6" s="122" t="s">
        <v>539</v>
      </c>
      <c r="B6" s="122" t="s">
        <v>541</v>
      </c>
    </row>
    <row r="7">
      <c r="A7" s="122" t="s">
        <v>540</v>
      </c>
      <c r="B7" s="122" t="s">
        <v>542</v>
      </c>
    </row>
    <row r="8">
      <c r="A8" s="122" t="s">
        <v>541</v>
      </c>
      <c r="B8" s="122" t="s">
        <v>543</v>
      </c>
    </row>
    <row r="9">
      <c r="A9" s="122" t="s">
        <v>542</v>
      </c>
      <c r="B9" s="122" t="s">
        <v>544</v>
      </c>
    </row>
    <row r="10">
      <c r="A10" s="122" t="s">
        <v>543</v>
      </c>
      <c r="B10" s="123"/>
    </row>
    <row r="11">
      <c r="A11" s="122" t="s">
        <v>544</v>
      </c>
      <c r="B11" s="123"/>
    </row>
  </sheetData>
  <mergeCells count="1">
    <mergeCell ref="A1:B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5.63"/>
    <col customWidth="1" min="2" max="2" width="37.13"/>
  </cols>
  <sheetData>
    <row r="1">
      <c r="A1" s="138" t="s">
        <v>24</v>
      </c>
      <c r="B1" s="138" t="s">
        <v>363</v>
      </c>
      <c r="C1" s="139" t="s">
        <v>574</v>
      </c>
      <c r="D1" s="138" t="s">
        <v>69</v>
      </c>
      <c r="E1" s="138" t="s">
        <v>575</v>
      </c>
      <c r="F1" s="138" t="s">
        <v>494</v>
      </c>
      <c r="G1" s="138" t="s">
        <v>576</v>
      </c>
      <c r="H1" s="140" t="s">
        <v>577</v>
      </c>
      <c r="I1" s="141" t="s">
        <v>578</v>
      </c>
      <c r="J1" s="141" t="s">
        <v>579</v>
      </c>
      <c r="K1" s="138" t="s">
        <v>580</v>
      </c>
      <c r="L1" s="142" t="s">
        <v>581</v>
      </c>
      <c r="M1" s="143" t="s">
        <v>582</v>
      </c>
    </row>
    <row r="2">
      <c r="A2" s="144" t="str">
        <f t="array" ref="A2:A656">LET(
  data,B2:B656,
  headers,M2:M656,
  nomor,
  SCAN(
    0,
    data,
    LAMBDA(counter,nama,
      IF(
        nama="",
        0,
        IF(
          COUNTIF(headers,nama)&gt;0,
          0,
          counter+1
        )
      )
    )
  ),
  IF(
      data="",
      "",
      IF(nomor=0,"",nomor)
    )
)</f>
        <v/>
      </c>
      <c r="B2" s="145" t="str">
        <f>IFERROR(__xludf.DUMMYFUNCTION("IF(
  L2="""",
  UNIQUE(FILTER('Rekap MP'!B2:B656,'Rekap MP'!A2:A656&lt;&gt;"""")),
  LET(
    url,L2,
    sheets,FILTER(M2:M656,M2:M656&lt;&gt;""""),
    result,
    REDUCE(
      """",
      sheets,
      LAMBDA(acc,sheetName,
        VSTACK(
          acc,
       "&amp;"   sheetName,
          LET(
            data,IMPORTRANGE(url,""'""&amp;sheetName&amp;""'!A:B""),
            start,MATCH(""Perhitungan Konten"",INDEX(data,,1),0)+2,
            colB,FILTER(
              INDEX(data,,2),
              SEQUENCE(ROWS(data))&gt;=start
"&amp;"            ),
            IFERROR(
              ARRAY_CONSTRAIN(
                colB,
                MATCH(TRUE,ARRAYFORMULA(colB=""""),0)-1,
                1
              ),
              colB
            )
          )
        )
      )
    ),
    "&amp;"FILTER(result,result&lt;&gt;"""")
  )
)"),"Count - SMK - JeniusVR")</f>
        <v>Count - SMK - JeniusVR</v>
      </c>
      <c r="C2" s="146"/>
      <c r="D2" s="147"/>
      <c r="E2" s="148" t="str">
        <f t="array" ref="E2:E656">IF(C2:C656="","",C2:C656-D2:D656)</f>
        <v/>
      </c>
      <c r="F2" s="149" t="str">
        <f t="array" ref="F2:F656">IF(C2:C656="","",IF(C2:C656=0,0,D2:D656/C2:C656))</f>
        <v/>
      </c>
      <c r="G2" s="150" t="str">
        <f>IFERROR(__xludf.DUMMYFUNCTION("ARRAYFORMULA(IF(B2:B656="""","""",XLOOKUP(B2:B656,IMPORTRANGE(""https://docs.google.com/spreadsheets/d/1ko6CCKktgrjGkfGuxk3OAEYDbRWH0rKIl76dQUiBZqs/edit?pli=1&amp;gid=8978616#gid=8978616"",""Variable Survey!B:B""),IMPORTRANGE(""https://docs.google.com/spreads"&amp;"heets/d/1ko6CCKktgrjGkfGuxk3OAEYDbRWH0rKIl76dQUiBZqs/edit?pli=1&amp;gid=8978616#gid=8978616"",""Variable Survey!E:E""),"""")))"),"")</f>
        <v/>
      </c>
      <c r="H2" s="151" t="str">
        <f t="array" ref="H2:H656">IF(C2:C656="","",(D2:D656*G2:G656)/SUMPRODUCT(C2:C656,G2:G656))</f>
        <v/>
      </c>
      <c r="I2" s="152">
        <f>sum(H2:H656)</f>
        <v>0</v>
      </c>
      <c r="J2" s="153" t="b">
        <v>0</v>
      </c>
      <c r="K2" s="154" t="str">
        <f>IFERROR(__xludf.DUMMYFUNCTION("IF(L2="""","""",
LET(
  url,L2,
  sheets,FILTER(M2:M656,M2:M656&lt;&gt;""""),
  result,
  REDUCE(
    """",
    sheets,
    LAMBDA(acc,sheetName,
      VSTACK(
        acc,
        sheetName,
        LET(
          data,IMPORTRANGE(url,""'""&amp;sheetName&amp;""'!A:F"""&amp;"),
          start,MATCH(""Perhitungan Konten"",INDEX(data,,1),0)+2,
          colC,FILTER(INDEX(data,,3),SEQUENCE(ROWS(data))&gt;=start),
          IFERROR(
            ARRAY_CONSTRAIN(
              colC,
              MATCH(TRUE,ARRAYFORMULA(colC=""""),0)"&amp;"-1,
              1
            ),
            colC
          )
        )
      )
    )
  ),
  FILTER(result,result&lt;&gt;"""")
))"),"Count - SMK - JeniusVR")</f>
        <v>Count - SMK - JeniusVR</v>
      </c>
      <c r="L2" s="155" t="s">
        <v>583</v>
      </c>
      <c r="M2" s="156" t="s">
        <v>584</v>
      </c>
      <c r="O2" s="157"/>
    </row>
    <row r="3">
      <c r="A3" s="144">
        <v>1.0</v>
      </c>
      <c r="B3" s="158" t="str">
        <f>IFERROR(__xludf.DUMMYFUNCTION("""COMPUTED_VALUE"""),"Materi Deskriptif atau Naratif Gameplay Lv1")</f>
        <v>Materi Deskriptif atau Naratif Gameplay Lv1</v>
      </c>
      <c r="C3" s="146">
        <f t="shared" ref="C3:C65" si="1">IF($J$2,0,K3)</f>
        <v>10</v>
      </c>
      <c r="D3" s="147"/>
      <c r="E3" s="148">
        <v>10.0</v>
      </c>
      <c r="F3" s="149">
        <v>0.0</v>
      </c>
      <c r="G3" s="150">
        <f>IFERROR(__xludf.DUMMYFUNCTION("""COMPUTED_VALUE"""),0.7526881720430108)</f>
        <v>0.752688172</v>
      </c>
      <c r="H3" s="151">
        <v>0.0</v>
      </c>
      <c r="I3" s="159"/>
      <c r="J3" s="159"/>
      <c r="K3" s="154">
        <f>IFERROR(__xludf.DUMMYFUNCTION("""COMPUTED_VALUE"""),10.0)</f>
        <v>10</v>
      </c>
      <c r="M3" s="159"/>
      <c r="O3" s="157"/>
    </row>
    <row r="4">
      <c r="A4" s="144">
        <v>2.0</v>
      </c>
      <c r="B4" s="158" t="str">
        <f>IFERROR(__xludf.DUMMYFUNCTION("""COMPUTED_VALUE"""),"Materi Deskriptif atau Naratif Gameplay Lv2")</f>
        <v>Materi Deskriptif atau Naratif Gameplay Lv2</v>
      </c>
      <c r="C4" s="146">
        <f t="shared" si="1"/>
        <v>15</v>
      </c>
      <c r="D4" s="147"/>
      <c r="E4" s="148">
        <v>15.0</v>
      </c>
      <c r="F4" s="149">
        <v>0.0</v>
      </c>
      <c r="G4" s="150">
        <f>IFERROR(__xludf.DUMMYFUNCTION("""COMPUTED_VALUE"""),0.8974358974358975)</f>
        <v>0.8974358974</v>
      </c>
      <c r="H4" s="151">
        <v>0.0</v>
      </c>
      <c r="I4" s="159"/>
      <c r="J4" s="159"/>
      <c r="K4" s="154">
        <f>IFERROR(__xludf.DUMMYFUNCTION("""COMPUTED_VALUE"""),15.0)</f>
        <v>15</v>
      </c>
      <c r="M4" s="159"/>
      <c r="O4" s="157"/>
    </row>
    <row r="5">
      <c r="A5" s="144">
        <v>3.0</v>
      </c>
      <c r="B5" s="158" t="str">
        <f>IFERROR(__xludf.DUMMYFUNCTION("""COMPUTED_VALUE"""),"Materi Deskriptif atau Naratif Gameplay Lv3")</f>
        <v>Materi Deskriptif atau Naratif Gameplay Lv3</v>
      </c>
      <c r="C5" s="146">
        <f t="shared" si="1"/>
        <v>15</v>
      </c>
      <c r="D5" s="147"/>
      <c r="E5" s="148">
        <v>15.0</v>
      </c>
      <c r="F5" s="149">
        <v>0.0</v>
      </c>
      <c r="G5" s="150">
        <f>IFERROR(__xludf.DUMMYFUNCTION("""COMPUTED_VALUE"""),1.1666666666666667)</f>
        <v>1.166666667</v>
      </c>
      <c r="H5" s="151">
        <v>0.0</v>
      </c>
      <c r="I5" s="159"/>
      <c r="J5" s="159"/>
      <c r="K5" s="154">
        <f>IFERROR(__xludf.DUMMYFUNCTION("""COMPUTED_VALUE"""),15.0)</f>
        <v>15</v>
      </c>
      <c r="M5" s="159"/>
      <c r="O5" s="157"/>
    </row>
    <row r="6">
      <c r="A6" s="144">
        <v>4.0</v>
      </c>
      <c r="B6" s="158" t="str">
        <f>IFERROR(__xludf.DUMMYFUNCTION("""COMPUTED_VALUE"""),"Materi Deskriptif atau Naratif Gameplay Lv4")</f>
        <v>Materi Deskriptif atau Naratif Gameplay Lv4</v>
      </c>
      <c r="C6" s="146">
        <f t="shared" si="1"/>
        <v>10</v>
      </c>
      <c r="D6" s="147"/>
      <c r="E6" s="148">
        <v>10.0</v>
      </c>
      <c r="F6" s="149">
        <v>0.0</v>
      </c>
      <c r="G6" s="150">
        <f>IFERROR(__xludf.DUMMYFUNCTION("""COMPUTED_VALUE"""),2.0)</f>
        <v>2</v>
      </c>
      <c r="H6" s="151">
        <v>0.0</v>
      </c>
      <c r="I6" s="159"/>
      <c r="J6" s="159"/>
      <c r="K6" s="154">
        <f>IFERROR(__xludf.DUMMYFUNCTION("""COMPUTED_VALUE"""),10.0)</f>
        <v>10</v>
      </c>
      <c r="M6" s="159"/>
      <c r="O6" s="157"/>
    </row>
    <row r="7">
      <c r="A7" s="144">
        <v>5.0</v>
      </c>
      <c r="B7" s="158" t="str">
        <f>IFERROR(__xludf.DUMMYFUNCTION("""COMPUTED_VALUE"""),"Visual Brief Lv1")</f>
        <v>Visual Brief Lv1</v>
      </c>
      <c r="C7" s="146">
        <f t="shared" si="1"/>
        <v>15</v>
      </c>
      <c r="D7" s="147"/>
      <c r="E7" s="148">
        <v>15.0</v>
      </c>
      <c r="F7" s="149">
        <v>0.0</v>
      </c>
      <c r="G7" s="150">
        <f>IFERROR(__xludf.DUMMYFUNCTION("""COMPUTED_VALUE"""),0.7526881720430108)</f>
        <v>0.752688172</v>
      </c>
      <c r="H7" s="151">
        <v>0.0</v>
      </c>
      <c r="I7" s="159"/>
      <c r="J7" s="159"/>
      <c r="K7" s="154">
        <f>IFERROR(__xludf.DUMMYFUNCTION("""COMPUTED_VALUE"""),15.0)</f>
        <v>15</v>
      </c>
      <c r="M7" s="159"/>
      <c r="O7" s="157"/>
    </row>
    <row r="8">
      <c r="A8" s="144">
        <v>6.0</v>
      </c>
      <c r="B8" s="158" t="str">
        <f>IFERROR(__xludf.DUMMYFUNCTION("""COMPUTED_VALUE"""),"Visual Brief Lv2")</f>
        <v>Visual Brief Lv2</v>
      </c>
      <c r="C8" s="146">
        <f t="shared" si="1"/>
        <v>25</v>
      </c>
      <c r="D8" s="147"/>
      <c r="E8" s="148">
        <v>25.0</v>
      </c>
      <c r="F8" s="149">
        <v>0.0</v>
      </c>
      <c r="G8" s="150">
        <f>IFERROR(__xludf.DUMMYFUNCTION("""COMPUTED_VALUE"""),1.1666666666666667)</f>
        <v>1.166666667</v>
      </c>
      <c r="H8" s="151">
        <v>0.0</v>
      </c>
      <c r="I8" s="159"/>
      <c r="J8" s="159"/>
      <c r="K8" s="154">
        <f>IFERROR(__xludf.DUMMYFUNCTION("""COMPUTED_VALUE"""),25.0)</f>
        <v>25</v>
      </c>
      <c r="M8" s="159"/>
      <c r="O8" s="157"/>
    </row>
    <row r="9">
      <c r="A9" s="144">
        <v>7.0</v>
      </c>
      <c r="B9" s="158" t="str">
        <f>IFERROR(__xludf.DUMMYFUNCTION("""COMPUTED_VALUE"""),"Visual Brief Lv3")</f>
        <v>Visual Brief Lv3</v>
      </c>
      <c r="C9" s="146">
        <f t="shared" si="1"/>
        <v>10</v>
      </c>
      <c r="D9" s="147"/>
      <c r="E9" s="148">
        <v>10.0</v>
      </c>
      <c r="F9" s="149">
        <v>0.0</v>
      </c>
      <c r="G9" s="150">
        <f>IFERROR(__xludf.DUMMYFUNCTION("""COMPUTED_VALUE"""),2.0)</f>
        <v>2</v>
      </c>
      <c r="H9" s="151">
        <v>0.0</v>
      </c>
      <c r="I9" s="159"/>
      <c r="J9" s="159"/>
      <c r="K9" s="154">
        <f>IFERROR(__xludf.DUMMYFUNCTION("""COMPUTED_VALUE"""),10.0)</f>
        <v>10</v>
      </c>
      <c r="M9" s="159"/>
      <c r="O9" s="157"/>
    </row>
    <row r="10">
      <c r="A10" s="144">
        <v>8.0</v>
      </c>
      <c r="B10" s="158" t="str">
        <f>IFERROR(__xludf.DUMMYFUNCTION("""COMPUTED_VALUE"""),"Storyboard Gameplay Lv1")</f>
        <v>Storyboard Gameplay Lv1</v>
      </c>
      <c r="C10" s="146">
        <f t="shared" si="1"/>
        <v>10</v>
      </c>
      <c r="D10" s="147"/>
      <c r="E10" s="148">
        <v>10.0</v>
      </c>
      <c r="F10" s="149">
        <v>0.0</v>
      </c>
      <c r="G10" s="150">
        <f>IFERROR(__xludf.DUMMYFUNCTION("""COMPUTED_VALUE"""),2.3333333333333335)</f>
        <v>2.333333333</v>
      </c>
      <c r="H10" s="151">
        <v>0.0</v>
      </c>
      <c r="I10" s="159"/>
      <c r="J10" s="159"/>
      <c r="K10" s="154">
        <f>IFERROR(__xludf.DUMMYFUNCTION("""COMPUTED_VALUE"""),10.0)</f>
        <v>10</v>
      </c>
      <c r="M10" s="159"/>
      <c r="O10" s="157"/>
    </row>
    <row r="11">
      <c r="A11" s="144">
        <v>9.0</v>
      </c>
      <c r="B11" s="158" t="str">
        <f>IFERROR(__xludf.DUMMYFUNCTION("""COMPUTED_VALUE"""),"Storyboard Gameplay Lv2")</f>
        <v>Storyboard Gameplay Lv2</v>
      </c>
      <c r="C11" s="146">
        <f t="shared" si="1"/>
        <v>25</v>
      </c>
      <c r="D11" s="147"/>
      <c r="E11" s="148">
        <v>25.0</v>
      </c>
      <c r="F11" s="149">
        <v>0.0</v>
      </c>
      <c r="G11" s="150">
        <f>IFERROR(__xludf.DUMMYFUNCTION("""COMPUTED_VALUE"""),3.333333333333333)</f>
        <v>3.333333333</v>
      </c>
      <c r="H11" s="151">
        <v>0.0</v>
      </c>
      <c r="I11" s="159"/>
      <c r="J11" s="159"/>
      <c r="K11" s="154">
        <f>IFERROR(__xludf.DUMMYFUNCTION("""COMPUTED_VALUE"""),25.0)</f>
        <v>25</v>
      </c>
      <c r="M11" s="159"/>
      <c r="O11" s="157"/>
    </row>
    <row r="12">
      <c r="A12" s="144">
        <v>10.0</v>
      </c>
      <c r="B12" s="158" t="str">
        <f>IFERROR(__xludf.DUMMYFUNCTION("""COMPUTED_VALUE"""),"Storyboard Gameplay Lv3")</f>
        <v>Storyboard Gameplay Lv3</v>
      </c>
      <c r="C12" s="146">
        <f t="shared" si="1"/>
        <v>15</v>
      </c>
      <c r="D12" s="147"/>
      <c r="E12" s="148">
        <v>15.0</v>
      </c>
      <c r="F12" s="149">
        <v>0.0</v>
      </c>
      <c r="G12" s="160">
        <f>IFERROR(__xludf.DUMMYFUNCTION("""COMPUTED_VALUE"""),4.375)</f>
        <v>4.375</v>
      </c>
      <c r="H12" s="151">
        <v>0.0</v>
      </c>
      <c r="I12" s="159"/>
      <c r="J12" s="159"/>
      <c r="K12" s="154">
        <f>IFERROR(__xludf.DUMMYFUNCTION("""COMPUTED_VALUE"""),15.0)</f>
        <v>15</v>
      </c>
      <c r="M12" s="159"/>
      <c r="O12" s="157"/>
    </row>
    <row r="13">
      <c r="A13" s="144">
        <v>11.0</v>
      </c>
      <c r="B13" s="158" t="str">
        <f>IFERROR(__xludf.DUMMYFUNCTION("""COMPUTED_VALUE"""),"Konten Pendukung Gameplay Lv1")</f>
        <v>Konten Pendukung Gameplay Lv1</v>
      </c>
      <c r="C13" s="146">
        <f t="shared" si="1"/>
        <v>50</v>
      </c>
      <c r="D13" s="147"/>
      <c r="E13" s="148">
        <v>50.0</v>
      </c>
      <c r="F13" s="149">
        <v>0.0</v>
      </c>
      <c r="G13" s="160">
        <f>IFERROR(__xludf.DUMMYFUNCTION("""COMPUTED_VALUE"""),0.4895104895104895)</f>
        <v>0.4895104895</v>
      </c>
      <c r="H13" s="151">
        <v>0.0</v>
      </c>
      <c r="I13" s="159"/>
      <c r="J13" s="159"/>
      <c r="K13" s="154">
        <f>IFERROR(__xludf.DUMMYFUNCTION("""COMPUTED_VALUE"""),50.0)</f>
        <v>50</v>
      </c>
      <c r="M13" s="159"/>
      <c r="O13" s="157"/>
    </row>
    <row r="14">
      <c r="A14" s="144">
        <v>12.0</v>
      </c>
      <c r="B14" s="158" t="str">
        <f>IFERROR(__xludf.DUMMYFUNCTION("""COMPUTED_VALUE"""),"QC Materi Deskriptif atau Naratif Gameplay Lv1")</f>
        <v>QC Materi Deskriptif atau Naratif Gameplay Lv1</v>
      </c>
      <c r="C14" s="146">
        <f t="shared" si="1"/>
        <v>50</v>
      </c>
      <c r="D14" s="147"/>
      <c r="E14" s="148">
        <v>50.0</v>
      </c>
      <c r="F14" s="149">
        <v>0.0</v>
      </c>
      <c r="G14" s="160">
        <f>IFERROR(__xludf.DUMMYFUNCTION("""COMPUTED_VALUE"""),0.3684210526315789)</f>
        <v>0.3684210526</v>
      </c>
      <c r="H14" s="151">
        <v>0.0</v>
      </c>
      <c r="I14" s="159"/>
      <c r="J14" s="159"/>
      <c r="K14" s="154">
        <f>IFERROR(__xludf.DUMMYFUNCTION("""COMPUTED_VALUE"""),50.0)</f>
        <v>50</v>
      </c>
      <c r="M14" s="159"/>
      <c r="O14" s="157"/>
    </row>
    <row r="15">
      <c r="A15" s="144">
        <v>13.0</v>
      </c>
      <c r="B15" s="158" t="str">
        <f>IFERROR(__xludf.DUMMYFUNCTION("""COMPUTED_VALUE"""),"QC Visual Brief Lv1")</f>
        <v>QC Visual Brief Lv1</v>
      </c>
      <c r="C15" s="146">
        <f t="shared" si="1"/>
        <v>50</v>
      </c>
      <c r="D15" s="147"/>
      <c r="E15" s="148">
        <v>50.0</v>
      </c>
      <c r="F15" s="149">
        <v>0.0</v>
      </c>
      <c r="G15" s="160">
        <f>IFERROR(__xludf.DUMMYFUNCTION("""COMPUTED_VALUE"""),0.7)</f>
        <v>0.7</v>
      </c>
      <c r="H15" s="151">
        <v>0.0</v>
      </c>
      <c r="I15" s="159"/>
      <c r="J15" s="159"/>
      <c r="K15" s="154">
        <f>IFERROR(__xludf.DUMMYFUNCTION("""COMPUTED_VALUE"""),50.0)</f>
        <v>50</v>
      </c>
      <c r="M15" s="159"/>
      <c r="O15" s="157"/>
    </row>
    <row r="16">
      <c r="A16" s="144">
        <v>14.0</v>
      </c>
      <c r="B16" s="158" t="str">
        <f>IFERROR(__xludf.DUMMYFUNCTION("""COMPUTED_VALUE"""),"QC Storyboard Gameplay Lv1")</f>
        <v>QC Storyboard Gameplay Lv1</v>
      </c>
      <c r="C16" s="146">
        <f t="shared" si="1"/>
        <v>50</v>
      </c>
      <c r="D16" s="147"/>
      <c r="E16" s="148">
        <v>50.0</v>
      </c>
      <c r="F16" s="149">
        <v>0.0</v>
      </c>
      <c r="G16" s="160">
        <f>IFERROR(__xludf.DUMMYFUNCTION("""COMPUTED_VALUE"""),0.7)</f>
        <v>0.7</v>
      </c>
      <c r="H16" s="151">
        <v>0.0</v>
      </c>
      <c r="I16" s="159"/>
      <c r="J16" s="159"/>
      <c r="K16" s="154">
        <f>IFERROR(__xludf.DUMMYFUNCTION("""COMPUTED_VALUE"""),50.0)</f>
        <v>50</v>
      </c>
      <c r="M16" s="159"/>
      <c r="O16" s="157"/>
    </row>
    <row r="17">
      <c r="A17" s="144">
        <v>15.0</v>
      </c>
      <c r="B17" s="158" t="str">
        <f>IFERROR(__xludf.DUMMYFUNCTION("""COMPUTED_VALUE"""),"QC Konten Pendukung - Gameplay Lv1")</f>
        <v>QC Konten Pendukung - Gameplay Lv1</v>
      </c>
      <c r="C17" s="146">
        <f t="shared" si="1"/>
        <v>50</v>
      </c>
      <c r="D17" s="147"/>
      <c r="E17" s="148">
        <v>50.0</v>
      </c>
      <c r="F17" s="149">
        <v>0.0</v>
      </c>
      <c r="G17" s="160">
        <f>IFERROR(__xludf.DUMMYFUNCTION("""COMPUTED_VALUE"""),0.7)</f>
        <v>0.7</v>
      </c>
      <c r="H17" s="151">
        <v>0.0</v>
      </c>
      <c r="I17" s="159"/>
      <c r="J17" s="159"/>
      <c r="K17" s="154">
        <f>IFERROR(__xludf.DUMMYFUNCTION("""COMPUTED_VALUE"""),50.0)</f>
        <v>50</v>
      </c>
      <c r="M17" s="159"/>
      <c r="O17" s="157"/>
    </row>
    <row r="18">
      <c r="A18" s="144">
        <v>16.0</v>
      </c>
      <c r="B18" s="158" t="str">
        <f>IFERROR(__xludf.DUMMYFUNCTION("""COMPUTED_VALUE"""),"Modelling Product Content Lv1")</f>
        <v>Modelling Product Content Lv1</v>
      </c>
      <c r="C18" s="146">
        <f t="shared" si="1"/>
        <v>150</v>
      </c>
      <c r="D18" s="147"/>
      <c r="E18" s="148">
        <v>150.0</v>
      </c>
      <c r="F18" s="149">
        <v>0.0</v>
      </c>
      <c r="G18" s="160">
        <f>IFERROR(__xludf.DUMMYFUNCTION("""COMPUTED_VALUE"""),0.9333333333333333)</f>
        <v>0.9333333333</v>
      </c>
      <c r="H18" s="151">
        <v>0.0</v>
      </c>
      <c r="I18" s="159"/>
      <c r="J18" s="159"/>
      <c r="K18" s="154">
        <f>IFERROR(__xludf.DUMMYFUNCTION("""COMPUTED_VALUE"""),150.0)</f>
        <v>150</v>
      </c>
      <c r="M18" s="159"/>
      <c r="O18" s="157"/>
    </row>
    <row r="19">
      <c r="A19" s="144">
        <v>17.0</v>
      </c>
      <c r="B19" s="158" t="str">
        <f>IFERROR(__xludf.DUMMYFUNCTION("""COMPUTED_VALUE"""),"Modelling Product Content Lv2")</f>
        <v>Modelling Product Content Lv2</v>
      </c>
      <c r="C19" s="146">
        <f t="shared" si="1"/>
        <v>150</v>
      </c>
      <c r="D19" s="147"/>
      <c r="E19" s="148">
        <v>150.0</v>
      </c>
      <c r="F19" s="149">
        <v>0.0</v>
      </c>
      <c r="G19" s="160">
        <f>IFERROR(__xludf.DUMMYFUNCTION("""COMPUTED_VALUE"""),2.0)</f>
        <v>2</v>
      </c>
      <c r="H19" s="151">
        <v>0.0</v>
      </c>
      <c r="I19" s="159"/>
      <c r="J19" s="159"/>
      <c r="K19" s="154">
        <f>IFERROR(__xludf.DUMMYFUNCTION("""COMPUTED_VALUE"""),150.0)</f>
        <v>150</v>
      </c>
      <c r="M19" s="159"/>
      <c r="O19" s="157"/>
    </row>
    <row r="20">
      <c r="A20" s="144">
        <v>18.0</v>
      </c>
      <c r="B20" s="158" t="str">
        <f>IFERROR(__xludf.DUMMYFUNCTION("""COMPUTED_VALUE"""),"Modelling Product Content Lv3")</f>
        <v>Modelling Product Content Lv3</v>
      </c>
      <c r="C20" s="146">
        <f t="shared" si="1"/>
        <v>150</v>
      </c>
      <c r="D20" s="147"/>
      <c r="E20" s="148">
        <v>150.0</v>
      </c>
      <c r="F20" s="149">
        <v>0.0</v>
      </c>
      <c r="G20" s="160">
        <f>IFERROR(__xludf.DUMMYFUNCTION("""COMPUTED_VALUE"""),4.0)</f>
        <v>4</v>
      </c>
      <c r="H20" s="151">
        <v>0.0</v>
      </c>
      <c r="I20" s="159"/>
      <c r="J20" s="159"/>
      <c r="K20" s="154">
        <f>IFERROR(__xludf.DUMMYFUNCTION("""COMPUTED_VALUE"""),150.0)</f>
        <v>150</v>
      </c>
      <c r="M20" s="159"/>
      <c r="O20" s="157"/>
    </row>
    <row r="21">
      <c r="A21" s="144">
        <v>19.0</v>
      </c>
      <c r="B21" s="158" t="str">
        <f>IFERROR(__xludf.DUMMYFUNCTION("""COMPUTED_VALUE"""),"Modelling Product Content Lv4")</f>
        <v>Modelling Product Content Lv4</v>
      </c>
      <c r="C21" s="146">
        <f t="shared" si="1"/>
        <v>150</v>
      </c>
      <c r="D21" s="147"/>
      <c r="E21" s="148">
        <v>150.0</v>
      </c>
      <c r="F21" s="149">
        <v>0.0</v>
      </c>
      <c r="G21" s="160">
        <f>IFERROR(__xludf.DUMMYFUNCTION("""COMPUTED_VALUE"""),8.23529411764706)</f>
        <v>8.235294118</v>
      </c>
      <c r="H21" s="151">
        <v>0.0</v>
      </c>
      <c r="I21" s="159"/>
      <c r="J21" s="159"/>
      <c r="K21" s="154">
        <f>IFERROR(__xludf.DUMMYFUNCTION("""COMPUTED_VALUE"""),150.0)</f>
        <v>150</v>
      </c>
      <c r="M21" s="159"/>
      <c r="O21" s="157"/>
    </row>
    <row r="22">
      <c r="A22" s="144">
        <v>20.0</v>
      </c>
      <c r="B22" s="158" t="str">
        <f>IFERROR(__xludf.DUMMYFUNCTION("""COMPUTED_VALUE"""),"Texturing Product Content Lv1")</f>
        <v>Texturing Product Content Lv1</v>
      </c>
      <c r="C22" s="146">
        <f t="shared" si="1"/>
        <v>300</v>
      </c>
      <c r="D22" s="147"/>
      <c r="E22" s="148">
        <v>300.0</v>
      </c>
      <c r="F22" s="149">
        <v>0.0</v>
      </c>
      <c r="G22" s="160">
        <f>IFERROR(__xludf.DUMMYFUNCTION("""COMPUTED_VALUE"""),1.0769230769230769)</f>
        <v>1.076923077</v>
      </c>
      <c r="H22" s="151">
        <v>0.0</v>
      </c>
      <c r="I22" s="159"/>
      <c r="J22" s="159"/>
      <c r="K22" s="154">
        <f>IFERROR(__xludf.DUMMYFUNCTION("""COMPUTED_VALUE"""),300.0)</f>
        <v>300</v>
      </c>
      <c r="M22" s="159"/>
      <c r="O22" s="157"/>
    </row>
    <row r="23">
      <c r="A23" s="144">
        <v>21.0</v>
      </c>
      <c r="B23" s="158" t="str">
        <f>IFERROR(__xludf.DUMMYFUNCTION("""COMPUTED_VALUE"""),"Texturing Product Content Lv2")</f>
        <v>Texturing Product Content Lv2</v>
      </c>
      <c r="C23" s="146">
        <f t="shared" si="1"/>
        <v>300</v>
      </c>
      <c r="D23" s="147"/>
      <c r="E23" s="148">
        <v>300.0</v>
      </c>
      <c r="F23" s="149">
        <v>0.0</v>
      </c>
      <c r="G23" s="160">
        <f>IFERROR(__xludf.DUMMYFUNCTION("""COMPUTED_VALUE"""),2.3333333333333335)</f>
        <v>2.333333333</v>
      </c>
      <c r="H23" s="151">
        <v>0.0</v>
      </c>
      <c r="I23" s="159"/>
      <c r="J23" s="159"/>
      <c r="K23" s="154">
        <f>IFERROR(__xludf.DUMMYFUNCTION("""COMPUTED_VALUE"""),300.0)</f>
        <v>300</v>
      </c>
      <c r="M23" s="159"/>
      <c r="O23" s="157"/>
    </row>
    <row r="24">
      <c r="A24" s="144">
        <v>22.0</v>
      </c>
      <c r="B24" s="158" t="str">
        <f>IFERROR(__xludf.DUMMYFUNCTION("""COMPUTED_VALUE"""),"Mechanical Rigging Lv1")</f>
        <v>Mechanical Rigging Lv1</v>
      </c>
      <c r="C24" s="146">
        <f t="shared" si="1"/>
        <v>120</v>
      </c>
      <c r="D24" s="147"/>
      <c r="E24" s="148">
        <v>120.0</v>
      </c>
      <c r="F24" s="149">
        <v>0.0</v>
      </c>
      <c r="G24" s="160">
        <f>IFERROR(__xludf.DUMMYFUNCTION("""COMPUTED_VALUE"""),1.0769230769230769)</f>
        <v>1.076923077</v>
      </c>
      <c r="H24" s="151">
        <v>0.0</v>
      </c>
      <c r="I24" s="159"/>
      <c r="J24" s="159"/>
      <c r="K24" s="154">
        <f>IFERROR(__xludf.DUMMYFUNCTION("""COMPUTED_VALUE"""),120.0)</f>
        <v>120</v>
      </c>
      <c r="M24" s="159"/>
      <c r="O24" s="157"/>
    </row>
    <row r="25">
      <c r="A25" s="144">
        <v>23.0</v>
      </c>
      <c r="B25" s="158" t="str">
        <f>IFERROR(__xludf.DUMMYFUNCTION("""COMPUTED_VALUE"""),"Prefabs Making (Product Content/Hardsurface) (Unity) Lv1")</f>
        <v>Prefabs Making (Product Content/Hardsurface) (Unity) Lv1</v>
      </c>
      <c r="C25" s="146">
        <f t="shared" si="1"/>
        <v>600</v>
      </c>
      <c r="D25" s="147"/>
      <c r="E25" s="148">
        <v>600.0</v>
      </c>
      <c r="F25" s="149">
        <v>0.0</v>
      </c>
      <c r="G25" s="160">
        <f>IFERROR(__xludf.DUMMYFUNCTION("""COMPUTED_VALUE"""),0.1590909090909091)</f>
        <v>0.1590909091</v>
      </c>
      <c r="H25" s="151">
        <v>0.0</v>
      </c>
      <c r="I25" s="159"/>
      <c r="J25" s="159"/>
      <c r="K25" s="154">
        <f>IFERROR(__xludf.DUMMYFUNCTION("""COMPUTED_VALUE"""),600.0)</f>
        <v>600</v>
      </c>
      <c r="M25" s="159"/>
      <c r="O25" s="157"/>
    </row>
    <row r="26">
      <c r="A26" s="144">
        <v>24.0</v>
      </c>
      <c r="B26" s="158" t="str">
        <f>IFERROR(__xludf.DUMMYFUNCTION("""COMPUTED_VALUE"""),"QC Model 3D Hardsurface Lv1")</f>
        <v>QC Model 3D Hardsurface Lv1</v>
      </c>
      <c r="C26" s="146">
        <f t="shared" si="1"/>
        <v>600</v>
      </c>
      <c r="D26" s="147"/>
      <c r="E26" s="148">
        <v>600.0</v>
      </c>
      <c r="F26" s="149">
        <v>0.0</v>
      </c>
      <c r="G26" s="160">
        <f>IFERROR(__xludf.DUMMYFUNCTION("""COMPUTED_VALUE"""),0.25)</f>
        <v>0.25</v>
      </c>
      <c r="H26" s="151">
        <v>0.0</v>
      </c>
      <c r="I26" s="159"/>
      <c r="J26" s="159"/>
      <c r="K26" s="154">
        <f>IFERROR(__xludf.DUMMYFUNCTION("""COMPUTED_VALUE"""),600.0)</f>
        <v>600</v>
      </c>
      <c r="M26" s="159"/>
      <c r="O26" s="157"/>
    </row>
    <row r="27">
      <c r="A27" s="144">
        <v>25.0</v>
      </c>
      <c r="B27" s="158" t="str">
        <f>IFERROR(__xludf.DUMMYFUNCTION("""COMPUTED_VALUE"""),"QC Texture 3D Hardsurface Lv1")</f>
        <v>QC Texture 3D Hardsurface Lv1</v>
      </c>
      <c r="C27" s="146">
        <f t="shared" si="1"/>
        <v>600</v>
      </c>
      <c r="D27" s="147"/>
      <c r="E27" s="148">
        <v>600.0</v>
      </c>
      <c r="F27" s="149">
        <v>0.0</v>
      </c>
      <c r="G27" s="160">
        <f>IFERROR(__xludf.DUMMYFUNCTION("""COMPUTED_VALUE"""),0.25)</f>
        <v>0.25</v>
      </c>
      <c r="H27" s="151">
        <v>0.0</v>
      </c>
      <c r="I27" s="159"/>
      <c r="J27" s="159"/>
      <c r="K27" s="154">
        <f>IFERROR(__xludf.DUMMYFUNCTION("""COMPUTED_VALUE"""),600.0)</f>
        <v>600</v>
      </c>
      <c r="M27" s="159"/>
      <c r="O27" s="157"/>
    </row>
    <row r="28">
      <c r="A28" s="144">
        <v>26.0</v>
      </c>
      <c r="B28" s="158" t="str">
        <f>IFERROR(__xludf.DUMMYFUNCTION("""COMPUTED_VALUE"""),"QC Rigging 3D Mechanical Lv1")</f>
        <v>QC Rigging 3D Mechanical Lv1</v>
      </c>
      <c r="C28" s="146">
        <f t="shared" si="1"/>
        <v>0</v>
      </c>
      <c r="D28" s="147"/>
      <c r="E28" s="148">
        <v>0.0</v>
      </c>
      <c r="F28" s="149">
        <v>0.0</v>
      </c>
      <c r="G28" s="160">
        <f>IFERROR(__xludf.DUMMYFUNCTION("""COMPUTED_VALUE"""),0.25)</f>
        <v>0.25</v>
      </c>
      <c r="H28" s="151">
        <v>0.0</v>
      </c>
      <c r="I28" s="159"/>
      <c r="J28" s="159"/>
      <c r="K28" s="154">
        <f>IFERROR(__xludf.DUMMYFUNCTION("""COMPUTED_VALUE"""),0.0)</f>
        <v>0</v>
      </c>
      <c r="M28" s="159"/>
      <c r="O28" s="157"/>
    </row>
    <row r="29">
      <c r="A29" s="144">
        <v>27.0</v>
      </c>
      <c r="B29" s="158" t="str">
        <f>IFERROR(__xludf.DUMMYFUNCTION("""COMPUTED_VALUE"""),"QC Prefabs Product Content Hardsurface (Unity) Lv1")</f>
        <v>QC Prefabs Product Content Hardsurface (Unity) Lv1</v>
      </c>
      <c r="C29" s="146">
        <f t="shared" si="1"/>
        <v>600</v>
      </c>
      <c r="D29" s="147"/>
      <c r="E29" s="148">
        <v>600.0</v>
      </c>
      <c r="F29" s="149">
        <v>0.0</v>
      </c>
      <c r="G29" s="160">
        <f>IFERROR(__xludf.DUMMYFUNCTION("""COMPUTED_VALUE"""),0.25)</f>
        <v>0.25</v>
      </c>
      <c r="H29" s="151">
        <v>0.0</v>
      </c>
      <c r="I29" s="159"/>
      <c r="J29" s="159"/>
      <c r="K29" s="154">
        <f>IFERROR(__xludf.DUMMYFUNCTION("""COMPUTED_VALUE"""),600.0)</f>
        <v>600</v>
      </c>
      <c r="M29" s="159"/>
      <c r="O29" s="157"/>
    </row>
    <row r="30">
      <c r="A30" s="144">
        <v>28.0</v>
      </c>
      <c r="B30" s="158" t="str">
        <f>IFERROR(__xludf.DUMMYFUNCTION("""COMPUTED_VALUE"""),"Modelling Environment Lv1")</f>
        <v>Modelling Environment Lv1</v>
      </c>
      <c r="C30" s="146">
        <f t="shared" si="1"/>
        <v>50</v>
      </c>
      <c r="D30" s="147"/>
      <c r="E30" s="148">
        <v>50.0</v>
      </c>
      <c r="F30" s="149">
        <v>0.0</v>
      </c>
      <c r="G30" s="160">
        <f>IFERROR(__xludf.DUMMYFUNCTION("""COMPUTED_VALUE"""),1.2727272727272727)</f>
        <v>1.272727273</v>
      </c>
      <c r="H30" s="151">
        <v>0.0</v>
      </c>
      <c r="I30" s="159"/>
      <c r="J30" s="159"/>
      <c r="K30" s="154">
        <f>IFERROR(__xludf.DUMMYFUNCTION("""COMPUTED_VALUE"""),50.0)</f>
        <v>50</v>
      </c>
      <c r="M30" s="159"/>
      <c r="O30" s="157"/>
    </row>
    <row r="31">
      <c r="A31" s="144">
        <v>29.0</v>
      </c>
      <c r="B31" s="158" t="str">
        <f>IFERROR(__xludf.DUMMYFUNCTION("""COMPUTED_VALUE"""),"Texturing Environment Interior Lv1")</f>
        <v>Texturing Environment Interior Lv1</v>
      </c>
      <c r="C31" s="146">
        <f t="shared" si="1"/>
        <v>25</v>
      </c>
      <c r="D31" s="147"/>
      <c r="E31" s="148">
        <v>25.0</v>
      </c>
      <c r="F31" s="149">
        <v>0.0</v>
      </c>
      <c r="G31" s="160">
        <f>IFERROR(__xludf.DUMMYFUNCTION("""COMPUTED_VALUE"""),3.111111111111111)</f>
        <v>3.111111111</v>
      </c>
      <c r="H31" s="151">
        <v>0.0</v>
      </c>
      <c r="I31" s="159"/>
      <c r="J31" s="159"/>
      <c r="K31" s="154">
        <f>IFERROR(__xludf.DUMMYFUNCTION("""COMPUTED_VALUE"""),25.0)</f>
        <v>25</v>
      </c>
      <c r="M31" s="159"/>
      <c r="O31" s="157"/>
    </row>
    <row r="32">
      <c r="A32" s="144">
        <v>30.0</v>
      </c>
      <c r="B32" s="158" t="str">
        <f>IFERROR(__xludf.DUMMYFUNCTION("""COMPUTED_VALUE"""),"Texturing Environment Exterior Lv1")</f>
        <v>Texturing Environment Exterior Lv1</v>
      </c>
      <c r="C32" s="146">
        <f t="shared" si="1"/>
        <v>25</v>
      </c>
      <c r="D32" s="147"/>
      <c r="E32" s="148">
        <v>25.0</v>
      </c>
      <c r="F32" s="149">
        <v>0.0</v>
      </c>
      <c r="G32" s="160">
        <f>IFERROR(__xludf.DUMMYFUNCTION("""COMPUTED_VALUE"""),5.650224215246636)</f>
        <v>5.650224215</v>
      </c>
      <c r="H32" s="151">
        <v>0.0</v>
      </c>
      <c r="I32" s="159"/>
      <c r="J32" s="159"/>
      <c r="K32" s="154">
        <f>IFERROR(__xludf.DUMMYFUNCTION("""COMPUTED_VALUE"""),25.0)</f>
        <v>25</v>
      </c>
      <c r="M32" s="159"/>
      <c r="O32" s="157"/>
    </row>
    <row r="33">
      <c r="A33" s="144">
        <v>31.0</v>
      </c>
      <c r="B33" s="158" t="str">
        <f>IFERROR(__xludf.DUMMYFUNCTION("""COMPUTED_VALUE"""),"Environment 3D Assembly Lv1")</f>
        <v>Environment 3D Assembly Lv1</v>
      </c>
      <c r="C33" s="146">
        <f t="shared" si="1"/>
        <v>50</v>
      </c>
      <c r="D33" s="147"/>
      <c r="E33" s="148">
        <v>50.0</v>
      </c>
      <c r="F33" s="149">
        <v>0.0</v>
      </c>
      <c r="G33" s="160">
        <f>IFERROR(__xludf.DUMMYFUNCTION("""COMPUTED_VALUE"""),0.9545454545454546)</f>
        <v>0.9545454545</v>
      </c>
      <c r="H33" s="151">
        <v>0.0</v>
      </c>
      <c r="I33" s="159"/>
      <c r="J33" s="159"/>
      <c r="K33" s="154">
        <f>IFERROR(__xludf.DUMMYFUNCTION("""COMPUTED_VALUE"""),50.0)</f>
        <v>50</v>
      </c>
      <c r="M33" s="159"/>
      <c r="O33" s="157"/>
    </row>
    <row r="34">
      <c r="A34" s="144">
        <v>32.0</v>
      </c>
      <c r="B34" s="158" t="str">
        <f>IFERROR(__xludf.DUMMYFUNCTION("""COMPUTED_VALUE"""),"Prefabs Making (Environment) (Unity) Lv1")</f>
        <v>Prefabs Making (Environment) (Unity) Lv1</v>
      </c>
      <c r="C34" s="146">
        <f t="shared" si="1"/>
        <v>50</v>
      </c>
      <c r="D34" s="147"/>
      <c r="E34" s="148">
        <v>50.0</v>
      </c>
      <c r="F34" s="149">
        <v>0.0</v>
      </c>
      <c r="G34" s="160">
        <f>IFERROR(__xludf.DUMMYFUNCTION("""COMPUTED_VALUE"""),2.4)</f>
        <v>2.4</v>
      </c>
      <c r="H34" s="151">
        <v>0.0</v>
      </c>
      <c r="I34" s="159"/>
      <c r="J34" s="159"/>
      <c r="K34" s="154">
        <f>IFERROR(__xludf.DUMMYFUNCTION("""COMPUTED_VALUE"""),50.0)</f>
        <v>50</v>
      </c>
      <c r="M34" s="159"/>
      <c r="O34" s="157"/>
    </row>
    <row r="35">
      <c r="A35" s="144">
        <v>33.0</v>
      </c>
      <c r="B35" s="158" t="str">
        <f>IFERROR(__xludf.DUMMYFUNCTION("""COMPUTED_VALUE"""),"Assembly Material Decal (Environment) (Unity) Lv1")</f>
        <v>Assembly Material Decal (Environment) (Unity) Lv1</v>
      </c>
      <c r="C35" s="146">
        <f t="shared" si="1"/>
        <v>10</v>
      </c>
      <c r="D35" s="147"/>
      <c r="E35" s="148">
        <v>10.0</v>
      </c>
      <c r="F35" s="149">
        <v>0.0</v>
      </c>
      <c r="G35" s="160">
        <f>IFERROR(__xludf.DUMMYFUNCTION("""COMPUTED_VALUE"""),3.333333333333333)</f>
        <v>3.333333333</v>
      </c>
      <c r="H35" s="151">
        <v>0.0</v>
      </c>
      <c r="I35" s="159"/>
      <c r="J35" s="159"/>
      <c r="K35" s="154">
        <f>IFERROR(__xludf.DUMMYFUNCTION("""COMPUTED_VALUE"""),10.0)</f>
        <v>10</v>
      </c>
      <c r="M35" s="159"/>
      <c r="O35" s="157"/>
    </row>
    <row r="36">
      <c r="A36" s="144">
        <v>34.0</v>
      </c>
      <c r="B36" s="158" t="str">
        <f>IFERROR(__xludf.DUMMYFUNCTION("""COMPUTED_VALUE"""),"Assembly Modular (Environment) (Unity) Lv1")</f>
        <v>Assembly Modular (Environment) (Unity) Lv1</v>
      </c>
      <c r="C36" s="146">
        <f t="shared" si="1"/>
        <v>10</v>
      </c>
      <c r="D36" s="147"/>
      <c r="E36" s="148">
        <v>10.0</v>
      </c>
      <c r="F36" s="149">
        <v>0.0</v>
      </c>
      <c r="G36" s="160">
        <f>IFERROR(__xludf.DUMMYFUNCTION("""COMPUTED_VALUE"""),4.929577464788733)</f>
        <v>4.929577465</v>
      </c>
      <c r="H36" s="151">
        <v>0.0</v>
      </c>
      <c r="I36" s="159"/>
      <c r="J36" s="159"/>
      <c r="K36" s="154">
        <f>IFERROR(__xludf.DUMMYFUNCTION("""COMPUTED_VALUE"""),10.0)</f>
        <v>10</v>
      </c>
      <c r="M36" s="159"/>
      <c r="O36" s="157"/>
    </row>
    <row r="37">
      <c r="A37" s="144">
        <v>35.0</v>
      </c>
      <c r="B37" s="158" t="str">
        <f>IFERROR(__xludf.DUMMYFUNCTION("""COMPUTED_VALUE"""),"Prefabs Making (Lighting and Volumetric Setting) (Unity) Lv1")</f>
        <v>Prefabs Making (Lighting and Volumetric Setting) (Unity) Lv1</v>
      </c>
      <c r="C37" s="146">
        <f t="shared" si="1"/>
        <v>50</v>
      </c>
      <c r="D37" s="147"/>
      <c r="E37" s="148">
        <v>50.0</v>
      </c>
      <c r="F37" s="149">
        <v>0.0</v>
      </c>
      <c r="G37" s="160">
        <f>IFERROR(__xludf.DUMMYFUNCTION("""COMPUTED_VALUE"""),1.0)</f>
        <v>1</v>
      </c>
      <c r="H37" s="151">
        <v>0.0</v>
      </c>
      <c r="I37" s="159"/>
      <c r="J37" s="159"/>
      <c r="K37" s="154">
        <f>IFERROR(__xludf.DUMMYFUNCTION("""COMPUTED_VALUE"""),50.0)</f>
        <v>50</v>
      </c>
      <c r="M37" s="159"/>
      <c r="O37" s="157"/>
    </row>
    <row r="38">
      <c r="A38" s="144">
        <v>36.0</v>
      </c>
      <c r="B38" s="158" t="str">
        <f>IFERROR(__xludf.DUMMYFUNCTION("""COMPUTED_VALUE"""),"QC Model 3D Environment Lv1")</f>
        <v>QC Model 3D Environment Lv1</v>
      </c>
      <c r="C38" s="146">
        <f t="shared" si="1"/>
        <v>50</v>
      </c>
      <c r="D38" s="147"/>
      <c r="E38" s="148">
        <v>50.0</v>
      </c>
      <c r="F38" s="149">
        <v>0.0</v>
      </c>
      <c r="G38" s="160">
        <f>IFERROR(__xludf.DUMMYFUNCTION("""COMPUTED_VALUE"""),0.5)</f>
        <v>0.5</v>
      </c>
      <c r="H38" s="151">
        <v>0.0</v>
      </c>
      <c r="I38" s="159"/>
      <c r="J38" s="159"/>
      <c r="K38" s="154">
        <f>IFERROR(__xludf.DUMMYFUNCTION("""COMPUTED_VALUE"""),50.0)</f>
        <v>50</v>
      </c>
      <c r="M38" s="159"/>
      <c r="O38" s="157"/>
    </row>
    <row r="39">
      <c r="A39" s="144">
        <v>37.0</v>
      </c>
      <c r="B39" s="158" t="str">
        <f>IFERROR(__xludf.DUMMYFUNCTION("""COMPUTED_VALUE"""),"QC Texture 3D Environment Lv1")</f>
        <v>QC Texture 3D Environment Lv1</v>
      </c>
      <c r="C39" s="146">
        <f t="shared" si="1"/>
        <v>50</v>
      </c>
      <c r="D39" s="147"/>
      <c r="E39" s="148">
        <v>50.0</v>
      </c>
      <c r="F39" s="149">
        <v>0.0</v>
      </c>
      <c r="G39" s="160">
        <f>IFERROR(__xludf.DUMMYFUNCTION("""COMPUTED_VALUE"""),0.5)</f>
        <v>0.5</v>
      </c>
      <c r="H39" s="151">
        <v>0.0</v>
      </c>
      <c r="I39" s="159"/>
      <c r="J39" s="159"/>
      <c r="K39" s="154">
        <f>IFERROR(__xludf.DUMMYFUNCTION("""COMPUTED_VALUE"""),50.0)</f>
        <v>50</v>
      </c>
      <c r="M39" s="159"/>
      <c r="O39" s="157"/>
    </row>
    <row r="40">
      <c r="A40" s="144">
        <v>38.0</v>
      </c>
      <c r="B40" s="158" t="str">
        <f>IFERROR(__xludf.DUMMYFUNCTION("""COMPUTED_VALUE"""),"QC Assembly 3D Environment Lv1")</f>
        <v>QC Assembly 3D Environment Lv1</v>
      </c>
      <c r="C40" s="146">
        <f t="shared" si="1"/>
        <v>50</v>
      </c>
      <c r="D40" s="147"/>
      <c r="E40" s="148">
        <v>50.0</v>
      </c>
      <c r="F40" s="149">
        <v>0.0</v>
      </c>
      <c r="G40" s="160">
        <f>IFERROR(__xludf.DUMMYFUNCTION("""COMPUTED_VALUE"""),0.5)</f>
        <v>0.5</v>
      </c>
      <c r="H40" s="151">
        <v>0.0</v>
      </c>
      <c r="I40" s="159"/>
      <c r="J40" s="159"/>
      <c r="K40" s="154">
        <f>IFERROR(__xludf.DUMMYFUNCTION("""COMPUTED_VALUE"""),50.0)</f>
        <v>50</v>
      </c>
      <c r="M40" s="159"/>
      <c r="O40" s="157"/>
    </row>
    <row r="41">
      <c r="A41" s="144">
        <v>39.0</v>
      </c>
      <c r="B41" s="158" t="str">
        <f>IFERROR(__xludf.DUMMYFUNCTION("""COMPUTED_VALUE"""),"QC Prefabs Environment (Unity) Lv1")</f>
        <v>QC Prefabs Environment (Unity) Lv1</v>
      </c>
      <c r="C41" s="146">
        <f t="shared" si="1"/>
        <v>650</v>
      </c>
      <c r="D41" s="147"/>
      <c r="E41" s="148">
        <v>650.0</v>
      </c>
      <c r="F41" s="149">
        <v>0.0</v>
      </c>
      <c r="G41" s="160">
        <f>IFERROR(__xludf.DUMMYFUNCTION("""COMPUTED_VALUE"""),0.5)</f>
        <v>0.5</v>
      </c>
      <c r="H41" s="151">
        <v>0.0</v>
      </c>
      <c r="I41" s="159"/>
      <c r="J41" s="159"/>
      <c r="K41" s="154">
        <f>IFERROR(__xludf.DUMMYFUNCTION("""COMPUTED_VALUE"""),650.0)</f>
        <v>650</v>
      </c>
      <c r="M41" s="159"/>
      <c r="O41" s="157"/>
    </row>
    <row r="42">
      <c r="A42" s="144">
        <v>40.0</v>
      </c>
      <c r="B42" s="158" t="str">
        <f>IFERROR(__xludf.DUMMYFUNCTION("""COMPUTED_VALUE"""),"QC Prefabs Environment Lighting (Unity) Lv1")</f>
        <v>QC Prefabs Environment Lighting (Unity) Lv1</v>
      </c>
      <c r="C42" s="146">
        <f t="shared" si="1"/>
        <v>650</v>
      </c>
      <c r="D42" s="147"/>
      <c r="E42" s="148">
        <v>650.0</v>
      </c>
      <c r="F42" s="149">
        <v>0.0</v>
      </c>
      <c r="G42" s="160">
        <f>IFERROR(__xludf.DUMMYFUNCTION("""COMPUTED_VALUE"""),0.5)</f>
        <v>0.5</v>
      </c>
      <c r="H42" s="151">
        <v>0.0</v>
      </c>
      <c r="I42" s="159"/>
      <c r="J42" s="159"/>
      <c r="K42" s="154">
        <f>IFERROR(__xludf.DUMMYFUNCTION("""COMPUTED_VALUE"""),650.0)</f>
        <v>650</v>
      </c>
      <c r="M42" s="159"/>
      <c r="O42" s="157"/>
    </row>
    <row r="43">
      <c r="A43" s="144">
        <v>41.0</v>
      </c>
      <c r="B43" s="158" t="str">
        <f>IFERROR(__xludf.DUMMYFUNCTION("""COMPUTED_VALUE"""),"Assembly Scene (Unity) Lv1")</f>
        <v>Assembly Scene (Unity) Lv1</v>
      </c>
      <c r="C43" s="146">
        <f t="shared" si="1"/>
        <v>325</v>
      </c>
      <c r="D43" s="147"/>
      <c r="E43" s="148">
        <v>325.0</v>
      </c>
      <c r="F43" s="149">
        <v>0.0</v>
      </c>
      <c r="G43" s="160">
        <f>IFERROR(__xludf.DUMMYFUNCTION("""COMPUTED_VALUE"""),0.267515923566879)</f>
        <v>0.2675159236</v>
      </c>
      <c r="H43" s="151">
        <v>0.0</v>
      </c>
      <c r="I43" s="159"/>
      <c r="J43" s="159"/>
      <c r="K43" s="154">
        <f>IFERROR(__xludf.DUMMYFUNCTION("""COMPUTED_VALUE"""),325.0)</f>
        <v>325</v>
      </c>
      <c r="M43" s="159"/>
      <c r="O43" s="157"/>
    </row>
    <row r="44">
      <c r="A44" s="144">
        <v>42.0</v>
      </c>
      <c r="B44" s="158" t="str">
        <f>IFERROR(__xludf.DUMMYFUNCTION("""COMPUTED_VALUE"""),"Assembly Scene (Unity) Lv2")</f>
        <v>Assembly Scene (Unity) Lv2</v>
      </c>
      <c r="C44" s="146">
        <f t="shared" si="1"/>
        <v>325</v>
      </c>
      <c r="D44" s="147"/>
      <c r="E44" s="148">
        <v>325.0</v>
      </c>
      <c r="F44" s="149">
        <v>0.0</v>
      </c>
      <c r="G44" s="160">
        <f>IFERROR(__xludf.DUMMYFUNCTION("""COMPUTED_VALUE"""),0.5060240963855421)</f>
        <v>0.5060240964</v>
      </c>
      <c r="H44" s="151">
        <v>0.0</v>
      </c>
      <c r="I44" s="159"/>
      <c r="J44" s="159"/>
      <c r="K44" s="154">
        <f>IFERROR(__xludf.DUMMYFUNCTION("""COMPUTED_VALUE"""),325.0)</f>
        <v>325</v>
      </c>
      <c r="M44" s="159"/>
      <c r="O44" s="157"/>
    </row>
    <row r="45">
      <c r="A45" s="144">
        <v>43.0</v>
      </c>
      <c r="B45" s="158" t="str">
        <f>IFERROR(__xludf.DUMMYFUNCTION("""COMPUTED_VALUE"""),"Modelling Character on CC Lv1")</f>
        <v>Modelling Character on CC Lv1</v>
      </c>
      <c r="C45" s="146">
        <f t="shared" si="1"/>
        <v>100</v>
      </c>
      <c r="D45" s="147"/>
      <c r="E45" s="148">
        <v>100.0</v>
      </c>
      <c r="F45" s="149">
        <v>0.0</v>
      </c>
      <c r="G45" s="160">
        <f>IFERROR(__xludf.DUMMYFUNCTION("""COMPUTED_VALUE"""),0.2781456953642384)</f>
        <v>0.2781456954</v>
      </c>
      <c r="H45" s="151">
        <v>0.0</v>
      </c>
      <c r="I45" s="159"/>
      <c r="J45" s="159"/>
      <c r="K45" s="154">
        <f>IFERROR(__xludf.DUMMYFUNCTION("""COMPUTED_VALUE"""),100.0)</f>
        <v>100</v>
      </c>
      <c r="M45" s="159"/>
      <c r="O45" s="157"/>
    </row>
    <row r="46">
      <c r="A46" s="144">
        <v>44.0</v>
      </c>
      <c r="B46" s="158" t="str">
        <f>IFERROR(__xludf.DUMMYFUNCTION("""COMPUTED_VALUE"""),"Texturing Character's Skin and Hair Lv1")</f>
        <v>Texturing Character's Skin and Hair Lv1</v>
      </c>
      <c r="C46" s="146">
        <f t="shared" si="1"/>
        <v>100</v>
      </c>
      <c r="D46" s="147"/>
      <c r="E46" s="148">
        <v>100.0</v>
      </c>
      <c r="F46" s="149">
        <v>0.0</v>
      </c>
      <c r="G46" s="160">
        <f>IFERROR(__xludf.DUMMYFUNCTION("""COMPUTED_VALUE"""),1.9534883720930232)</f>
        <v>1.953488372</v>
      </c>
      <c r="H46" s="151">
        <v>0.0</v>
      </c>
      <c r="I46" s="159"/>
      <c r="J46" s="159"/>
      <c r="K46" s="154">
        <f>IFERROR(__xludf.DUMMYFUNCTION("""COMPUTED_VALUE"""),100.0)</f>
        <v>100</v>
      </c>
      <c r="M46" s="159"/>
      <c r="O46" s="157"/>
    </row>
    <row r="47">
      <c r="A47" s="144">
        <v>45.0</v>
      </c>
      <c r="B47" s="158" t="str">
        <f>IFERROR(__xludf.DUMMYFUNCTION("""COMPUTED_VALUE"""),"Texturing Clothe''s Skin Lv1")</f>
        <v>Texturing Clothe''s Skin Lv1</v>
      </c>
      <c r="C47" s="146">
        <f t="shared" si="1"/>
        <v>100</v>
      </c>
      <c r="D47" s="147"/>
      <c r="E47" s="148">
        <v>100.0</v>
      </c>
      <c r="F47" s="149">
        <v>0.0</v>
      </c>
      <c r="G47" s="160">
        <f>IFERROR(__xludf.DUMMYFUNCTION("""COMPUTED_VALUE"""),0.9545454545454546)</f>
        <v>0.9545454545</v>
      </c>
      <c r="H47" s="151">
        <v>0.0</v>
      </c>
      <c r="I47" s="159"/>
      <c r="J47" s="159"/>
      <c r="K47" s="154">
        <f>IFERROR(__xludf.DUMMYFUNCTION("""COMPUTED_VALUE"""),100.0)</f>
        <v>100</v>
      </c>
      <c r="M47" s="159"/>
      <c r="O47" s="157"/>
    </row>
    <row r="48">
      <c r="A48" s="144">
        <v>46.0</v>
      </c>
      <c r="B48" s="158" t="str">
        <f>IFERROR(__xludf.DUMMYFUNCTION("""COMPUTED_VALUE"""),"Character 3D Cloth Assembly Lv1")</f>
        <v>Character 3D Cloth Assembly Lv1</v>
      </c>
      <c r="C48" s="146">
        <f t="shared" si="1"/>
        <v>100</v>
      </c>
      <c r="D48" s="147"/>
      <c r="E48" s="148">
        <v>100.0</v>
      </c>
      <c r="F48" s="149">
        <v>0.0</v>
      </c>
      <c r="G48" s="160">
        <f>IFERROR(__xludf.DUMMYFUNCTION("""COMPUTED_VALUE"""),0.1590909090909091)</f>
        <v>0.1590909091</v>
      </c>
      <c r="H48" s="151">
        <v>0.0</v>
      </c>
      <c r="I48" s="159"/>
      <c r="J48" s="159"/>
      <c r="K48" s="154">
        <f>IFERROR(__xludf.DUMMYFUNCTION("""COMPUTED_VALUE"""),100.0)</f>
        <v>100</v>
      </c>
      <c r="M48" s="159"/>
      <c r="O48" s="157"/>
    </row>
    <row r="49">
      <c r="A49" s="144">
        <v>47.0</v>
      </c>
      <c r="B49" s="158" t="str">
        <f>IFERROR(__xludf.DUMMYFUNCTION("""COMPUTED_VALUE"""),"Character Rigging Lv1")</f>
        <v>Character Rigging Lv1</v>
      </c>
      <c r="C49" s="146">
        <f t="shared" si="1"/>
        <v>100</v>
      </c>
      <c r="D49" s="147"/>
      <c r="E49" s="148">
        <v>100.0</v>
      </c>
      <c r="F49" s="149">
        <v>0.0</v>
      </c>
      <c r="G49" s="160">
        <f>IFERROR(__xludf.DUMMYFUNCTION("""COMPUTED_VALUE"""),1.7872340425531916)</f>
        <v>1.787234043</v>
      </c>
      <c r="H49" s="151">
        <v>0.0</v>
      </c>
      <c r="I49" s="159"/>
      <c r="J49" s="159"/>
      <c r="K49" s="154">
        <f>IFERROR(__xludf.DUMMYFUNCTION("""COMPUTED_VALUE"""),100.0)</f>
        <v>100</v>
      </c>
      <c r="M49" s="159"/>
      <c r="O49" s="157"/>
    </row>
    <row r="50">
      <c r="A50" s="144">
        <v>48.0</v>
      </c>
      <c r="B50" s="158" t="str">
        <f>IFERROR(__xludf.DUMMYFUNCTION("""COMPUTED_VALUE"""),"Character Cut and Weightpaint Lv1")</f>
        <v>Character Cut and Weightpaint Lv1</v>
      </c>
      <c r="C50" s="146">
        <f t="shared" si="1"/>
        <v>100</v>
      </c>
      <c r="D50" s="147"/>
      <c r="E50" s="148">
        <v>100.0</v>
      </c>
      <c r="F50" s="149">
        <v>0.0</v>
      </c>
      <c r="G50" s="160">
        <f>IFERROR(__xludf.DUMMYFUNCTION("""COMPUTED_VALUE"""),0.6363636363636364)</f>
        <v>0.6363636364</v>
      </c>
      <c r="H50" s="151">
        <v>0.0</v>
      </c>
      <c r="I50" s="159"/>
      <c r="J50" s="159"/>
      <c r="K50" s="154">
        <f>IFERROR(__xludf.DUMMYFUNCTION("""COMPUTED_VALUE"""),100.0)</f>
        <v>100</v>
      </c>
      <c r="M50" s="159"/>
      <c r="O50" s="157"/>
    </row>
    <row r="51">
      <c r="A51" s="144">
        <v>49.0</v>
      </c>
      <c r="B51" s="158" t="str">
        <f>IFERROR(__xludf.DUMMYFUNCTION("""COMPUTED_VALUE"""),"Prefabs Making (Character) (Unity) Lv1")</f>
        <v>Prefabs Making (Character) (Unity) Lv1</v>
      </c>
      <c r="C51" s="146">
        <f t="shared" si="1"/>
        <v>100</v>
      </c>
      <c r="D51" s="147"/>
      <c r="E51" s="148">
        <v>100.0</v>
      </c>
      <c r="F51" s="149">
        <v>0.0</v>
      </c>
      <c r="G51" s="160">
        <f>IFERROR(__xludf.DUMMYFUNCTION("""COMPUTED_VALUE"""),0.1590909090909091)</f>
        <v>0.1590909091</v>
      </c>
      <c r="H51" s="151">
        <v>0.0</v>
      </c>
      <c r="I51" s="159"/>
      <c r="J51" s="159"/>
      <c r="K51" s="154">
        <f>IFERROR(__xludf.DUMMYFUNCTION("""COMPUTED_VALUE"""),100.0)</f>
        <v>100</v>
      </c>
      <c r="M51" s="159"/>
      <c r="O51" s="157"/>
    </row>
    <row r="52">
      <c r="A52" s="144">
        <v>50.0</v>
      </c>
      <c r="B52" s="158" t="str">
        <f>IFERROR(__xludf.DUMMYFUNCTION("""COMPUTED_VALUE"""),"QC Model 3D Character Lv1")</f>
        <v>QC Model 3D Character Lv1</v>
      </c>
      <c r="C52" s="146">
        <f t="shared" si="1"/>
        <v>100</v>
      </c>
      <c r="D52" s="147"/>
      <c r="E52" s="148">
        <v>100.0</v>
      </c>
      <c r="F52" s="149">
        <v>0.0</v>
      </c>
      <c r="G52" s="160">
        <f>IFERROR(__xludf.DUMMYFUNCTION("""COMPUTED_VALUE"""),0.25)</f>
        <v>0.25</v>
      </c>
      <c r="H52" s="151">
        <v>0.0</v>
      </c>
      <c r="I52" s="159"/>
      <c r="J52" s="159"/>
      <c r="K52" s="154">
        <f>IFERROR(__xludf.DUMMYFUNCTION("""COMPUTED_VALUE"""),100.0)</f>
        <v>100</v>
      </c>
      <c r="M52" s="159"/>
      <c r="O52" s="157"/>
    </row>
    <row r="53">
      <c r="A53" s="144">
        <v>51.0</v>
      </c>
      <c r="B53" s="158" t="str">
        <f>IFERROR(__xludf.DUMMYFUNCTION("""COMPUTED_VALUE"""),"QC Texture 3D Character Lv1")</f>
        <v>QC Texture 3D Character Lv1</v>
      </c>
      <c r="C53" s="146">
        <f t="shared" si="1"/>
        <v>100</v>
      </c>
      <c r="D53" s="147"/>
      <c r="E53" s="148">
        <v>100.0</v>
      </c>
      <c r="F53" s="149">
        <v>0.0</v>
      </c>
      <c r="G53" s="160">
        <f>IFERROR(__xludf.DUMMYFUNCTION("""COMPUTED_VALUE"""),0.25)</f>
        <v>0.25</v>
      </c>
      <c r="H53" s="151">
        <v>0.0</v>
      </c>
      <c r="I53" s="159"/>
      <c r="J53" s="159"/>
      <c r="K53" s="154">
        <f>IFERROR(__xludf.DUMMYFUNCTION("""COMPUTED_VALUE"""),100.0)</f>
        <v>100</v>
      </c>
      <c r="M53" s="159"/>
      <c r="O53" s="157"/>
    </row>
    <row r="54">
      <c r="A54" s="144">
        <v>52.0</v>
      </c>
      <c r="B54" s="158" t="str">
        <f>IFERROR(__xludf.DUMMYFUNCTION("""COMPUTED_VALUE"""),"QC Rigging 3D Character Lv1")</f>
        <v>QC Rigging 3D Character Lv1</v>
      </c>
      <c r="C54" s="146">
        <f t="shared" si="1"/>
        <v>100</v>
      </c>
      <c r="D54" s="147"/>
      <c r="E54" s="148">
        <v>100.0</v>
      </c>
      <c r="F54" s="149">
        <v>0.0</v>
      </c>
      <c r="G54" s="160">
        <f>IFERROR(__xludf.DUMMYFUNCTION("""COMPUTED_VALUE"""),0.25)</f>
        <v>0.25</v>
      </c>
      <c r="H54" s="151">
        <v>0.0</v>
      </c>
      <c r="I54" s="159"/>
      <c r="J54" s="159"/>
      <c r="K54" s="154">
        <f>IFERROR(__xludf.DUMMYFUNCTION("""COMPUTED_VALUE"""),100.0)</f>
        <v>100</v>
      </c>
      <c r="M54" s="159"/>
      <c r="O54" s="157"/>
    </row>
    <row r="55">
      <c r="A55" s="144">
        <v>53.0</v>
      </c>
      <c r="B55" s="158" t="str">
        <f>IFERROR(__xludf.DUMMYFUNCTION("""COMPUTED_VALUE"""),"QC Prefabs Character (Unity) Lv1")</f>
        <v>QC Prefabs Character (Unity) Lv1</v>
      </c>
      <c r="C55" s="146">
        <f t="shared" si="1"/>
        <v>100</v>
      </c>
      <c r="D55" s="147"/>
      <c r="E55" s="148">
        <v>100.0</v>
      </c>
      <c r="F55" s="149">
        <v>0.0</v>
      </c>
      <c r="G55" s="160">
        <f>IFERROR(__xludf.DUMMYFUNCTION("""COMPUTED_VALUE"""),0.25)</f>
        <v>0.25</v>
      </c>
      <c r="H55" s="151">
        <v>0.0</v>
      </c>
      <c r="I55" s="159"/>
      <c r="J55" s="159"/>
      <c r="K55" s="154">
        <f>IFERROR(__xludf.DUMMYFUNCTION("""COMPUTED_VALUE"""),100.0)</f>
        <v>100</v>
      </c>
      <c r="M55" s="159"/>
      <c r="O55" s="157"/>
    </row>
    <row r="56">
      <c r="A56" s="144">
        <v>54.0</v>
      </c>
      <c r="B56" s="158" t="str">
        <f>IFERROR(__xludf.DUMMYFUNCTION("""COMPUTED_VALUE"""),"Character Animation Lv1")</f>
        <v>Character Animation Lv1</v>
      </c>
      <c r="C56" s="146">
        <f t="shared" si="1"/>
        <v>250</v>
      </c>
      <c r="D56" s="147"/>
      <c r="E56" s="148">
        <v>250.0</v>
      </c>
      <c r="F56" s="149">
        <v>0.0</v>
      </c>
      <c r="G56" s="160">
        <f>IFERROR(__xludf.DUMMYFUNCTION("""COMPUTED_VALUE"""),1.0)</f>
        <v>1</v>
      </c>
      <c r="H56" s="151">
        <v>0.0</v>
      </c>
      <c r="I56" s="159"/>
      <c r="J56" s="159"/>
      <c r="K56" s="154">
        <f>IFERROR(__xludf.DUMMYFUNCTION("""COMPUTED_VALUE"""),250.0)</f>
        <v>250</v>
      </c>
      <c r="M56" s="159"/>
      <c r="O56" s="157"/>
    </row>
    <row r="57">
      <c r="A57" s="144">
        <v>55.0</v>
      </c>
      <c r="B57" s="158" t="str">
        <f>IFERROR(__xludf.DUMMYFUNCTION("""COMPUTED_VALUE"""),"Mechanical Animation Lv1")</f>
        <v>Mechanical Animation Lv1</v>
      </c>
      <c r="C57" s="146">
        <f t="shared" si="1"/>
        <v>250</v>
      </c>
      <c r="D57" s="147"/>
      <c r="E57" s="148">
        <v>250.0</v>
      </c>
      <c r="F57" s="149">
        <v>0.0</v>
      </c>
      <c r="G57" s="160">
        <f>IFERROR(__xludf.DUMMYFUNCTION("""COMPUTED_VALUE"""),0.8235294117647058)</f>
        <v>0.8235294118</v>
      </c>
      <c r="H57" s="151">
        <v>0.0</v>
      </c>
      <c r="I57" s="159"/>
      <c r="J57" s="159"/>
      <c r="K57" s="154">
        <f>IFERROR(__xludf.DUMMYFUNCTION("""COMPUTED_VALUE"""),250.0)</f>
        <v>250</v>
      </c>
      <c r="M57" s="159"/>
      <c r="O57" s="157"/>
    </row>
    <row r="58">
      <c r="A58" s="144">
        <v>56.0</v>
      </c>
      <c r="B58" s="158" t="str">
        <f>IFERROR(__xludf.DUMMYFUNCTION("""COMPUTED_VALUE"""),"Stamp 3D Lv1 ")</f>
        <v>Stamp 3D Lv1 </v>
      </c>
      <c r="C58" s="146">
        <f t="shared" si="1"/>
        <v>600</v>
      </c>
      <c r="D58" s="147"/>
      <c r="E58" s="148">
        <v>600.0</v>
      </c>
      <c r="F58" s="149">
        <v>0.0</v>
      </c>
      <c r="G58" s="160">
        <f>IFERROR(__xludf.DUMMYFUNCTION("""COMPUTED_VALUE"""),0.7)</f>
        <v>0.7</v>
      </c>
      <c r="H58" s="151">
        <v>0.0</v>
      </c>
      <c r="I58" s="159"/>
      <c r="J58" s="159"/>
      <c r="K58" s="154">
        <f>IFERROR(__xludf.DUMMYFUNCTION("""COMPUTED_VALUE"""),600.0)</f>
        <v>600</v>
      </c>
      <c r="M58" s="159"/>
      <c r="O58" s="157"/>
    </row>
    <row r="59">
      <c r="A59" s="144">
        <v>57.0</v>
      </c>
      <c r="B59" s="158" t="str">
        <f>IFERROR(__xludf.DUMMYFUNCTION("""COMPUTED_VALUE"""),"Video Content Lv3")</f>
        <v>Video Content Lv3</v>
      </c>
      <c r="C59" s="171">
        <f t="shared" si="1"/>
        <v>1</v>
      </c>
      <c r="D59" s="167"/>
      <c r="E59" s="148">
        <v>1.0</v>
      </c>
      <c r="F59" s="149">
        <v>0.0</v>
      </c>
      <c r="G59" s="160">
        <f>IFERROR(__xludf.DUMMYFUNCTION("""COMPUTED_VALUE"""),9.333333333333334)</f>
        <v>9.333333333</v>
      </c>
      <c r="H59" s="151">
        <v>0.0</v>
      </c>
      <c r="I59" s="159"/>
      <c r="J59" s="159"/>
      <c r="K59" s="158">
        <f>IFERROR(__xludf.DUMMYFUNCTION("""COMPUTED_VALUE"""),1.0)</f>
        <v>1</v>
      </c>
      <c r="M59" s="159"/>
      <c r="O59" s="157"/>
    </row>
    <row r="60">
      <c r="A60" s="144">
        <v>58.0</v>
      </c>
      <c r="B60" s="158" t="str">
        <f>IFERROR(__xludf.DUMMYFUNCTION("""COMPUTED_VALUE"""),"UI Design Lv1")</f>
        <v>UI Design Lv1</v>
      </c>
      <c r="C60" s="171">
        <f t="shared" si="1"/>
        <v>10</v>
      </c>
      <c r="D60" s="167"/>
      <c r="E60" s="148">
        <v>10.0</v>
      </c>
      <c r="F60" s="149">
        <v>0.0</v>
      </c>
      <c r="G60" s="160">
        <f>IFERROR(__xludf.DUMMYFUNCTION("""COMPUTED_VALUE"""),1.5555555555555556)</f>
        <v>1.555555556</v>
      </c>
      <c r="H60" s="151">
        <v>0.0</v>
      </c>
      <c r="I60" s="159"/>
      <c r="J60" s="159"/>
      <c r="K60" s="158">
        <f>IFERROR(__xludf.DUMMYFUNCTION("""COMPUTED_VALUE"""),10.0)</f>
        <v>10</v>
      </c>
      <c r="M60" s="159"/>
      <c r="O60" s="157"/>
    </row>
    <row r="61">
      <c r="A61" s="144">
        <v>59.0</v>
      </c>
      <c r="B61" s="158" t="str">
        <f>IFERROR(__xludf.DUMMYFUNCTION("""COMPUTED_VALUE"""),"UI Design Lv2")</f>
        <v>UI Design Lv2</v>
      </c>
      <c r="C61" s="171">
        <f t="shared" si="1"/>
        <v>6</v>
      </c>
      <c r="D61" s="167"/>
      <c r="E61" s="148">
        <v>6.0</v>
      </c>
      <c r="F61" s="149">
        <v>0.0</v>
      </c>
      <c r="G61" s="160">
        <f>IFERROR(__xludf.DUMMYFUNCTION("""COMPUTED_VALUE"""),1.842105263157895)</f>
        <v>1.842105263</v>
      </c>
      <c r="H61" s="151">
        <v>0.0</v>
      </c>
      <c r="I61" s="159"/>
      <c r="J61" s="159"/>
      <c r="K61" s="158">
        <f>IFERROR(__xludf.DUMMYFUNCTION("""COMPUTED_VALUE"""),6.0)</f>
        <v>6</v>
      </c>
      <c r="M61" s="159"/>
      <c r="O61" s="157"/>
    </row>
    <row r="62">
      <c r="A62" s="144">
        <v>60.0</v>
      </c>
      <c r="B62" s="158" t="str">
        <f>IFERROR(__xludf.DUMMYFUNCTION("""COMPUTED_VALUE"""),"UI Design Lv3")</f>
        <v>UI Design Lv3</v>
      </c>
      <c r="C62" s="171">
        <f t="shared" si="1"/>
        <v>4</v>
      </c>
      <c r="D62" s="167"/>
      <c r="E62" s="148">
        <v>4.0</v>
      </c>
      <c r="F62" s="149">
        <v>0.0</v>
      </c>
      <c r="G62" s="160">
        <f>IFERROR(__xludf.DUMMYFUNCTION("""COMPUTED_VALUE"""),2.692307692307692)</f>
        <v>2.692307692</v>
      </c>
      <c r="H62" s="151">
        <v>0.0</v>
      </c>
      <c r="I62" s="159"/>
      <c r="J62" s="159"/>
      <c r="K62" s="158">
        <f>IFERROR(__xludf.DUMMYFUNCTION("""COMPUTED_VALUE"""),4.0)</f>
        <v>4</v>
      </c>
      <c r="M62" s="159"/>
      <c r="O62" s="157"/>
    </row>
    <row r="63">
      <c r="A63" s="144">
        <v>61.0</v>
      </c>
      <c r="B63" s="158" t="str">
        <f>IFERROR(__xludf.DUMMYFUNCTION("""COMPUTED_VALUE"""),"UI Figma Configuration Lv1")</f>
        <v>UI Figma Configuration Lv1</v>
      </c>
      <c r="C63" s="171">
        <f t="shared" si="1"/>
        <v>10</v>
      </c>
      <c r="D63" s="167"/>
      <c r="E63" s="148">
        <v>10.0</v>
      </c>
      <c r="F63" s="149">
        <v>0.0</v>
      </c>
      <c r="G63" s="160">
        <f>IFERROR(__xludf.DUMMYFUNCTION("""COMPUTED_VALUE"""),7.0)</f>
        <v>7</v>
      </c>
      <c r="H63" s="151">
        <v>0.0</v>
      </c>
      <c r="I63" s="159"/>
      <c r="J63" s="159"/>
      <c r="K63" s="158">
        <f>IFERROR(__xludf.DUMMYFUNCTION("""COMPUTED_VALUE"""),10.0)</f>
        <v>10</v>
      </c>
      <c r="M63" s="159"/>
      <c r="O63" s="157"/>
    </row>
    <row r="64">
      <c r="A64" s="144">
        <v>62.0</v>
      </c>
      <c r="B64" s="158" t="str">
        <f>IFERROR(__xludf.DUMMYFUNCTION("""COMPUTED_VALUE"""),"UI Figma Configuration Lv2")</f>
        <v>UI Figma Configuration Lv2</v>
      </c>
      <c r="C64" s="171">
        <f t="shared" si="1"/>
        <v>6</v>
      </c>
      <c r="D64" s="167"/>
      <c r="E64" s="148">
        <v>6.0</v>
      </c>
      <c r="F64" s="149">
        <v>0.0</v>
      </c>
      <c r="G64" s="160">
        <f>IFERROR(__xludf.DUMMYFUNCTION("""COMPUTED_VALUE"""),9.333333333333334)</f>
        <v>9.333333333</v>
      </c>
      <c r="H64" s="151">
        <v>0.0</v>
      </c>
      <c r="I64" s="159"/>
      <c r="J64" s="159"/>
      <c r="K64" s="158">
        <f>IFERROR(__xludf.DUMMYFUNCTION("""COMPUTED_VALUE"""),6.0)</f>
        <v>6</v>
      </c>
      <c r="M64" s="159"/>
      <c r="O64" s="157"/>
    </row>
    <row r="65">
      <c r="A65" s="144">
        <v>63.0</v>
      </c>
      <c r="B65" s="158" t="str">
        <f>IFERROR(__xludf.DUMMYFUNCTION("""COMPUTED_VALUE"""),"UI Figma Configuration Lv3")</f>
        <v>UI Figma Configuration Lv3</v>
      </c>
      <c r="C65" s="171">
        <f t="shared" si="1"/>
        <v>4</v>
      </c>
      <c r="D65" s="167"/>
      <c r="E65" s="148">
        <v>4.0</v>
      </c>
      <c r="F65" s="149">
        <v>0.0</v>
      </c>
      <c r="G65" s="160">
        <f>IFERROR(__xludf.DUMMYFUNCTION("""COMPUTED_VALUE"""),11.2)</f>
        <v>11.2</v>
      </c>
      <c r="H65" s="151">
        <v>0.0</v>
      </c>
      <c r="I65" s="159"/>
      <c r="J65" s="159"/>
      <c r="K65" s="158">
        <f>IFERROR(__xludf.DUMMYFUNCTION("""COMPUTED_VALUE"""),4.0)</f>
        <v>4</v>
      </c>
      <c r="M65" s="159"/>
      <c r="O65" s="157"/>
    </row>
    <row r="66">
      <c r="A66" s="144" t="s">
        <v>127</v>
      </c>
      <c r="B66" s="158"/>
      <c r="C66" s="171"/>
      <c r="D66" s="167"/>
      <c r="E66" s="148" t="s">
        <v>127</v>
      </c>
      <c r="F66" s="149" t="s">
        <v>127</v>
      </c>
      <c r="G66" s="160" t="str">
        <f>IFERROR(__xludf.DUMMYFUNCTION("""COMPUTED_VALUE"""),"")</f>
        <v/>
      </c>
      <c r="H66" s="151" t="s">
        <v>127</v>
      </c>
      <c r="I66" s="159"/>
      <c r="J66" s="159"/>
      <c r="K66" s="158"/>
      <c r="M66" s="159"/>
      <c r="O66" s="157"/>
    </row>
    <row r="67">
      <c r="A67" s="144" t="s">
        <v>127</v>
      </c>
      <c r="B67" s="158"/>
      <c r="C67" s="171"/>
      <c r="D67" s="167"/>
      <c r="E67" s="148" t="s">
        <v>127</v>
      </c>
      <c r="F67" s="149" t="s">
        <v>127</v>
      </c>
      <c r="G67" s="160" t="str">
        <f>IFERROR(__xludf.DUMMYFUNCTION("""COMPUTED_VALUE"""),"")</f>
        <v/>
      </c>
      <c r="H67" s="151" t="s">
        <v>127</v>
      </c>
      <c r="I67" s="159"/>
      <c r="J67" s="159"/>
      <c r="K67" s="158"/>
      <c r="M67" s="159"/>
      <c r="O67" s="157"/>
    </row>
    <row r="68">
      <c r="A68" s="144" t="s">
        <v>127</v>
      </c>
      <c r="B68" s="158"/>
      <c r="C68" s="171"/>
      <c r="D68" s="167"/>
      <c r="E68" s="148" t="s">
        <v>127</v>
      </c>
      <c r="F68" s="149" t="s">
        <v>127</v>
      </c>
      <c r="G68" s="160" t="str">
        <f>IFERROR(__xludf.DUMMYFUNCTION("""COMPUTED_VALUE"""),"")</f>
        <v/>
      </c>
      <c r="H68" s="151" t="s">
        <v>127</v>
      </c>
      <c r="I68" s="159"/>
      <c r="J68" s="159"/>
      <c r="K68" s="158"/>
      <c r="M68" s="159"/>
      <c r="O68" s="157"/>
    </row>
    <row r="69">
      <c r="A69" s="144" t="s">
        <v>127</v>
      </c>
      <c r="B69" s="158"/>
      <c r="C69" s="171"/>
      <c r="D69" s="167"/>
      <c r="E69" s="148" t="s">
        <v>127</v>
      </c>
      <c r="F69" s="149" t="s">
        <v>127</v>
      </c>
      <c r="G69" s="160" t="str">
        <f>IFERROR(__xludf.DUMMYFUNCTION("""COMPUTED_VALUE"""),"")</f>
        <v/>
      </c>
      <c r="H69" s="151" t="s">
        <v>127</v>
      </c>
      <c r="I69" s="159"/>
      <c r="J69" s="159"/>
      <c r="K69" s="158"/>
      <c r="M69" s="159"/>
      <c r="O69" s="157"/>
    </row>
    <row r="70">
      <c r="A70" s="144" t="s">
        <v>127</v>
      </c>
      <c r="B70" s="158"/>
      <c r="C70" s="171"/>
      <c r="D70" s="167"/>
      <c r="E70" s="148" t="s">
        <v>127</v>
      </c>
      <c r="F70" s="149" t="s">
        <v>127</v>
      </c>
      <c r="G70" s="160" t="str">
        <f>IFERROR(__xludf.DUMMYFUNCTION("""COMPUTED_VALUE"""),"")</f>
        <v/>
      </c>
      <c r="H70" s="151" t="s">
        <v>127</v>
      </c>
      <c r="I70" s="159"/>
      <c r="J70" s="159"/>
      <c r="K70" s="158"/>
      <c r="M70" s="159"/>
      <c r="O70" s="157"/>
    </row>
    <row r="71">
      <c r="A71" s="144" t="s">
        <v>127</v>
      </c>
      <c r="B71" s="158"/>
      <c r="C71" s="171"/>
      <c r="D71" s="167"/>
      <c r="E71" s="148" t="s">
        <v>127</v>
      </c>
      <c r="F71" s="149" t="s">
        <v>127</v>
      </c>
      <c r="G71" s="160" t="str">
        <f>IFERROR(__xludf.DUMMYFUNCTION("""COMPUTED_VALUE"""),"")</f>
        <v/>
      </c>
      <c r="H71" s="151" t="s">
        <v>127</v>
      </c>
      <c r="I71" s="159"/>
      <c r="J71" s="159"/>
      <c r="K71" s="158"/>
      <c r="M71" s="159"/>
      <c r="O71" s="157"/>
    </row>
    <row r="72">
      <c r="A72" s="144" t="s">
        <v>127</v>
      </c>
      <c r="B72" s="158"/>
      <c r="C72" s="171"/>
      <c r="D72" s="167"/>
      <c r="E72" s="148" t="s">
        <v>127</v>
      </c>
      <c r="F72" s="149" t="s">
        <v>127</v>
      </c>
      <c r="G72" s="160" t="str">
        <f>IFERROR(__xludf.DUMMYFUNCTION("""COMPUTED_VALUE"""),"")</f>
        <v/>
      </c>
      <c r="H72" s="151" t="s">
        <v>127</v>
      </c>
      <c r="I72" s="159"/>
      <c r="J72" s="159"/>
      <c r="K72" s="158"/>
      <c r="M72" s="159"/>
      <c r="O72" s="157"/>
    </row>
    <row r="73">
      <c r="A73" s="144" t="s">
        <v>127</v>
      </c>
      <c r="B73" s="158"/>
      <c r="C73" s="171"/>
      <c r="D73" s="167"/>
      <c r="E73" s="148" t="s">
        <v>127</v>
      </c>
      <c r="F73" s="149" t="s">
        <v>127</v>
      </c>
      <c r="G73" s="160" t="str">
        <f>IFERROR(__xludf.DUMMYFUNCTION("""COMPUTED_VALUE"""),"")</f>
        <v/>
      </c>
      <c r="H73" s="151" t="s">
        <v>127</v>
      </c>
      <c r="I73" s="159"/>
      <c r="J73" s="159"/>
      <c r="K73" s="158"/>
      <c r="M73" s="159"/>
      <c r="O73" s="157"/>
    </row>
    <row r="74">
      <c r="A74" s="144" t="s">
        <v>127</v>
      </c>
      <c r="B74" s="158"/>
      <c r="C74" s="171"/>
      <c r="D74" s="167"/>
      <c r="E74" s="148" t="s">
        <v>127</v>
      </c>
      <c r="F74" s="149" t="s">
        <v>127</v>
      </c>
      <c r="G74" s="160" t="str">
        <f>IFERROR(__xludf.DUMMYFUNCTION("""COMPUTED_VALUE"""),"")</f>
        <v/>
      </c>
      <c r="H74" s="151" t="s">
        <v>127</v>
      </c>
      <c r="I74" s="159"/>
      <c r="J74" s="159"/>
      <c r="K74" s="158"/>
      <c r="M74" s="159"/>
      <c r="O74" s="157"/>
    </row>
    <row r="75">
      <c r="A75" s="144" t="s">
        <v>127</v>
      </c>
      <c r="B75" s="158"/>
      <c r="C75" s="171"/>
      <c r="D75" s="167"/>
      <c r="E75" s="148" t="s">
        <v>127</v>
      </c>
      <c r="F75" s="149" t="s">
        <v>127</v>
      </c>
      <c r="G75" s="160" t="str">
        <f>IFERROR(__xludf.DUMMYFUNCTION("""COMPUTED_VALUE"""),"")</f>
        <v/>
      </c>
      <c r="H75" s="151" t="s">
        <v>127</v>
      </c>
      <c r="I75" s="159"/>
      <c r="J75" s="159"/>
      <c r="K75" s="158"/>
      <c r="M75" s="159"/>
      <c r="O75" s="157"/>
    </row>
    <row r="76">
      <c r="A76" s="144" t="s">
        <v>127</v>
      </c>
      <c r="B76" s="158"/>
      <c r="C76" s="171"/>
      <c r="D76" s="167"/>
      <c r="E76" s="148" t="s">
        <v>127</v>
      </c>
      <c r="F76" s="149" t="s">
        <v>127</v>
      </c>
      <c r="G76" s="160" t="str">
        <f>IFERROR(__xludf.DUMMYFUNCTION("""COMPUTED_VALUE"""),"")</f>
        <v/>
      </c>
      <c r="H76" s="151" t="s">
        <v>127</v>
      </c>
      <c r="I76" s="159"/>
      <c r="J76" s="159"/>
      <c r="K76" s="158"/>
      <c r="M76" s="159"/>
      <c r="O76" s="157"/>
    </row>
    <row r="77">
      <c r="A77" s="144" t="s">
        <v>127</v>
      </c>
      <c r="B77" s="158"/>
      <c r="C77" s="171"/>
      <c r="D77" s="167"/>
      <c r="E77" s="148" t="s">
        <v>127</v>
      </c>
      <c r="F77" s="149" t="s">
        <v>127</v>
      </c>
      <c r="G77" s="160" t="str">
        <f>IFERROR(__xludf.DUMMYFUNCTION("""COMPUTED_VALUE"""),"")</f>
        <v/>
      </c>
      <c r="H77" s="151" t="s">
        <v>127</v>
      </c>
      <c r="I77" s="159"/>
      <c r="J77" s="159"/>
      <c r="K77" s="158"/>
      <c r="M77" s="159"/>
      <c r="O77" s="157"/>
    </row>
    <row r="78">
      <c r="A78" s="144" t="s">
        <v>127</v>
      </c>
      <c r="B78" s="158"/>
      <c r="C78" s="171"/>
      <c r="D78" s="167"/>
      <c r="E78" s="148" t="s">
        <v>127</v>
      </c>
      <c r="F78" s="149" t="s">
        <v>127</v>
      </c>
      <c r="G78" s="160" t="str">
        <f>IFERROR(__xludf.DUMMYFUNCTION("""COMPUTED_VALUE"""),"")</f>
        <v/>
      </c>
      <c r="H78" s="151" t="s">
        <v>127</v>
      </c>
      <c r="I78" s="159"/>
      <c r="J78" s="159"/>
      <c r="K78" s="158"/>
      <c r="M78" s="159"/>
      <c r="O78" s="157"/>
    </row>
    <row r="79">
      <c r="A79" s="144" t="s">
        <v>127</v>
      </c>
      <c r="B79" s="158"/>
      <c r="C79" s="171"/>
      <c r="D79" s="167"/>
      <c r="E79" s="148" t="s">
        <v>127</v>
      </c>
      <c r="F79" s="149" t="s">
        <v>127</v>
      </c>
      <c r="G79" s="160" t="str">
        <f>IFERROR(__xludf.DUMMYFUNCTION("""COMPUTED_VALUE"""),"")</f>
        <v/>
      </c>
      <c r="H79" s="151" t="s">
        <v>127</v>
      </c>
      <c r="I79" s="159"/>
      <c r="J79" s="159"/>
      <c r="K79" s="158"/>
      <c r="M79" s="159"/>
      <c r="O79" s="157"/>
    </row>
    <row r="80">
      <c r="A80" s="144" t="s">
        <v>127</v>
      </c>
      <c r="B80" s="158"/>
      <c r="C80" s="171"/>
      <c r="D80" s="167"/>
      <c r="E80" s="148" t="s">
        <v>127</v>
      </c>
      <c r="F80" s="149" t="s">
        <v>127</v>
      </c>
      <c r="G80" s="160" t="str">
        <f>IFERROR(__xludf.DUMMYFUNCTION("""COMPUTED_VALUE"""),"")</f>
        <v/>
      </c>
      <c r="H80" s="151" t="s">
        <v>127</v>
      </c>
      <c r="I80" s="159"/>
      <c r="J80" s="159"/>
      <c r="K80" s="158"/>
      <c r="M80" s="159"/>
      <c r="O80" s="157"/>
    </row>
    <row r="81">
      <c r="A81" s="144" t="s">
        <v>127</v>
      </c>
      <c r="B81" s="158"/>
      <c r="C81" s="171"/>
      <c r="D81" s="167"/>
      <c r="E81" s="148" t="s">
        <v>127</v>
      </c>
      <c r="F81" s="149" t="s">
        <v>127</v>
      </c>
      <c r="G81" s="160" t="str">
        <f>IFERROR(__xludf.DUMMYFUNCTION("""COMPUTED_VALUE"""),"")</f>
        <v/>
      </c>
      <c r="H81" s="151" t="s">
        <v>127</v>
      </c>
      <c r="I81" s="159"/>
      <c r="J81" s="159"/>
      <c r="K81" s="158"/>
      <c r="M81" s="159"/>
      <c r="O81" s="157"/>
    </row>
    <row r="82">
      <c r="A82" s="144" t="s">
        <v>127</v>
      </c>
      <c r="B82" s="158"/>
      <c r="C82" s="171"/>
      <c r="D82" s="167"/>
      <c r="E82" s="148" t="s">
        <v>127</v>
      </c>
      <c r="F82" s="149" t="s">
        <v>127</v>
      </c>
      <c r="G82" s="160" t="str">
        <f>IFERROR(__xludf.DUMMYFUNCTION("""COMPUTED_VALUE"""),"")</f>
        <v/>
      </c>
      <c r="H82" s="151" t="s">
        <v>127</v>
      </c>
      <c r="I82" s="159"/>
      <c r="J82" s="159"/>
      <c r="K82" s="158"/>
      <c r="M82" s="159"/>
      <c r="O82" s="157"/>
    </row>
    <row r="83">
      <c r="A83" s="144" t="s">
        <v>127</v>
      </c>
      <c r="B83" s="158"/>
      <c r="C83" s="171"/>
      <c r="D83" s="167"/>
      <c r="E83" s="148" t="s">
        <v>127</v>
      </c>
      <c r="F83" s="149" t="s">
        <v>127</v>
      </c>
      <c r="G83" s="160" t="str">
        <f>IFERROR(__xludf.DUMMYFUNCTION("""COMPUTED_VALUE"""),"")</f>
        <v/>
      </c>
      <c r="H83" s="151" t="s">
        <v>127</v>
      </c>
      <c r="I83" s="159"/>
      <c r="J83" s="159"/>
      <c r="K83" s="158"/>
      <c r="M83" s="159"/>
      <c r="O83" s="157"/>
    </row>
    <row r="84">
      <c r="A84" s="172" t="s">
        <v>127</v>
      </c>
      <c r="B84" s="159"/>
      <c r="C84" s="173"/>
      <c r="D84" s="174"/>
      <c r="E84" s="175" t="s">
        <v>127</v>
      </c>
      <c r="F84" s="176" t="s">
        <v>127</v>
      </c>
      <c r="G84" s="177" t="str">
        <f>IFERROR(__xludf.DUMMYFUNCTION("""COMPUTED_VALUE"""),"")</f>
        <v/>
      </c>
      <c r="H84" s="178" t="s">
        <v>127</v>
      </c>
      <c r="I84" s="159"/>
      <c r="J84" s="159"/>
      <c r="K84" s="159"/>
      <c r="M84" s="159"/>
      <c r="O84" s="157"/>
    </row>
    <row r="85">
      <c r="A85" s="172" t="s">
        <v>127</v>
      </c>
      <c r="B85" s="159"/>
      <c r="C85" s="173"/>
      <c r="D85" s="174"/>
      <c r="E85" s="175" t="s">
        <v>127</v>
      </c>
      <c r="F85" s="176" t="s">
        <v>127</v>
      </c>
      <c r="G85" s="177" t="str">
        <f>IFERROR(__xludf.DUMMYFUNCTION("""COMPUTED_VALUE"""),"")</f>
        <v/>
      </c>
      <c r="H85" s="178" t="s">
        <v>127</v>
      </c>
      <c r="I85" s="159"/>
      <c r="J85" s="159"/>
      <c r="K85" s="159"/>
      <c r="M85" s="159"/>
      <c r="O85" s="157"/>
    </row>
    <row r="86">
      <c r="A86" s="172" t="s">
        <v>127</v>
      </c>
      <c r="B86" s="159"/>
      <c r="C86" s="173"/>
      <c r="D86" s="174"/>
      <c r="E86" s="175" t="s">
        <v>127</v>
      </c>
      <c r="F86" s="176" t="s">
        <v>127</v>
      </c>
      <c r="G86" s="177" t="str">
        <f>IFERROR(__xludf.DUMMYFUNCTION("""COMPUTED_VALUE"""),"")</f>
        <v/>
      </c>
      <c r="H86" s="178" t="s">
        <v>127</v>
      </c>
      <c r="I86" s="159"/>
      <c r="J86" s="159"/>
      <c r="K86" s="159"/>
      <c r="M86" s="159"/>
      <c r="O86" s="157"/>
    </row>
    <row r="87">
      <c r="A87" s="172" t="s">
        <v>127</v>
      </c>
      <c r="B87" s="159"/>
      <c r="C87" s="173"/>
      <c r="D87" s="174"/>
      <c r="E87" s="175" t="s">
        <v>127</v>
      </c>
      <c r="F87" s="176" t="s">
        <v>127</v>
      </c>
      <c r="G87" s="177" t="str">
        <f>IFERROR(__xludf.DUMMYFUNCTION("""COMPUTED_VALUE"""),"")</f>
        <v/>
      </c>
      <c r="H87" s="178" t="s">
        <v>127</v>
      </c>
      <c r="I87" s="159"/>
      <c r="J87" s="159"/>
      <c r="K87" s="159"/>
      <c r="M87" s="159"/>
      <c r="O87" s="157"/>
    </row>
    <row r="88">
      <c r="A88" s="172" t="s">
        <v>127</v>
      </c>
      <c r="B88" s="159"/>
      <c r="C88" s="173"/>
      <c r="D88" s="174"/>
      <c r="E88" s="175" t="s">
        <v>127</v>
      </c>
      <c r="F88" s="176" t="s">
        <v>127</v>
      </c>
      <c r="G88" s="177" t="str">
        <f>IFERROR(__xludf.DUMMYFUNCTION("""COMPUTED_VALUE"""),"")</f>
        <v/>
      </c>
      <c r="H88" s="178" t="s">
        <v>127</v>
      </c>
      <c r="I88" s="159"/>
      <c r="J88" s="159"/>
      <c r="K88" s="159"/>
      <c r="M88" s="159"/>
      <c r="O88" s="157"/>
    </row>
    <row r="89">
      <c r="A89" s="172" t="s">
        <v>127</v>
      </c>
      <c r="B89" s="159"/>
      <c r="C89" s="173"/>
      <c r="D89" s="174"/>
      <c r="E89" s="175" t="s">
        <v>127</v>
      </c>
      <c r="F89" s="176" t="s">
        <v>127</v>
      </c>
      <c r="G89" s="177" t="str">
        <f>IFERROR(__xludf.DUMMYFUNCTION("""COMPUTED_VALUE"""),"")</f>
        <v/>
      </c>
      <c r="H89" s="178" t="s">
        <v>127</v>
      </c>
      <c r="I89" s="159"/>
      <c r="J89" s="159"/>
      <c r="K89" s="159"/>
      <c r="M89" s="159"/>
      <c r="O89" s="157"/>
    </row>
    <row r="90">
      <c r="A90" s="172" t="s">
        <v>127</v>
      </c>
      <c r="B90" s="159"/>
      <c r="C90" s="173"/>
      <c r="D90" s="174"/>
      <c r="E90" s="175" t="s">
        <v>127</v>
      </c>
      <c r="F90" s="176" t="s">
        <v>127</v>
      </c>
      <c r="G90" s="177" t="str">
        <f>IFERROR(__xludf.DUMMYFUNCTION("""COMPUTED_VALUE"""),"")</f>
        <v/>
      </c>
      <c r="H90" s="178" t="s">
        <v>127</v>
      </c>
      <c r="I90" s="159"/>
      <c r="J90" s="159"/>
      <c r="K90" s="159"/>
      <c r="M90" s="159"/>
      <c r="O90" s="157"/>
    </row>
    <row r="91">
      <c r="A91" s="172" t="s">
        <v>127</v>
      </c>
      <c r="B91" s="159"/>
      <c r="C91" s="173"/>
      <c r="D91" s="174"/>
      <c r="E91" s="175" t="s">
        <v>127</v>
      </c>
      <c r="F91" s="176" t="s">
        <v>127</v>
      </c>
      <c r="G91" s="177" t="str">
        <f>IFERROR(__xludf.DUMMYFUNCTION("""COMPUTED_VALUE"""),"")</f>
        <v/>
      </c>
      <c r="H91" s="178" t="s">
        <v>127</v>
      </c>
      <c r="I91" s="159"/>
      <c r="J91" s="159"/>
      <c r="K91" s="159"/>
      <c r="M91" s="159"/>
      <c r="O91" s="157"/>
    </row>
    <row r="92">
      <c r="A92" s="172" t="s">
        <v>127</v>
      </c>
      <c r="B92" s="159"/>
      <c r="C92" s="173"/>
      <c r="D92" s="174"/>
      <c r="E92" s="175" t="s">
        <v>127</v>
      </c>
      <c r="F92" s="176" t="s">
        <v>127</v>
      </c>
      <c r="G92" s="177" t="str">
        <f>IFERROR(__xludf.DUMMYFUNCTION("""COMPUTED_VALUE"""),"")</f>
        <v/>
      </c>
      <c r="H92" s="178" t="s">
        <v>127</v>
      </c>
      <c r="I92" s="159"/>
      <c r="J92" s="159"/>
      <c r="K92" s="159"/>
      <c r="M92" s="159"/>
      <c r="O92" s="157"/>
    </row>
    <row r="93">
      <c r="A93" s="172" t="s">
        <v>127</v>
      </c>
      <c r="B93" s="159"/>
      <c r="C93" s="173"/>
      <c r="D93" s="174"/>
      <c r="E93" s="175" t="s">
        <v>127</v>
      </c>
      <c r="F93" s="176" t="s">
        <v>127</v>
      </c>
      <c r="G93" s="177" t="str">
        <f>IFERROR(__xludf.DUMMYFUNCTION("""COMPUTED_VALUE"""),"")</f>
        <v/>
      </c>
      <c r="H93" s="178" t="s">
        <v>127</v>
      </c>
      <c r="I93" s="159"/>
      <c r="J93" s="159"/>
      <c r="K93" s="159"/>
      <c r="M93" s="159"/>
      <c r="O93" s="157"/>
    </row>
    <row r="94">
      <c r="A94" s="172" t="s">
        <v>127</v>
      </c>
      <c r="B94" s="159"/>
      <c r="C94" s="173"/>
      <c r="D94" s="174"/>
      <c r="E94" s="175" t="s">
        <v>127</v>
      </c>
      <c r="F94" s="176" t="s">
        <v>127</v>
      </c>
      <c r="G94" s="177" t="str">
        <f>IFERROR(__xludf.DUMMYFUNCTION("""COMPUTED_VALUE"""),"")</f>
        <v/>
      </c>
      <c r="H94" s="178" t="s">
        <v>127</v>
      </c>
      <c r="I94" s="159"/>
      <c r="J94" s="159"/>
      <c r="K94" s="159"/>
      <c r="M94" s="159"/>
      <c r="O94" s="157"/>
    </row>
    <row r="95">
      <c r="A95" s="172" t="s">
        <v>127</v>
      </c>
      <c r="B95" s="159"/>
      <c r="C95" s="173"/>
      <c r="D95" s="174"/>
      <c r="E95" s="175" t="s">
        <v>127</v>
      </c>
      <c r="F95" s="176" t="s">
        <v>127</v>
      </c>
      <c r="G95" s="177" t="str">
        <f>IFERROR(__xludf.DUMMYFUNCTION("""COMPUTED_VALUE"""),"")</f>
        <v/>
      </c>
      <c r="H95" s="178" t="s">
        <v>127</v>
      </c>
      <c r="I95" s="159"/>
      <c r="J95" s="159"/>
      <c r="K95" s="159"/>
      <c r="M95" s="159"/>
      <c r="O95" s="157"/>
    </row>
    <row r="96">
      <c r="A96" s="172" t="s">
        <v>127</v>
      </c>
      <c r="B96" s="159"/>
      <c r="C96" s="173"/>
      <c r="D96" s="174"/>
      <c r="E96" s="175" t="s">
        <v>127</v>
      </c>
      <c r="F96" s="176" t="s">
        <v>127</v>
      </c>
      <c r="G96" s="177" t="str">
        <f>IFERROR(__xludf.DUMMYFUNCTION("""COMPUTED_VALUE"""),"")</f>
        <v/>
      </c>
      <c r="H96" s="178" t="s">
        <v>127</v>
      </c>
      <c r="I96" s="159"/>
      <c r="J96" s="159"/>
      <c r="K96" s="159"/>
      <c r="M96" s="159"/>
      <c r="O96" s="157"/>
    </row>
    <row r="97">
      <c r="A97" s="172" t="s">
        <v>127</v>
      </c>
      <c r="B97" s="159"/>
      <c r="C97" s="173"/>
      <c r="D97" s="174"/>
      <c r="E97" s="175" t="s">
        <v>127</v>
      </c>
      <c r="F97" s="176" t="s">
        <v>127</v>
      </c>
      <c r="G97" s="177" t="str">
        <f>IFERROR(__xludf.DUMMYFUNCTION("""COMPUTED_VALUE"""),"")</f>
        <v/>
      </c>
      <c r="H97" s="178" t="s">
        <v>127</v>
      </c>
      <c r="I97" s="159"/>
      <c r="J97" s="159"/>
      <c r="K97" s="159"/>
      <c r="M97" s="159"/>
      <c r="O97" s="157"/>
    </row>
    <row r="98">
      <c r="A98" s="172" t="s">
        <v>127</v>
      </c>
      <c r="B98" s="159"/>
      <c r="C98" s="173"/>
      <c r="D98" s="174"/>
      <c r="E98" s="175" t="s">
        <v>127</v>
      </c>
      <c r="F98" s="176" t="s">
        <v>127</v>
      </c>
      <c r="G98" s="177" t="str">
        <f>IFERROR(__xludf.DUMMYFUNCTION("""COMPUTED_VALUE"""),"")</f>
        <v/>
      </c>
      <c r="H98" s="178" t="s">
        <v>127</v>
      </c>
      <c r="I98" s="159"/>
      <c r="J98" s="159"/>
      <c r="K98" s="159"/>
      <c r="M98" s="159"/>
      <c r="O98" s="157"/>
    </row>
    <row r="99">
      <c r="A99" s="172" t="s">
        <v>127</v>
      </c>
      <c r="B99" s="159"/>
      <c r="C99" s="173"/>
      <c r="D99" s="174"/>
      <c r="E99" s="175" t="s">
        <v>127</v>
      </c>
      <c r="F99" s="176" t="s">
        <v>127</v>
      </c>
      <c r="G99" s="177" t="str">
        <f>IFERROR(__xludf.DUMMYFUNCTION("""COMPUTED_VALUE"""),"")</f>
        <v/>
      </c>
      <c r="H99" s="178" t="s">
        <v>127</v>
      </c>
      <c r="I99" s="159"/>
      <c r="J99" s="159"/>
      <c r="K99" s="159"/>
      <c r="M99" s="159"/>
      <c r="O99" s="157"/>
    </row>
    <row r="100">
      <c r="A100" s="172" t="s">
        <v>127</v>
      </c>
      <c r="B100" s="159"/>
      <c r="C100" s="173"/>
      <c r="D100" s="174"/>
      <c r="E100" s="175" t="s">
        <v>127</v>
      </c>
      <c r="F100" s="176" t="s">
        <v>127</v>
      </c>
      <c r="G100" s="177" t="str">
        <f>IFERROR(__xludf.DUMMYFUNCTION("""COMPUTED_VALUE"""),"")</f>
        <v/>
      </c>
      <c r="H100" s="178" t="s">
        <v>127</v>
      </c>
      <c r="I100" s="159"/>
      <c r="J100" s="159"/>
      <c r="K100" s="159"/>
      <c r="M100" s="159"/>
      <c r="O100" s="157"/>
    </row>
    <row r="101">
      <c r="A101" s="172" t="s">
        <v>127</v>
      </c>
      <c r="B101" s="159"/>
      <c r="C101" s="173"/>
      <c r="D101" s="174"/>
      <c r="E101" s="175" t="s">
        <v>127</v>
      </c>
      <c r="F101" s="176" t="s">
        <v>127</v>
      </c>
      <c r="G101" s="177" t="str">
        <f>IFERROR(__xludf.DUMMYFUNCTION("""COMPUTED_VALUE"""),"")</f>
        <v/>
      </c>
      <c r="H101" s="178" t="s">
        <v>127</v>
      </c>
      <c r="I101" s="159"/>
      <c r="J101" s="159"/>
      <c r="K101" s="159"/>
      <c r="M101" s="159"/>
      <c r="O101" s="157"/>
    </row>
    <row r="102">
      <c r="A102" s="172" t="s">
        <v>127</v>
      </c>
      <c r="B102" s="159"/>
      <c r="C102" s="173"/>
      <c r="D102" s="174"/>
      <c r="E102" s="175" t="s">
        <v>127</v>
      </c>
      <c r="F102" s="176" t="s">
        <v>127</v>
      </c>
      <c r="G102" s="177" t="str">
        <f>IFERROR(__xludf.DUMMYFUNCTION("""COMPUTED_VALUE"""),"")</f>
        <v/>
      </c>
      <c r="H102" s="178" t="s">
        <v>127</v>
      </c>
      <c r="I102" s="159"/>
      <c r="J102" s="159"/>
      <c r="K102" s="159"/>
      <c r="M102" s="159"/>
      <c r="O102" s="157"/>
    </row>
    <row r="103">
      <c r="A103" s="172" t="s">
        <v>127</v>
      </c>
      <c r="B103" s="159"/>
      <c r="C103" s="173"/>
      <c r="D103" s="174"/>
      <c r="E103" s="175" t="s">
        <v>127</v>
      </c>
      <c r="F103" s="176" t="s">
        <v>127</v>
      </c>
      <c r="G103" s="177" t="str">
        <f>IFERROR(__xludf.DUMMYFUNCTION("""COMPUTED_VALUE"""),"")</f>
        <v/>
      </c>
      <c r="H103" s="178" t="s">
        <v>127</v>
      </c>
      <c r="I103" s="159"/>
      <c r="J103" s="159"/>
      <c r="K103" s="159"/>
      <c r="M103" s="159"/>
      <c r="O103" s="157"/>
    </row>
    <row r="104">
      <c r="A104" s="172" t="s">
        <v>127</v>
      </c>
      <c r="B104" s="159"/>
      <c r="C104" s="173"/>
      <c r="D104" s="174"/>
      <c r="E104" s="175" t="s">
        <v>127</v>
      </c>
      <c r="F104" s="176" t="s">
        <v>127</v>
      </c>
      <c r="G104" s="177" t="str">
        <f>IFERROR(__xludf.DUMMYFUNCTION("""COMPUTED_VALUE"""),"")</f>
        <v/>
      </c>
      <c r="H104" s="178" t="s">
        <v>127</v>
      </c>
      <c r="I104" s="159"/>
      <c r="J104" s="159"/>
      <c r="K104" s="159"/>
      <c r="M104" s="159"/>
      <c r="O104" s="157"/>
    </row>
    <row r="105">
      <c r="A105" s="172" t="s">
        <v>127</v>
      </c>
      <c r="B105" s="159"/>
      <c r="C105" s="173"/>
      <c r="D105" s="174"/>
      <c r="E105" s="175" t="s">
        <v>127</v>
      </c>
      <c r="F105" s="176" t="s">
        <v>127</v>
      </c>
      <c r="G105" s="177" t="str">
        <f>IFERROR(__xludf.DUMMYFUNCTION("""COMPUTED_VALUE"""),"")</f>
        <v/>
      </c>
      <c r="H105" s="178" t="s">
        <v>127</v>
      </c>
      <c r="I105" s="159"/>
      <c r="J105" s="159"/>
      <c r="K105" s="159"/>
      <c r="M105" s="159"/>
      <c r="O105" s="157"/>
    </row>
    <row r="106">
      <c r="A106" s="172" t="s">
        <v>127</v>
      </c>
      <c r="B106" s="159"/>
      <c r="C106" s="173"/>
      <c r="D106" s="174"/>
      <c r="E106" s="175" t="s">
        <v>127</v>
      </c>
      <c r="F106" s="176" t="s">
        <v>127</v>
      </c>
      <c r="G106" s="177" t="str">
        <f>IFERROR(__xludf.DUMMYFUNCTION("""COMPUTED_VALUE"""),"")</f>
        <v/>
      </c>
      <c r="H106" s="178" t="s">
        <v>127</v>
      </c>
      <c r="I106" s="159"/>
      <c r="J106" s="159"/>
      <c r="K106" s="159"/>
      <c r="M106" s="159"/>
      <c r="O106" s="157"/>
    </row>
    <row r="107">
      <c r="A107" s="172" t="s">
        <v>127</v>
      </c>
      <c r="B107" s="159"/>
      <c r="C107" s="173"/>
      <c r="D107" s="174"/>
      <c r="E107" s="175" t="s">
        <v>127</v>
      </c>
      <c r="F107" s="176" t="s">
        <v>127</v>
      </c>
      <c r="G107" s="177" t="str">
        <f>IFERROR(__xludf.DUMMYFUNCTION("""COMPUTED_VALUE"""),"")</f>
        <v/>
      </c>
      <c r="H107" s="178" t="s">
        <v>127</v>
      </c>
      <c r="I107" s="159"/>
      <c r="J107" s="159"/>
      <c r="K107" s="159"/>
      <c r="M107" s="159"/>
      <c r="O107" s="157"/>
    </row>
    <row r="108">
      <c r="A108" s="172" t="s">
        <v>127</v>
      </c>
      <c r="B108" s="159"/>
      <c r="C108" s="173"/>
      <c r="D108" s="174"/>
      <c r="E108" s="175" t="s">
        <v>127</v>
      </c>
      <c r="F108" s="176" t="s">
        <v>127</v>
      </c>
      <c r="G108" s="177" t="str">
        <f>IFERROR(__xludf.DUMMYFUNCTION("""COMPUTED_VALUE"""),"")</f>
        <v/>
      </c>
      <c r="H108" s="178" t="s">
        <v>127</v>
      </c>
      <c r="I108" s="159"/>
      <c r="J108" s="159"/>
      <c r="K108" s="159"/>
      <c r="M108" s="159"/>
      <c r="O108" s="157"/>
    </row>
    <row r="109">
      <c r="A109" s="172" t="s">
        <v>127</v>
      </c>
      <c r="B109" s="159"/>
      <c r="C109" s="173"/>
      <c r="D109" s="174"/>
      <c r="E109" s="175" t="s">
        <v>127</v>
      </c>
      <c r="F109" s="176" t="s">
        <v>127</v>
      </c>
      <c r="G109" s="177" t="str">
        <f>IFERROR(__xludf.DUMMYFUNCTION("""COMPUTED_VALUE"""),"")</f>
        <v/>
      </c>
      <c r="H109" s="178" t="s">
        <v>127</v>
      </c>
      <c r="I109" s="159"/>
      <c r="J109" s="159"/>
      <c r="K109" s="159"/>
      <c r="M109" s="159"/>
      <c r="O109" s="157"/>
    </row>
    <row r="110">
      <c r="A110" s="172" t="s">
        <v>127</v>
      </c>
      <c r="B110" s="159"/>
      <c r="C110" s="173"/>
      <c r="D110" s="174"/>
      <c r="E110" s="175" t="s">
        <v>127</v>
      </c>
      <c r="F110" s="176" t="s">
        <v>127</v>
      </c>
      <c r="G110" s="177" t="str">
        <f>IFERROR(__xludf.DUMMYFUNCTION("""COMPUTED_VALUE"""),"")</f>
        <v/>
      </c>
      <c r="H110" s="178" t="s">
        <v>127</v>
      </c>
      <c r="I110" s="159"/>
      <c r="J110" s="159"/>
      <c r="K110" s="159"/>
      <c r="M110" s="159"/>
      <c r="O110" s="157"/>
    </row>
    <row r="111">
      <c r="A111" s="172" t="s">
        <v>127</v>
      </c>
      <c r="B111" s="159"/>
      <c r="C111" s="173"/>
      <c r="D111" s="174"/>
      <c r="E111" s="175" t="s">
        <v>127</v>
      </c>
      <c r="F111" s="176" t="s">
        <v>127</v>
      </c>
      <c r="G111" s="177" t="str">
        <f>IFERROR(__xludf.DUMMYFUNCTION("""COMPUTED_VALUE"""),"")</f>
        <v/>
      </c>
      <c r="H111" s="178" t="s">
        <v>127</v>
      </c>
      <c r="I111" s="159"/>
      <c r="J111" s="159"/>
      <c r="K111" s="159"/>
      <c r="M111" s="159"/>
      <c r="O111" s="157"/>
    </row>
    <row r="112">
      <c r="A112" s="172" t="s">
        <v>127</v>
      </c>
      <c r="B112" s="159"/>
      <c r="C112" s="173"/>
      <c r="D112" s="174"/>
      <c r="E112" s="175" t="s">
        <v>127</v>
      </c>
      <c r="F112" s="176" t="s">
        <v>127</v>
      </c>
      <c r="G112" s="177" t="str">
        <f>IFERROR(__xludf.DUMMYFUNCTION("""COMPUTED_VALUE"""),"")</f>
        <v/>
      </c>
      <c r="H112" s="178" t="s">
        <v>127</v>
      </c>
      <c r="I112" s="159"/>
      <c r="J112" s="159"/>
      <c r="K112" s="159"/>
      <c r="M112" s="159"/>
      <c r="O112" s="157"/>
    </row>
    <row r="113">
      <c r="A113" s="172" t="s">
        <v>127</v>
      </c>
      <c r="B113" s="159"/>
      <c r="C113" s="173"/>
      <c r="D113" s="174"/>
      <c r="E113" s="175" t="s">
        <v>127</v>
      </c>
      <c r="F113" s="176" t="s">
        <v>127</v>
      </c>
      <c r="G113" s="177" t="str">
        <f>IFERROR(__xludf.DUMMYFUNCTION("""COMPUTED_VALUE"""),"")</f>
        <v/>
      </c>
      <c r="H113" s="178" t="s">
        <v>127</v>
      </c>
      <c r="I113" s="159"/>
      <c r="J113" s="159"/>
      <c r="K113" s="159"/>
      <c r="M113" s="159"/>
      <c r="O113" s="157"/>
    </row>
    <row r="114">
      <c r="A114" s="172" t="s">
        <v>127</v>
      </c>
      <c r="B114" s="159"/>
      <c r="C114" s="173"/>
      <c r="D114" s="174"/>
      <c r="E114" s="175" t="s">
        <v>127</v>
      </c>
      <c r="F114" s="176" t="s">
        <v>127</v>
      </c>
      <c r="G114" s="177" t="str">
        <f>IFERROR(__xludf.DUMMYFUNCTION("""COMPUTED_VALUE"""),"")</f>
        <v/>
      </c>
      <c r="H114" s="178" t="s">
        <v>127</v>
      </c>
      <c r="I114" s="159"/>
      <c r="J114" s="159"/>
      <c r="K114" s="159"/>
      <c r="M114" s="159"/>
      <c r="O114" s="157"/>
    </row>
    <row r="115">
      <c r="A115" s="172" t="s">
        <v>127</v>
      </c>
      <c r="B115" s="159"/>
      <c r="C115" s="173"/>
      <c r="D115" s="174"/>
      <c r="E115" s="175" t="s">
        <v>127</v>
      </c>
      <c r="F115" s="176" t="s">
        <v>127</v>
      </c>
      <c r="G115" s="177" t="str">
        <f>IFERROR(__xludf.DUMMYFUNCTION("""COMPUTED_VALUE"""),"")</f>
        <v/>
      </c>
      <c r="H115" s="178" t="s">
        <v>127</v>
      </c>
      <c r="I115" s="159"/>
      <c r="J115" s="159"/>
      <c r="K115" s="159"/>
      <c r="M115" s="159"/>
      <c r="O115" s="157"/>
    </row>
    <row r="116">
      <c r="A116" s="172" t="s">
        <v>127</v>
      </c>
      <c r="B116" s="159"/>
      <c r="C116" s="173"/>
      <c r="D116" s="174"/>
      <c r="E116" s="175" t="s">
        <v>127</v>
      </c>
      <c r="F116" s="176" t="s">
        <v>127</v>
      </c>
      <c r="G116" s="177" t="str">
        <f>IFERROR(__xludf.DUMMYFUNCTION("""COMPUTED_VALUE"""),"")</f>
        <v/>
      </c>
      <c r="H116" s="178" t="s">
        <v>127</v>
      </c>
      <c r="I116" s="159"/>
      <c r="J116" s="159"/>
      <c r="K116" s="159"/>
      <c r="M116" s="159"/>
      <c r="O116" s="157"/>
    </row>
    <row r="117">
      <c r="A117" s="172" t="s">
        <v>127</v>
      </c>
      <c r="B117" s="159"/>
      <c r="C117" s="173"/>
      <c r="D117" s="174"/>
      <c r="E117" s="175" t="s">
        <v>127</v>
      </c>
      <c r="F117" s="176" t="s">
        <v>127</v>
      </c>
      <c r="G117" s="177" t="str">
        <f>IFERROR(__xludf.DUMMYFUNCTION("""COMPUTED_VALUE"""),"")</f>
        <v/>
      </c>
      <c r="H117" s="178" t="s">
        <v>127</v>
      </c>
      <c r="I117" s="159"/>
      <c r="J117" s="159"/>
      <c r="K117" s="159"/>
      <c r="M117" s="159"/>
      <c r="O117" s="157"/>
    </row>
    <row r="118">
      <c r="A118" s="172" t="s">
        <v>127</v>
      </c>
      <c r="B118" s="159"/>
      <c r="C118" s="173"/>
      <c r="D118" s="174"/>
      <c r="E118" s="175" t="s">
        <v>127</v>
      </c>
      <c r="F118" s="176" t="s">
        <v>127</v>
      </c>
      <c r="G118" s="177" t="str">
        <f>IFERROR(__xludf.DUMMYFUNCTION("""COMPUTED_VALUE"""),"")</f>
        <v/>
      </c>
      <c r="H118" s="178" t="s">
        <v>127</v>
      </c>
      <c r="I118" s="159"/>
      <c r="J118" s="159"/>
      <c r="K118" s="159"/>
      <c r="M118" s="159"/>
      <c r="O118" s="157"/>
    </row>
    <row r="119">
      <c r="A119" s="172" t="s">
        <v>127</v>
      </c>
      <c r="B119" s="159"/>
      <c r="C119" s="173"/>
      <c r="D119" s="174"/>
      <c r="E119" s="175" t="s">
        <v>127</v>
      </c>
      <c r="F119" s="176" t="s">
        <v>127</v>
      </c>
      <c r="G119" s="177" t="str">
        <f>IFERROR(__xludf.DUMMYFUNCTION("""COMPUTED_VALUE"""),"")</f>
        <v/>
      </c>
      <c r="H119" s="178" t="s">
        <v>127</v>
      </c>
      <c r="I119" s="159"/>
      <c r="J119" s="159"/>
      <c r="K119" s="159"/>
      <c r="M119" s="159"/>
      <c r="O119" s="157"/>
    </row>
    <row r="120">
      <c r="A120" s="172" t="s">
        <v>127</v>
      </c>
      <c r="B120" s="159"/>
      <c r="C120" s="173"/>
      <c r="D120" s="174"/>
      <c r="E120" s="175" t="s">
        <v>127</v>
      </c>
      <c r="F120" s="176" t="s">
        <v>127</v>
      </c>
      <c r="G120" s="177" t="str">
        <f>IFERROR(__xludf.DUMMYFUNCTION("""COMPUTED_VALUE"""),"")</f>
        <v/>
      </c>
      <c r="H120" s="178" t="s">
        <v>127</v>
      </c>
      <c r="I120" s="159"/>
      <c r="J120" s="159"/>
      <c r="K120" s="159"/>
      <c r="M120" s="159"/>
      <c r="O120" s="157"/>
    </row>
    <row r="121">
      <c r="A121" s="172" t="s">
        <v>127</v>
      </c>
      <c r="B121" s="159"/>
      <c r="C121" s="173"/>
      <c r="D121" s="174"/>
      <c r="E121" s="175" t="s">
        <v>127</v>
      </c>
      <c r="F121" s="176" t="s">
        <v>127</v>
      </c>
      <c r="G121" s="177" t="str">
        <f>IFERROR(__xludf.DUMMYFUNCTION("""COMPUTED_VALUE"""),"")</f>
        <v/>
      </c>
      <c r="H121" s="178" t="s">
        <v>127</v>
      </c>
      <c r="I121" s="159"/>
      <c r="J121" s="159"/>
      <c r="K121" s="159"/>
      <c r="M121" s="159"/>
      <c r="O121" s="157"/>
    </row>
    <row r="122">
      <c r="A122" s="172" t="s">
        <v>127</v>
      </c>
      <c r="B122" s="159"/>
      <c r="C122" s="173"/>
      <c r="D122" s="174"/>
      <c r="E122" s="175" t="s">
        <v>127</v>
      </c>
      <c r="F122" s="176" t="s">
        <v>127</v>
      </c>
      <c r="G122" s="177" t="str">
        <f>IFERROR(__xludf.DUMMYFUNCTION("""COMPUTED_VALUE"""),"")</f>
        <v/>
      </c>
      <c r="H122" s="178" t="s">
        <v>127</v>
      </c>
      <c r="I122" s="159"/>
      <c r="J122" s="159"/>
      <c r="K122" s="159"/>
      <c r="M122" s="159"/>
      <c r="O122" s="157"/>
    </row>
    <row r="123">
      <c r="A123" s="172" t="s">
        <v>127</v>
      </c>
      <c r="B123" s="159"/>
      <c r="C123" s="173"/>
      <c r="D123" s="174"/>
      <c r="E123" s="175" t="s">
        <v>127</v>
      </c>
      <c r="F123" s="176" t="s">
        <v>127</v>
      </c>
      <c r="G123" s="177" t="str">
        <f>IFERROR(__xludf.DUMMYFUNCTION("""COMPUTED_VALUE"""),"")</f>
        <v/>
      </c>
      <c r="H123" s="178" t="s">
        <v>127</v>
      </c>
      <c r="I123" s="159"/>
      <c r="J123" s="159"/>
      <c r="K123" s="159"/>
      <c r="M123" s="159"/>
      <c r="O123" s="157"/>
    </row>
    <row r="124">
      <c r="A124" s="172" t="s">
        <v>127</v>
      </c>
      <c r="B124" s="159"/>
      <c r="C124" s="173"/>
      <c r="D124" s="174"/>
      <c r="E124" s="175" t="s">
        <v>127</v>
      </c>
      <c r="F124" s="176" t="s">
        <v>127</v>
      </c>
      <c r="G124" s="177" t="str">
        <f>IFERROR(__xludf.DUMMYFUNCTION("""COMPUTED_VALUE"""),"")</f>
        <v/>
      </c>
      <c r="H124" s="178" t="s">
        <v>127</v>
      </c>
      <c r="I124" s="159"/>
      <c r="J124" s="159"/>
      <c r="K124" s="159"/>
      <c r="M124" s="159"/>
      <c r="O124" s="157"/>
    </row>
    <row r="125">
      <c r="A125" s="172" t="s">
        <v>127</v>
      </c>
      <c r="B125" s="159"/>
      <c r="C125" s="173"/>
      <c r="D125" s="174"/>
      <c r="E125" s="175" t="s">
        <v>127</v>
      </c>
      <c r="F125" s="176" t="s">
        <v>127</v>
      </c>
      <c r="G125" s="177" t="str">
        <f>IFERROR(__xludf.DUMMYFUNCTION("""COMPUTED_VALUE"""),"")</f>
        <v/>
      </c>
      <c r="H125" s="178" t="s">
        <v>127</v>
      </c>
      <c r="I125" s="159"/>
      <c r="J125" s="159"/>
      <c r="K125" s="159"/>
      <c r="M125" s="159"/>
      <c r="O125" s="157"/>
    </row>
    <row r="126">
      <c r="A126" s="172" t="s">
        <v>127</v>
      </c>
      <c r="B126" s="159"/>
      <c r="C126" s="173"/>
      <c r="D126" s="174"/>
      <c r="E126" s="175" t="s">
        <v>127</v>
      </c>
      <c r="F126" s="176" t="s">
        <v>127</v>
      </c>
      <c r="G126" s="177" t="str">
        <f>IFERROR(__xludf.DUMMYFUNCTION("""COMPUTED_VALUE"""),"")</f>
        <v/>
      </c>
      <c r="H126" s="178" t="s">
        <v>127</v>
      </c>
      <c r="I126" s="159"/>
      <c r="J126" s="159"/>
      <c r="K126" s="159"/>
      <c r="M126" s="159"/>
      <c r="O126" s="157"/>
    </row>
    <row r="127">
      <c r="A127" s="172" t="s">
        <v>127</v>
      </c>
      <c r="B127" s="159"/>
      <c r="C127" s="173"/>
      <c r="D127" s="174"/>
      <c r="E127" s="175" t="s">
        <v>127</v>
      </c>
      <c r="F127" s="176" t="s">
        <v>127</v>
      </c>
      <c r="G127" s="177" t="str">
        <f>IFERROR(__xludf.DUMMYFUNCTION("""COMPUTED_VALUE"""),"")</f>
        <v/>
      </c>
      <c r="H127" s="178" t="s">
        <v>127</v>
      </c>
      <c r="I127" s="159"/>
      <c r="J127" s="159"/>
      <c r="K127" s="159"/>
      <c r="M127" s="159"/>
      <c r="O127" s="157"/>
    </row>
    <row r="128">
      <c r="A128" s="172" t="s">
        <v>127</v>
      </c>
      <c r="B128" s="159"/>
      <c r="C128" s="173"/>
      <c r="D128" s="174"/>
      <c r="E128" s="175" t="s">
        <v>127</v>
      </c>
      <c r="F128" s="176" t="s">
        <v>127</v>
      </c>
      <c r="G128" s="177" t="str">
        <f>IFERROR(__xludf.DUMMYFUNCTION("""COMPUTED_VALUE"""),"")</f>
        <v/>
      </c>
      <c r="H128" s="178" t="s">
        <v>127</v>
      </c>
      <c r="I128" s="159"/>
      <c r="J128" s="159"/>
      <c r="K128" s="159"/>
      <c r="M128" s="159"/>
      <c r="O128" s="157"/>
    </row>
    <row r="129">
      <c r="A129" s="172" t="s">
        <v>127</v>
      </c>
      <c r="B129" s="159"/>
      <c r="C129" s="173"/>
      <c r="D129" s="174"/>
      <c r="E129" s="175" t="s">
        <v>127</v>
      </c>
      <c r="F129" s="176" t="s">
        <v>127</v>
      </c>
      <c r="G129" s="177" t="str">
        <f>IFERROR(__xludf.DUMMYFUNCTION("""COMPUTED_VALUE"""),"")</f>
        <v/>
      </c>
      <c r="H129" s="178" t="s">
        <v>127</v>
      </c>
      <c r="I129" s="159"/>
      <c r="J129" s="159"/>
      <c r="K129" s="159"/>
      <c r="M129" s="159"/>
      <c r="O129" s="157"/>
    </row>
    <row r="130">
      <c r="A130" s="172" t="s">
        <v>127</v>
      </c>
      <c r="B130" s="159"/>
      <c r="C130" s="173"/>
      <c r="D130" s="174"/>
      <c r="E130" s="175" t="s">
        <v>127</v>
      </c>
      <c r="F130" s="176" t="s">
        <v>127</v>
      </c>
      <c r="G130" s="177" t="str">
        <f>IFERROR(__xludf.DUMMYFUNCTION("""COMPUTED_VALUE"""),"")</f>
        <v/>
      </c>
      <c r="H130" s="178" t="s">
        <v>127</v>
      </c>
      <c r="I130" s="159"/>
      <c r="J130" s="159"/>
      <c r="K130" s="159"/>
      <c r="M130" s="159"/>
      <c r="O130" s="157"/>
    </row>
    <row r="131">
      <c r="A131" s="172" t="s">
        <v>127</v>
      </c>
      <c r="B131" s="159"/>
      <c r="C131" s="173"/>
      <c r="D131" s="174"/>
      <c r="E131" s="175" t="s">
        <v>127</v>
      </c>
      <c r="F131" s="176" t="s">
        <v>127</v>
      </c>
      <c r="G131" s="177" t="str">
        <f>IFERROR(__xludf.DUMMYFUNCTION("""COMPUTED_VALUE"""),"")</f>
        <v/>
      </c>
      <c r="H131" s="178" t="s">
        <v>127</v>
      </c>
      <c r="I131" s="159"/>
      <c r="J131" s="159"/>
      <c r="K131" s="159"/>
      <c r="M131" s="159"/>
      <c r="O131" s="157"/>
    </row>
    <row r="132">
      <c r="A132" s="172" t="s">
        <v>127</v>
      </c>
      <c r="B132" s="159"/>
      <c r="C132" s="173"/>
      <c r="D132" s="174"/>
      <c r="E132" s="175" t="s">
        <v>127</v>
      </c>
      <c r="F132" s="176" t="s">
        <v>127</v>
      </c>
      <c r="G132" s="177" t="str">
        <f>IFERROR(__xludf.DUMMYFUNCTION("""COMPUTED_VALUE"""),"")</f>
        <v/>
      </c>
      <c r="H132" s="178" t="s">
        <v>127</v>
      </c>
      <c r="I132" s="159"/>
      <c r="J132" s="159"/>
      <c r="K132" s="159"/>
      <c r="M132" s="159"/>
      <c r="O132" s="157"/>
    </row>
    <row r="133">
      <c r="A133" s="172" t="s">
        <v>127</v>
      </c>
      <c r="B133" s="159"/>
      <c r="C133" s="173"/>
      <c r="D133" s="174"/>
      <c r="E133" s="175" t="s">
        <v>127</v>
      </c>
      <c r="F133" s="176" t="s">
        <v>127</v>
      </c>
      <c r="G133" s="177" t="str">
        <f>IFERROR(__xludf.DUMMYFUNCTION("""COMPUTED_VALUE"""),"")</f>
        <v/>
      </c>
      <c r="H133" s="178" t="s">
        <v>127</v>
      </c>
      <c r="I133" s="159"/>
      <c r="J133" s="159"/>
      <c r="K133" s="159"/>
      <c r="M133" s="159"/>
      <c r="O133" s="157"/>
    </row>
    <row r="134">
      <c r="A134" s="172" t="s">
        <v>127</v>
      </c>
      <c r="B134" s="159"/>
      <c r="C134" s="173"/>
      <c r="D134" s="174"/>
      <c r="E134" s="175" t="s">
        <v>127</v>
      </c>
      <c r="F134" s="176" t="s">
        <v>127</v>
      </c>
      <c r="G134" s="177" t="str">
        <f>IFERROR(__xludf.DUMMYFUNCTION("""COMPUTED_VALUE"""),"")</f>
        <v/>
      </c>
      <c r="H134" s="178" t="s">
        <v>127</v>
      </c>
      <c r="I134" s="159"/>
      <c r="J134" s="159"/>
      <c r="K134" s="159"/>
      <c r="M134" s="159"/>
      <c r="O134" s="157"/>
    </row>
    <row r="135">
      <c r="A135" s="172" t="s">
        <v>127</v>
      </c>
      <c r="B135" s="159"/>
      <c r="C135" s="173"/>
      <c r="D135" s="174"/>
      <c r="E135" s="175" t="s">
        <v>127</v>
      </c>
      <c r="F135" s="176" t="s">
        <v>127</v>
      </c>
      <c r="G135" s="177" t="str">
        <f>IFERROR(__xludf.DUMMYFUNCTION("""COMPUTED_VALUE"""),"")</f>
        <v/>
      </c>
      <c r="H135" s="178" t="s">
        <v>127</v>
      </c>
      <c r="I135" s="159"/>
      <c r="J135" s="159"/>
      <c r="K135" s="159"/>
      <c r="M135" s="159"/>
      <c r="O135" s="157"/>
    </row>
    <row r="136">
      <c r="A136" s="172" t="s">
        <v>127</v>
      </c>
      <c r="B136" s="159"/>
      <c r="C136" s="173"/>
      <c r="D136" s="174"/>
      <c r="E136" s="175" t="s">
        <v>127</v>
      </c>
      <c r="F136" s="176" t="s">
        <v>127</v>
      </c>
      <c r="G136" s="177" t="str">
        <f>IFERROR(__xludf.DUMMYFUNCTION("""COMPUTED_VALUE"""),"")</f>
        <v/>
      </c>
      <c r="H136" s="178" t="s">
        <v>127</v>
      </c>
      <c r="I136" s="159"/>
      <c r="J136" s="159"/>
      <c r="K136" s="159"/>
      <c r="M136" s="159"/>
      <c r="O136" s="157"/>
    </row>
    <row r="137">
      <c r="A137" s="172" t="s">
        <v>127</v>
      </c>
      <c r="B137" s="159"/>
      <c r="C137" s="173"/>
      <c r="D137" s="174"/>
      <c r="E137" s="175" t="s">
        <v>127</v>
      </c>
      <c r="F137" s="176" t="s">
        <v>127</v>
      </c>
      <c r="G137" s="177" t="str">
        <f>IFERROR(__xludf.DUMMYFUNCTION("""COMPUTED_VALUE"""),"")</f>
        <v/>
      </c>
      <c r="H137" s="178" t="s">
        <v>127</v>
      </c>
      <c r="I137" s="159"/>
      <c r="J137" s="159"/>
      <c r="K137" s="159"/>
      <c r="M137" s="159"/>
      <c r="O137" s="157"/>
    </row>
    <row r="138">
      <c r="A138" s="172" t="s">
        <v>127</v>
      </c>
      <c r="B138" s="159"/>
      <c r="C138" s="173"/>
      <c r="D138" s="174"/>
      <c r="E138" s="175" t="s">
        <v>127</v>
      </c>
      <c r="F138" s="176" t="s">
        <v>127</v>
      </c>
      <c r="G138" s="177" t="str">
        <f>IFERROR(__xludf.DUMMYFUNCTION("""COMPUTED_VALUE"""),"")</f>
        <v/>
      </c>
      <c r="H138" s="178" t="s">
        <v>127</v>
      </c>
      <c r="I138" s="159"/>
      <c r="J138" s="159"/>
      <c r="K138" s="159"/>
      <c r="M138" s="159"/>
      <c r="O138" s="157"/>
    </row>
    <row r="139">
      <c r="A139" s="172" t="s">
        <v>127</v>
      </c>
      <c r="B139" s="159"/>
      <c r="C139" s="173"/>
      <c r="D139" s="174"/>
      <c r="E139" s="175" t="s">
        <v>127</v>
      </c>
      <c r="F139" s="176" t="s">
        <v>127</v>
      </c>
      <c r="G139" s="177" t="str">
        <f>IFERROR(__xludf.DUMMYFUNCTION("""COMPUTED_VALUE"""),"")</f>
        <v/>
      </c>
      <c r="H139" s="178" t="s">
        <v>127</v>
      </c>
      <c r="I139" s="159"/>
      <c r="J139" s="159"/>
      <c r="K139" s="159"/>
      <c r="M139" s="159"/>
      <c r="O139" s="157"/>
    </row>
    <row r="140">
      <c r="A140" s="172" t="s">
        <v>127</v>
      </c>
      <c r="B140" s="159"/>
      <c r="C140" s="173"/>
      <c r="D140" s="174"/>
      <c r="E140" s="175" t="s">
        <v>127</v>
      </c>
      <c r="F140" s="176" t="s">
        <v>127</v>
      </c>
      <c r="G140" s="177" t="str">
        <f>IFERROR(__xludf.DUMMYFUNCTION("""COMPUTED_VALUE"""),"")</f>
        <v/>
      </c>
      <c r="H140" s="178" t="s">
        <v>127</v>
      </c>
      <c r="I140" s="159"/>
      <c r="J140" s="159"/>
      <c r="K140" s="159"/>
      <c r="M140" s="159"/>
      <c r="O140" s="157"/>
    </row>
    <row r="141">
      <c r="A141" s="172" t="s">
        <v>127</v>
      </c>
      <c r="B141" s="159"/>
      <c r="C141" s="173"/>
      <c r="D141" s="174"/>
      <c r="E141" s="175" t="s">
        <v>127</v>
      </c>
      <c r="F141" s="176" t="s">
        <v>127</v>
      </c>
      <c r="G141" s="177" t="str">
        <f>IFERROR(__xludf.DUMMYFUNCTION("""COMPUTED_VALUE"""),"")</f>
        <v/>
      </c>
      <c r="H141" s="178" t="s">
        <v>127</v>
      </c>
      <c r="I141" s="159"/>
      <c r="J141" s="159"/>
      <c r="K141" s="159"/>
      <c r="M141" s="159"/>
      <c r="O141" s="157"/>
    </row>
    <row r="142">
      <c r="A142" s="172" t="s">
        <v>127</v>
      </c>
      <c r="B142" s="159"/>
      <c r="C142" s="173"/>
      <c r="D142" s="174"/>
      <c r="E142" s="175" t="s">
        <v>127</v>
      </c>
      <c r="F142" s="176" t="s">
        <v>127</v>
      </c>
      <c r="G142" s="177" t="str">
        <f>IFERROR(__xludf.DUMMYFUNCTION("""COMPUTED_VALUE"""),"")</f>
        <v/>
      </c>
      <c r="H142" s="178" t="s">
        <v>127</v>
      </c>
      <c r="I142" s="159"/>
      <c r="J142" s="159"/>
      <c r="K142" s="159"/>
      <c r="M142" s="159"/>
      <c r="O142" s="157"/>
    </row>
    <row r="143">
      <c r="A143" s="172" t="s">
        <v>127</v>
      </c>
      <c r="B143" s="159"/>
      <c r="C143" s="173"/>
      <c r="D143" s="174"/>
      <c r="E143" s="175" t="s">
        <v>127</v>
      </c>
      <c r="F143" s="176" t="s">
        <v>127</v>
      </c>
      <c r="G143" s="177" t="str">
        <f>IFERROR(__xludf.DUMMYFUNCTION("""COMPUTED_VALUE"""),"")</f>
        <v/>
      </c>
      <c r="H143" s="178" t="s">
        <v>127</v>
      </c>
      <c r="I143" s="159"/>
      <c r="J143" s="159"/>
      <c r="K143" s="159"/>
      <c r="M143" s="159"/>
      <c r="O143" s="157"/>
    </row>
    <row r="144">
      <c r="A144" s="172" t="s">
        <v>127</v>
      </c>
      <c r="B144" s="159"/>
      <c r="C144" s="173"/>
      <c r="D144" s="174"/>
      <c r="E144" s="175" t="s">
        <v>127</v>
      </c>
      <c r="F144" s="176" t="s">
        <v>127</v>
      </c>
      <c r="G144" s="177" t="str">
        <f>IFERROR(__xludf.DUMMYFUNCTION("""COMPUTED_VALUE"""),"")</f>
        <v/>
      </c>
      <c r="H144" s="178" t="s">
        <v>127</v>
      </c>
      <c r="I144" s="159"/>
      <c r="J144" s="159"/>
      <c r="K144" s="159"/>
      <c r="M144" s="159"/>
      <c r="O144" s="157"/>
    </row>
    <row r="145">
      <c r="A145" s="172" t="s">
        <v>127</v>
      </c>
      <c r="B145" s="159"/>
      <c r="C145" s="173"/>
      <c r="D145" s="174"/>
      <c r="E145" s="175" t="s">
        <v>127</v>
      </c>
      <c r="F145" s="176" t="s">
        <v>127</v>
      </c>
      <c r="G145" s="177" t="str">
        <f>IFERROR(__xludf.DUMMYFUNCTION("""COMPUTED_VALUE"""),"")</f>
        <v/>
      </c>
      <c r="H145" s="178" t="s">
        <v>127</v>
      </c>
      <c r="I145" s="159"/>
      <c r="J145" s="159"/>
      <c r="K145" s="159"/>
      <c r="M145" s="159"/>
      <c r="O145" s="157"/>
    </row>
    <row r="146">
      <c r="A146" s="172" t="s">
        <v>127</v>
      </c>
      <c r="B146" s="159"/>
      <c r="C146" s="173"/>
      <c r="D146" s="174"/>
      <c r="E146" s="175" t="s">
        <v>127</v>
      </c>
      <c r="F146" s="176" t="s">
        <v>127</v>
      </c>
      <c r="G146" s="177" t="str">
        <f>IFERROR(__xludf.DUMMYFUNCTION("""COMPUTED_VALUE"""),"")</f>
        <v/>
      </c>
      <c r="H146" s="178" t="s">
        <v>127</v>
      </c>
      <c r="I146" s="159"/>
      <c r="J146" s="159"/>
      <c r="K146" s="159"/>
      <c r="M146" s="159"/>
      <c r="O146" s="157"/>
    </row>
    <row r="147">
      <c r="A147" s="172" t="s">
        <v>127</v>
      </c>
      <c r="B147" s="159"/>
      <c r="C147" s="173"/>
      <c r="D147" s="174"/>
      <c r="E147" s="175" t="s">
        <v>127</v>
      </c>
      <c r="F147" s="176" t="s">
        <v>127</v>
      </c>
      <c r="G147" s="177" t="str">
        <f>IFERROR(__xludf.DUMMYFUNCTION("""COMPUTED_VALUE"""),"")</f>
        <v/>
      </c>
      <c r="H147" s="178" t="s">
        <v>127</v>
      </c>
      <c r="I147" s="159"/>
      <c r="J147" s="159"/>
      <c r="K147" s="159"/>
      <c r="M147" s="159"/>
      <c r="O147" s="157"/>
    </row>
    <row r="148">
      <c r="A148" s="172" t="s">
        <v>127</v>
      </c>
      <c r="B148" s="159"/>
      <c r="C148" s="173"/>
      <c r="D148" s="174"/>
      <c r="E148" s="175" t="s">
        <v>127</v>
      </c>
      <c r="F148" s="176" t="s">
        <v>127</v>
      </c>
      <c r="G148" s="177" t="str">
        <f>IFERROR(__xludf.DUMMYFUNCTION("""COMPUTED_VALUE"""),"")</f>
        <v/>
      </c>
      <c r="H148" s="178" t="s">
        <v>127</v>
      </c>
      <c r="I148" s="159"/>
      <c r="J148" s="159"/>
      <c r="K148" s="159"/>
      <c r="M148" s="159"/>
      <c r="O148" s="157"/>
    </row>
    <row r="149">
      <c r="A149" s="172" t="s">
        <v>127</v>
      </c>
      <c r="B149" s="159"/>
      <c r="C149" s="173"/>
      <c r="D149" s="174"/>
      <c r="E149" s="175" t="s">
        <v>127</v>
      </c>
      <c r="F149" s="176" t="s">
        <v>127</v>
      </c>
      <c r="G149" s="177" t="str">
        <f>IFERROR(__xludf.DUMMYFUNCTION("""COMPUTED_VALUE"""),"")</f>
        <v/>
      </c>
      <c r="H149" s="178" t="s">
        <v>127</v>
      </c>
      <c r="I149" s="159"/>
      <c r="J149" s="159"/>
      <c r="K149" s="159"/>
      <c r="M149" s="159"/>
      <c r="O149" s="157"/>
    </row>
    <row r="150">
      <c r="A150" s="172" t="s">
        <v>127</v>
      </c>
      <c r="B150" s="159"/>
      <c r="C150" s="173"/>
      <c r="D150" s="174"/>
      <c r="E150" s="175" t="s">
        <v>127</v>
      </c>
      <c r="F150" s="176" t="s">
        <v>127</v>
      </c>
      <c r="G150" s="177" t="str">
        <f>IFERROR(__xludf.DUMMYFUNCTION("""COMPUTED_VALUE"""),"")</f>
        <v/>
      </c>
      <c r="H150" s="178" t="s">
        <v>127</v>
      </c>
      <c r="I150" s="159"/>
      <c r="J150" s="159"/>
      <c r="K150" s="159"/>
      <c r="M150" s="159"/>
      <c r="O150" s="157"/>
    </row>
    <row r="151">
      <c r="A151" s="172" t="s">
        <v>127</v>
      </c>
      <c r="B151" s="159"/>
      <c r="C151" s="173"/>
      <c r="D151" s="174"/>
      <c r="E151" s="175" t="s">
        <v>127</v>
      </c>
      <c r="F151" s="176" t="s">
        <v>127</v>
      </c>
      <c r="G151" s="177" t="str">
        <f>IFERROR(__xludf.DUMMYFUNCTION("""COMPUTED_VALUE"""),"")</f>
        <v/>
      </c>
      <c r="H151" s="178" t="s">
        <v>127</v>
      </c>
      <c r="I151" s="159"/>
      <c r="J151" s="159"/>
      <c r="K151" s="159"/>
      <c r="M151" s="159"/>
      <c r="O151" s="157"/>
    </row>
    <row r="152">
      <c r="A152" s="172" t="s">
        <v>127</v>
      </c>
      <c r="B152" s="159"/>
      <c r="C152" s="173"/>
      <c r="D152" s="174"/>
      <c r="E152" s="175" t="s">
        <v>127</v>
      </c>
      <c r="F152" s="176" t="s">
        <v>127</v>
      </c>
      <c r="G152" s="177" t="str">
        <f>IFERROR(__xludf.DUMMYFUNCTION("""COMPUTED_VALUE"""),"")</f>
        <v/>
      </c>
      <c r="H152" s="178" t="s">
        <v>127</v>
      </c>
      <c r="I152" s="159"/>
      <c r="J152" s="159"/>
      <c r="K152" s="159"/>
      <c r="M152" s="159"/>
      <c r="O152" s="157"/>
    </row>
    <row r="153">
      <c r="A153" s="172" t="s">
        <v>127</v>
      </c>
      <c r="B153" s="159"/>
      <c r="C153" s="173"/>
      <c r="D153" s="174"/>
      <c r="E153" s="175" t="s">
        <v>127</v>
      </c>
      <c r="F153" s="176" t="s">
        <v>127</v>
      </c>
      <c r="G153" s="177" t="str">
        <f>IFERROR(__xludf.DUMMYFUNCTION("""COMPUTED_VALUE"""),"")</f>
        <v/>
      </c>
      <c r="H153" s="178" t="s">
        <v>127</v>
      </c>
      <c r="I153" s="159"/>
      <c r="J153" s="159"/>
      <c r="K153" s="159"/>
      <c r="M153" s="159"/>
      <c r="O153" s="157"/>
    </row>
    <row r="154">
      <c r="A154" s="172" t="s">
        <v>127</v>
      </c>
      <c r="B154" s="159"/>
      <c r="C154" s="173"/>
      <c r="D154" s="174"/>
      <c r="E154" s="175" t="s">
        <v>127</v>
      </c>
      <c r="F154" s="176" t="s">
        <v>127</v>
      </c>
      <c r="G154" s="177" t="str">
        <f>IFERROR(__xludf.DUMMYFUNCTION("""COMPUTED_VALUE"""),"")</f>
        <v/>
      </c>
      <c r="H154" s="178" t="s">
        <v>127</v>
      </c>
      <c r="I154" s="159"/>
      <c r="J154" s="159"/>
      <c r="K154" s="159"/>
      <c r="M154" s="159"/>
      <c r="O154" s="157"/>
    </row>
    <row r="155">
      <c r="A155" s="172" t="s">
        <v>127</v>
      </c>
      <c r="B155" s="159"/>
      <c r="C155" s="173"/>
      <c r="D155" s="174"/>
      <c r="E155" s="175" t="s">
        <v>127</v>
      </c>
      <c r="F155" s="176" t="s">
        <v>127</v>
      </c>
      <c r="G155" s="177" t="str">
        <f>IFERROR(__xludf.DUMMYFUNCTION("""COMPUTED_VALUE"""),"")</f>
        <v/>
      </c>
      <c r="H155" s="178" t="s">
        <v>127</v>
      </c>
      <c r="I155" s="159"/>
      <c r="J155" s="159"/>
      <c r="K155" s="159"/>
      <c r="M155" s="159"/>
      <c r="O155" s="157"/>
    </row>
    <row r="156">
      <c r="A156" s="172" t="s">
        <v>127</v>
      </c>
      <c r="B156" s="159"/>
      <c r="C156" s="173"/>
      <c r="D156" s="174"/>
      <c r="E156" s="175" t="s">
        <v>127</v>
      </c>
      <c r="F156" s="176" t="s">
        <v>127</v>
      </c>
      <c r="G156" s="177" t="str">
        <f>IFERROR(__xludf.DUMMYFUNCTION("""COMPUTED_VALUE"""),"")</f>
        <v/>
      </c>
      <c r="H156" s="178" t="s">
        <v>127</v>
      </c>
      <c r="I156" s="159"/>
      <c r="J156" s="159"/>
      <c r="K156" s="159"/>
      <c r="M156" s="159"/>
      <c r="O156" s="157"/>
    </row>
    <row r="157">
      <c r="A157" s="172" t="s">
        <v>127</v>
      </c>
      <c r="B157" s="159"/>
      <c r="C157" s="173"/>
      <c r="D157" s="174"/>
      <c r="E157" s="175" t="s">
        <v>127</v>
      </c>
      <c r="F157" s="176" t="s">
        <v>127</v>
      </c>
      <c r="G157" s="177" t="str">
        <f>IFERROR(__xludf.DUMMYFUNCTION("""COMPUTED_VALUE"""),"")</f>
        <v/>
      </c>
      <c r="H157" s="178" t="s">
        <v>127</v>
      </c>
      <c r="I157" s="159"/>
      <c r="J157" s="159"/>
      <c r="K157" s="159"/>
      <c r="M157" s="159"/>
      <c r="O157" s="157"/>
    </row>
    <row r="158">
      <c r="A158" s="172" t="s">
        <v>127</v>
      </c>
      <c r="B158" s="159"/>
      <c r="C158" s="173"/>
      <c r="D158" s="174"/>
      <c r="E158" s="175" t="s">
        <v>127</v>
      </c>
      <c r="F158" s="176" t="s">
        <v>127</v>
      </c>
      <c r="G158" s="177" t="str">
        <f>IFERROR(__xludf.DUMMYFUNCTION("""COMPUTED_VALUE"""),"")</f>
        <v/>
      </c>
      <c r="H158" s="178" t="s">
        <v>127</v>
      </c>
      <c r="I158" s="159"/>
      <c r="J158" s="159"/>
      <c r="K158" s="159"/>
      <c r="M158" s="159"/>
      <c r="O158" s="157"/>
    </row>
    <row r="159">
      <c r="A159" s="172" t="s">
        <v>127</v>
      </c>
      <c r="B159" s="159"/>
      <c r="C159" s="173"/>
      <c r="D159" s="174"/>
      <c r="E159" s="175" t="s">
        <v>127</v>
      </c>
      <c r="F159" s="176" t="s">
        <v>127</v>
      </c>
      <c r="G159" s="177" t="str">
        <f>IFERROR(__xludf.DUMMYFUNCTION("""COMPUTED_VALUE"""),"")</f>
        <v/>
      </c>
      <c r="H159" s="178" t="s">
        <v>127</v>
      </c>
      <c r="I159" s="159"/>
      <c r="J159" s="159"/>
      <c r="K159" s="159"/>
      <c r="M159" s="159"/>
      <c r="O159" s="157"/>
    </row>
    <row r="160">
      <c r="A160" s="172" t="s">
        <v>127</v>
      </c>
      <c r="B160" s="159"/>
      <c r="C160" s="173"/>
      <c r="D160" s="174"/>
      <c r="E160" s="175" t="s">
        <v>127</v>
      </c>
      <c r="F160" s="176" t="s">
        <v>127</v>
      </c>
      <c r="G160" s="177" t="str">
        <f>IFERROR(__xludf.DUMMYFUNCTION("""COMPUTED_VALUE"""),"")</f>
        <v/>
      </c>
      <c r="H160" s="178" t="s">
        <v>127</v>
      </c>
      <c r="I160" s="159"/>
      <c r="J160" s="159"/>
      <c r="K160" s="159"/>
      <c r="M160" s="159"/>
      <c r="O160" s="157"/>
    </row>
    <row r="161">
      <c r="A161" s="172" t="s">
        <v>127</v>
      </c>
      <c r="B161" s="159"/>
      <c r="C161" s="173"/>
      <c r="D161" s="174"/>
      <c r="E161" s="175" t="s">
        <v>127</v>
      </c>
      <c r="F161" s="176" t="s">
        <v>127</v>
      </c>
      <c r="G161" s="177" t="str">
        <f>IFERROR(__xludf.DUMMYFUNCTION("""COMPUTED_VALUE"""),"")</f>
        <v/>
      </c>
      <c r="H161" s="178" t="s">
        <v>127</v>
      </c>
      <c r="I161" s="159"/>
      <c r="J161" s="159"/>
      <c r="K161" s="159"/>
      <c r="M161" s="159"/>
      <c r="O161" s="157"/>
    </row>
    <row r="162">
      <c r="A162" s="172" t="s">
        <v>127</v>
      </c>
      <c r="B162" s="159"/>
      <c r="C162" s="173"/>
      <c r="D162" s="174"/>
      <c r="E162" s="175" t="s">
        <v>127</v>
      </c>
      <c r="F162" s="176" t="s">
        <v>127</v>
      </c>
      <c r="G162" s="177" t="str">
        <f>IFERROR(__xludf.DUMMYFUNCTION("""COMPUTED_VALUE"""),"")</f>
        <v/>
      </c>
      <c r="H162" s="178" t="s">
        <v>127</v>
      </c>
      <c r="I162" s="159"/>
      <c r="J162" s="159"/>
      <c r="K162" s="159"/>
      <c r="M162" s="159"/>
      <c r="O162" s="157"/>
    </row>
    <row r="163">
      <c r="A163" s="172" t="s">
        <v>127</v>
      </c>
      <c r="B163" s="159"/>
      <c r="C163" s="173"/>
      <c r="D163" s="174"/>
      <c r="E163" s="175" t="s">
        <v>127</v>
      </c>
      <c r="F163" s="176" t="s">
        <v>127</v>
      </c>
      <c r="G163" s="177" t="str">
        <f>IFERROR(__xludf.DUMMYFUNCTION("""COMPUTED_VALUE"""),"")</f>
        <v/>
      </c>
      <c r="H163" s="178" t="s">
        <v>127</v>
      </c>
      <c r="I163" s="159"/>
      <c r="J163" s="159"/>
      <c r="K163" s="159"/>
      <c r="M163" s="159"/>
      <c r="O163" s="157"/>
    </row>
    <row r="164">
      <c r="A164" s="172" t="s">
        <v>127</v>
      </c>
      <c r="B164" s="159"/>
      <c r="C164" s="173"/>
      <c r="D164" s="174"/>
      <c r="E164" s="175" t="s">
        <v>127</v>
      </c>
      <c r="F164" s="176" t="s">
        <v>127</v>
      </c>
      <c r="G164" s="177" t="str">
        <f>IFERROR(__xludf.DUMMYFUNCTION("""COMPUTED_VALUE"""),"")</f>
        <v/>
      </c>
      <c r="H164" s="178" t="s">
        <v>127</v>
      </c>
      <c r="I164" s="159"/>
      <c r="J164" s="159"/>
      <c r="K164" s="159"/>
      <c r="M164" s="159"/>
      <c r="O164" s="157"/>
    </row>
    <row r="165">
      <c r="A165" s="172" t="s">
        <v>127</v>
      </c>
      <c r="B165" s="159"/>
      <c r="C165" s="173"/>
      <c r="D165" s="174"/>
      <c r="E165" s="175" t="s">
        <v>127</v>
      </c>
      <c r="F165" s="176" t="s">
        <v>127</v>
      </c>
      <c r="G165" s="177" t="str">
        <f>IFERROR(__xludf.DUMMYFUNCTION("""COMPUTED_VALUE"""),"")</f>
        <v/>
      </c>
      <c r="H165" s="178" t="s">
        <v>127</v>
      </c>
      <c r="I165" s="159"/>
      <c r="J165" s="159"/>
      <c r="K165" s="159"/>
      <c r="M165" s="159"/>
      <c r="O165" s="157"/>
    </row>
    <row r="166">
      <c r="A166" s="172" t="s">
        <v>127</v>
      </c>
      <c r="B166" s="159"/>
      <c r="C166" s="173"/>
      <c r="D166" s="174"/>
      <c r="E166" s="175" t="s">
        <v>127</v>
      </c>
      <c r="F166" s="176" t="s">
        <v>127</v>
      </c>
      <c r="G166" s="177" t="str">
        <f>IFERROR(__xludf.DUMMYFUNCTION("""COMPUTED_VALUE"""),"")</f>
        <v/>
      </c>
      <c r="H166" s="178" t="s">
        <v>127</v>
      </c>
      <c r="I166" s="159"/>
      <c r="J166" s="159"/>
      <c r="K166" s="159"/>
      <c r="M166" s="159"/>
      <c r="O166" s="157"/>
    </row>
    <row r="167">
      <c r="A167" s="172" t="s">
        <v>127</v>
      </c>
      <c r="B167" s="159"/>
      <c r="C167" s="173"/>
      <c r="D167" s="174"/>
      <c r="E167" s="175" t="s">
        <v>127</v>
      </c>
      <c r="F167" s="176" t="s">
        <v>127</v>
      </c>
      <c r="G167" s="177" t="str">
        <f>IFERROR(__xludf.DUMMYFUNCTION("""COMPUTED_VALUE"""),"")</f>
        <v/>
      </c>
      <c r="H167" s="178" t="s">
        <v>127</v>
      </c>
      <c r="I167" s="159"/>
      <c r="J167" s="159"/>
      <c r="K167" s="159"/>
      <c r="M167" s="159"/>
      <c r="O167" s="157"/>
    </row>
    <row r="168">
      <c r="A168" s="172" t="s">
        <v>127</v>
      </c>
      <c r="B168" s="159"/>
      <c r="C168" s="173"/>
      <c r="D168" s="174"/>
      <c r="E168" s="175" t="s">
        <v>127</v>
      </c>
      <c r="F168" s="176" t="s">
        <v>127</v>
      </c>
      <c r="G168" s="177" t="str">
        <f>IFERROR(__xludf.DUMMYFUNCTION("""COMPUTED_VALUE"""),"")</f>
        <v/>
      </c>
      <c r="H168" s="178" t="s">
        <v>127</v>
      </c>
      <c r="I168" s="159"/>
      <c r="J168" s="159"/>
      <c r="K168" s="159"/>
      <c r="M168" s="159"/>
      <c r="O168" s="157"/>
    </row>
    <row r="169">
      <c r="A169" s="172" t="s">
        <v>127</v>
      </c>
      <c r="B169" s="159"/>
      <c r="C169" s="173"/>
      <c r="D169" s="174"/>
      <c r="E169" s="175" t="s">
        <v>127</v>
      </c>
      <c r="F169" s="176" t="s">
        <v>127</v>
      </c>
      <c r="G169" s="177" t="str">
        <f>IFERROR(__xludf.DUMMYFUNCTION("""COMPUTED_VALUE"""),"")</f>
        <v/>
      </c>
      <c r="H169" s="178" t="s">
        <v>127</v>
      </c>
      <c r="I169" s="159"/>
      <c r="J169" s="159"/>
      <c r="K169" s="159"/>
      <c r="M169" s="159"/>
      <c r="O169" s="157"/>
    </row>
    <row r="170">
      <c r="A170" s="172" t="s">
        <v>127</v>
      </c>
      <c r="B170" s="159"/>
      <c r="C170" s="173"/>
      <c r="D170" s="174"/>
      <c r="E170" s="175" t="s">
        <v>127</v>
      </c>
      <c r="F170" s="176" t="s">
        <v>127</v>
      </c>
      <c r="G170" s="177" t="str">
        <f>IFERROR(__xludf.DUMMYFUNCTION("""COMPUTED_VALUE"""),"")</f>
        <v/>
      </c>
      <c r="H170" s="178" t="s">
        <v>127</v>
      </c>
      <c r="I170" s="159"/>
      <c r="J170" s="159"/>
      <c r="K170" s="159"/>
      <c r="M170" s="159"/>
      <c r="O170" s="157"/>
    </row>
    <row r="171">
      <c r="A171" s="172" t="s">
        <v>127</v>
      </c>
      <c r="B171" s="159"/>
      <c r="C171" s="173"/>
      <c r="D171" s="174"/>
      <c r="E171" s="175" t="s">
        <v>127</v>
      </c>
      <c r="F171" s="176" t="s">
        <v>127</v>
      </c>
      <c r="G171" s="177" t="str">
        <f>IFERROR(__xludf.DUMMYFUNCTION("""COMPUTED_VALUE"""),"")</f>
        <v/>
      </c>
      <c r="H171" s="178" t="s">
        <v>127</v>
      </c>
      <c r="I171" s="159"/>
      <c r="J171" s="159"/>
      <c r="K171" s="159"/>
      <c r="M171" s="159"/>
      <c r="O171" s="157"/>
    </row>
    <row r="172">
      <c r="A172" s="172" t="s">
        <v>127</v>
      </c>
      <c r="B172" s="159"/>
      <c r="C172" s="173"/>
      <c r="D172" s="174"/>
      <c r="E172" s="175" t="s">
        <v>127</v>
      </c>
      <c r="F172" s="176" t="s">
        <v>127</v>
      </c>
      <c r="G172" s="177" t="str">
        <f>IFERROR(__xludf.DUMMYFUNCTION("""COMPUTED_VALUE"""),"")</f>
        <v/>
      </c>
      <c r="H172" s="178" t="s">
        <v>127</v>
      </c>
      <c r="I172" s="159"/>
      <c r="J172" s="159"/>
      <c r="K172" s="159"/>
      <c r="M172" s="159"/>
      <c r="O172" s="157"/>
    </row>
    <row r="173">
      <c r="A173" s="172" t="s">
        <v>127</v>
      </c>
      <c r="B173" s="159"/>
      <c r="C173" s="173"/>
      <c r="D173" s="174"/>
      <c r="E173" s="175" t="s">
        <v>127</v>
      </c>
      <c r="F173" s="176" t="s">
        <v>127</v>
      </c>
      <c r="G173" s="177" t="str">
        <f>IFERROR(__xludf.DUMMYFUNCTION("""COMPUTED_VALUE"""),"")</f>
        <v/>
      </c>
      <c r="H173" s="178" t="s">
        <v>127</v>
      </c>
      <c r="I173" s="159"/>
      <c r="J173" s="159"/>
      <c r="K173" s="159"/>
      <c r="M173" s="159"/>
      <c r="O173" s="157"/>
    </row>
    <row r="174">
      <c r="A174" s="172" t="s">
        <v>127</v>
      </c>
      <c r="B174" s="159"/>
      <c r="C174" s="173"/>
      <c r="D174" s="174"/>
      <c r="E174" s="175" t="s">
        <v>127</v>
      </c>
      <c r="F174" s="176" t="s">
        <v>127</v>
      </c>
      <c r="G174" s="177" t="str">
        <f>IFERROR(__xludf.DUMMYFUNCTION("""COMPUTED_VALUE"""),"")</f>
        <v/>
      </c>
      <c r="H174" s="178" t="s">
        <v>127</v>
      </c>
      <c r="I174" s="159"/>
      <c r="J174" s="159"/>
      <c r="K174" s="159"/>
      <c r="M174" s="159"/>
      <c r="O174" s="157"/>
    </row>
    <row r="175">
      <c r="A175" s="172" t="s">
        <v>127</v>
      </c>
      <c r="B175" s="159"/>
      <c r="C175" s="173"/>
      <c r="D175" s="174"/>
      <c r="E175" s="175" t="s">
        <v>127</v>
      </c>
      <c r="F175" s="176" t="s">
        <v>127</v>
      </c>
      <c r="G175" s="177" t="str">
        <f>IFERROR(__xludf.DUMMYFUNCTION("""COMPUTED_VALUE"""),"")</f>
        <v/>
      </c>
      <c r="H175" s="178" t="s">
        <v>127</v>
      </c>
      <c r="I175" s="159"/>
      <c r="J175" s="159"/>
      <c r="K175" s="159"/>
      <c r="M175" s="159"/>
      <c r="O175" s="157"/>
    </row>
    <row r="176">
      <c r="A176" s="172" t="s">
        <v>127</v>
      </c>
      <c r="B176" s="159"/>
      <c r="C176" s="173"/>
      <c r="D176" s="174"/>
      <c r="E176" s="175" t="s">
        <v>127</v>
      </c>
      <c r="F176" s="176" t="s">
        <v>127</v>
      </c>
      <c r="G176" s="177" t="str">
        <f>IFERROR(__xludf.DUMMYFUNCTION("""COMPUTED_VALUE"""),"")</f>
        <v/>
      </c>
      <c r="H176" s="178" t="s">
        <v>127</v>
      </c>
      <c r="I176" s="159"/>
      <c r="J176" s="159"/>
      <c r="K176" s="159"/>
      <c r="M176" s="159"/>
      <c r="O176" s="157"/>
    </row>
    <row r="177">
      <c r="A177" s="172" t="s">
        <v>127</v>
      </c>
      <c r="B177" s="159"/>
      <c r="C177" s="173"/>
      <c r="D177" s="174"/>
      <c r="E177" s="175" t="s">
        <v>127</v>
      </c>
      <c r="F177" s="176" t="s">
        <v>127</v>
      </c>
      <c r="G177" s="177" t="str">
        <f>IFERROR(__xludf.DUMMYFUNCTION("""COMPUTED_VALUE"""),"")</f>
        <v/>
      </c>
      <c r="H177" s="178" t="s">
        <v>127</v>
      </c>
      <c r="I177" s="159"/>
      <c r="J177" s="159"/>
      <c r="K177" s="159"/>
      <c r="M177" s="159"/>
      <c r="O177" s="157"/>
    </row>
    <row r="178">
      <c r="A178" s="172" t="s">
        <v>127</v>
      </c>
      <c r="B178" s="159"/>
      <c r="C178" s="173"/>
      <c r="D178" s="174"/>
      <c r="E178" s="175" t="s">
        <v>127</v>
      </c>
      <c r="F178" s="176" t="s">
        <v>127</v>
      </c>
      <c r="G178" s="177" t="str">
        <f>IFERROR(__xludf.DUMMYFUNCTION("""COMPUTED_VALUE"""),"")</f>
        <v/>
      </c>
      <c r="H178" s="178" t="s">
        <v>127</v>
      </c>
      <c r="I178" s="159"/>
      <c r="J178" s="159"/>
      <c r="K178" s="159"/>
      <c r="M178" s="159"/>
      <c r="O178" s="157"/>
    </row>
    <row r="179">
      <c r="A179" s="172" t="s">
        <v>127</v>
      </c>
      <c r="B179" s="159"/>
      <c r="C179" s="173"/>
      <c r="D179" s="174"/>
      <c r="E179" s="175" t="s">
        <v>127</v>
      </c>
      <c r="F179" s="176" t="s">
        <v>127</v>
      </c>
      <c r="G179" s="177" t="str">
        <f>IFERROR(__xludf.DUMMYFUNCTION("""COMPUTED_VALUE"""),"")</f>
        <v/>
      </c>
      <c r="H179" s="178" t="s">
        <v>127</v>
      </c>
      <c r="I179" s="159"/>
      <c r="J179" s="159"/>
      <c r="K179" s="159"/>
      <c r="M179" s="159"/>
      <c r="O179" s="157"/>
    </row>
    <row r="180">
      <c r="A180" s="172" t="s">
        <v>127</v>
      </c>
      <c r="B180" s="159"/>
      <c r="C180" s="173"/>
      <c r="D180" s="174"/>
      <c r="E180" s="175" t="s">
        <v>127</v>
      </c>
      <c r="F180" s="176" t="s">
        <v>127</v>
      </c>
      <c r="G180" s="177" t="str">
        <f>IFERROR(__xludf.DUMMYFUNCTION("""COMPUTED_VALUE"""),"")</f>
        <v/>
      </c>
      <c r="H180" s="178" t="s">
        <v>127</v>
      </c>
      <c r="I180" s="159"/>
      <c r="J180" s="159"/>
      <c r="K180" s="159"/>
      <c r="M180" s="159"/>
      <c r="O180" s="157"/>
    </row>
    <row r="181">
      <c r="A181" s="172" t="s">
        <v>127</v>
      </c>
      <c r="B181" s="159"/>
      <c r="C181" s="173"/>
      <c r="D181" s="174"/>
      <c r="E181" s="175" t="s">
        <v>127</v>
      </c>
      <c r="F181" s="176" t="s">
        <v>127</v>
      </c>
      <c r="G181" s="177" t="str">
        <f>IFERROR(__xludf.DUMMYFUNCTION("""COMPUTED_VALUE"""),"")</f>
        <v/>
      </c>
      <c r="H181" s="178" t="s">
        <v>127</v>
      </c>
      <c r="I181" s="159"/>
      <c r="J181" s="159"/>
      <c r="K181" s="159"/>
      <c r="M181" s="159"/>
      <c r="O181" s="157"/>
    </row>
    <row r="182">
      <c r="A182" s="172" t="s">
        <v>127</v>
      </c>
      <c r="B182" s="159"/>
      <c r="C182" s="173"/>
      <c r="D182" s="174"/>
      <c r="E182" s="175" t="s">
        <v>127</v>
      </c>
      <c r="F182" s="176" t="s">
        <v>127</v>
      </c>
      <c r="G182" s="177" t="str">
        <f>IFERROR(__xludf.DUMMYFUNCTION("""COMPUTED_VALUE"""),"")</f>
        <v/>
      </c>
      <c r="H182" s="178" t="s">
        <v>127</v>
      </c>
      <c r="I182" s="159"/>
      <c r="J182" s="159"/>
      <c r="K182" s="159"/>
      <c r="M182" s="159"/>
      <c r="O182" s="157"/>
    </row>
    <row r="183">
      <c r="A183" s="172" t="s">
        <v>127</v>
      </c>
      <c r="B183" s="159"/>
      <c r="C183" s="173"/>
      <c r="D183" s="174"/>
      <c r="E183" s="175" t="s">
        <v>127</v>
      </c>
      <c r="F183" s="176" t="s">
        <v>127</v>
      </c>
      <c r="G183" s="177" t="str">
        <f>IFERROR(__xludf.DUMMYFUNCTION("""COMPUTED_VALUE"""),"")</f>
        <v/>
      </c>
      <c r="H183" s="178" t="s">
        <v>127</v>
      </c>
      <c r="I183" s="159"/>
      <c r="J183" s="159"/>
      <c r="K183" s="159"/>
      <c r="M183" s="159"/>
      <c r="O183" s="157"/>
    </row>
    <row r="184">
      <c r="A184" s="172" t="s">
        <v>127</v>
      </c>
      <c r="B184" s="159"/>
      <c r="C184" s="173"/>
      <c r="D184" s="174"/>
      <c r="E184" s="175" t="s">
        <v>127</v>
      </c>
      <c r="F184" s="176" t="s">
        <v>127</v>
      </c>
      <c r="G184" s="177" t="str">
        <f>IFERROR(__xludf.DUMMYFUNCTION("""COMPUTED_VALUE"""),"")</f>
        <v/>
      </c>
      <c r="H184" s="178" t="s">
        <v>127</v>
      </c>
      <c r="I184" s="159"/>
      <c r="J184" s="159"/>
      <c r="K184" s="159"/>
      <c r="M184" s="159"/>
      <c r="O184" s="157"/>
    </row>
    <row r="185">
      <c r="A185" s="172" t="s">
        <v>127</v>
      </c>
      <c r="B185" s="159"/>
      <c r="C185" s="173"/>
      <c r="D185" s="174"/>
      <c r="E185" s="175" t="s">
        <v>127</v>
      </c>
      <c r="F185" s="176" t="s">
        <v>127</v>
      </c>
      <c r="G185" s="177" t="str">
        <f>IFERROR(__xludf.DUMMYFUNCTION("""COMPUTED_VALUE"""),"")</f>
        <v/>
      </c>
      <c r="H185" s="178" t="s">
        <v>127</v>
      </c>
      <c r="I185" s="159"/>
      <c r="J185" s="159"/>
      <c r="K185" s="159"/>
      <c r="M185" s="159"/>
      <c r="O185" s="157"/>
    </row>
    <row r="186">
      <c r="A186" s="172" t="s">
        <v>127</v>
      </c>
      <c r="B186" s="159"/>
      <c r="C186" s="173"/>
      <c r="D186" s="174"/>
      <c r="E186" s="175" t="s">
        <v>127</v>
      </c>
      <c r="F186" s="176" t="s">
        <v>127</v>
      </c>
      <c r="G186" s="177" t="str">
        <f>IFERROR(__xludf.DUMMYFUNCTION("""COMPUTED_VALUE"""),"")</f>
        <v/>
      </c>
      <c r="H186" s="178" t="s">
        <v>127</v>
      </c>
      <c r="I186" s="159"/>
      <c r="J186" s="159"/>
      <c r="K186" s="159"/>
      <c r="M186" s="159"/>
      <c r="O186" s="157"/>
    </row>
    <row r="187">
      <c r="A187" s="172" t="s">
        <v>127</v>
      </c>
      <c r="B187" s="159"/>
      <c r="C187" s="173"/>
      <c r="D187" s="174"/>
      <c r="E187" s="175" t="s">
        <v>127</v>
      </c>
      <c r="F187" s="176" t="s">
        <v>127</v>
      </c>
      <c r="G187" s="177" t="str">
        <f>IFERROR(__xludf.DUMMYFUNCTION("""COMPUTED_VALUE"""),"")</f>
        <v/>
      </c>
      <c r="H187" s="178" t="s">
        <v>127</v>
      </c>
      <c r="I187" s="159"/>
      <c r="J187" s="159"/>
      <c r="K187" s="159"/>
      <c r="M187" s="159"/>
      <c r="O187" s="157"/>
    </row>
    <row r="188">
      <c r="A188" s="172" t="s">
        <v>127</v>
      </c>
      <c r="B188" s="159"/>
      <c r="C188" s="173"/>
      <c r="D188" s="174"/>
      <c r="E188" s="175" t="s">
        <v>127</v>
      </c>
      <c r="F188" s="176" t="s">
        <v>127</v>
      </c>
      <c r="G188" s="177" t="str">
        <f>IFERROR(__xludf.DUMMYFUNCTION("""COMPUTED_VALUE"""),"")</f>
        <v/>
      </c>
      <c r="H188" s="178" t="s">
        <v>127</v>
      </c>
      <c r="I188" s="159"/>
      <c r="J188" s="159"/>
      <c r="K188" s="159"/>
      <c r="M188" s="159"/>
      <c r="O188" s="157"/>
    </row>
    <row r="189">
      <c r="A189" s="172" t="s">
        <v>127</v>
      </c>
      <c r="B189" s="159"/>
      <c r="C189" s="173"/>
      <c r="D189" s="174"/>
      <c r="E189" s="175" t="s">
        <v>127</v>
      </c>
      <c r="F189" s="176" t="s">
        <v>127</v>
      </c>
      <c r="G189" s="177" t="str">
        <f>IFERROR(__xludf.DUMMYFUNCTION("""COMPUTED_VALUE"""),"")</f>
        <v/>
      </c>
      <c r="H189" s="178" t="s">
        <v>127</v>
      </c>
      <c r="I189" s="159"/>
      <c r="J189" s="159"/>
      <c r="K189" s="159"/>
      <c r="M189" s="159"/>
      <c r="O189" s="157"/>
    </row>
    <row r="190">
      <c r="A190" s="172" t="s">
        <v>127</v>
      </c>
      <c r="B190" s="159"/>
      <c r="C190" s="173"/>
      <c r="D190" s="174"/>
      <c r="E190" s="175" t="s">
        <v>127</v>
      </c>
      <c r="F190" s="176" t="s">
        <v>127</v>
      </c>
      <c r="G190" s="177" t="str">
        <f>IFERROR(__xludf.DUMMYFUNCTION("""COMPUTED_VALUE"""),"")</f>
        <v/>
      </c>
      <c r="H190" s="178" t="s">
        <v>127</v>
      </c>
      <c r="I190" s="159"/>
      <c r="J190" s="159"/>
      <c r="K190" s="159"/>
      <c r="M190" s="159"/>
      <c r="O190" s="157"/>
    </row>
    <row r="191">
      <c r="A191" s="172" t="s">
        <v>127</v>
      </c>
      <c r="B191" s="159"/>
      <c r="C191" s="173"/>
      <c r="D191" s="174"/>
      <c r="E191" s="175" t="s">
        <v>127</v>
      </c>
      <c r="F191" s="176" t="s">
        <v>127</v>
      </c>
      <c r="G191" s="177" t="str">
        <f>IFERROR(__xludf.DUMMYFUNCTION("""COMPUTED_VALUE"""),"")</f>
        <v/>
      </c>
      <c r="H191" s="178" t="s">
        <v>127</v>
      </c>
      <c r="I191" s="159"/>
      <c r="J191" s="159"/>
      <c r="K191" s="159"/>
      <c r="M191" s="159"/>
      <c r="O191" s="157"/>
    </row>
    <row r="192">
      <c r="A192" s="172" t="s">
        <v>127</v>
      </c>
      <c r="B192" s="159"/>
      <c r="C192" s="173"/>
      <c r="D192" s="174"/>
      <c r="E192" s="175" t="s">
        <v>127</v>
      </c>
      <c r="F192" s="176" t="s">
        <v>127</v>
      </c>
      <c r="G192" s="177" t="str">
        <f>IFERROR(__xludf.DUMMYFUNCTION("""COMPUTED_VALUE"""),"")</f>
        <v/>
      </c>
      <c r="H192" s="178" t="s">
        <v>127</v>
      </c>
      <c r="I192" s="159"/>
      <c r="J192" s="159"/>
      <c r="K192" s="159"/>
      <c r="M192" s="159"/>
      <c r="O192" s="157"/>
    </row>
    <row r="193">
      <c r="A193" s="172" t="s">
        <v>127</v>
      </c>
      <c r="B193" s="159"/>
      <c r="C193" s="173"/>
      <c r="D193" s="174"/>
      <c r="E193" s="175" t="s">
        <v>127</v>
      </c>
      <c r="F193" s="176" t="s">
        <v>127</v>
      </c>
      <c r="G193" s="177" t="str">
        <f>IFERROR(__xludf.DUMMYFUNCTION("""COMPUTED_VALUE"""),"")</f>
        <v/>
      </c>
      <c r="H193" s="178" t="s">
        <v>127</v>
      </c>
      <c r="I193" s="159"/>
      <c r="J193" s="159"/>
      <c r="K193" s="159"/>
      <c r="M193" s="159"/>
      <c r="O193" s="157"/>
    </row>
    <row r="194">
      <c r="A194" s="172" t="s">
        <v>127</v>
      </c>
      <c r="B194" s="159"/>
      <c r="C194" s="173"/>
      <c r="D194" s="174"/>
      <c r="E194" s="175" t="s">
        <v>127</v>
      </c>
      <c r="F194" s="176" t="s">
        <v>127</v>
      </c>
      <c r="G194" s="177" t="str">
        <f>IFERROR(__xludf.DUMMYFUNCTION("""COMPUTED_VALUE"""),"")</f>
        <v/>
      </c>
      <c r="H194" s="178" t="s">
        <v>127</v>
      </c>
      <c r="I194" s="159"/>
      <c r="J194" s="159"/>
      <c r="K194" s="159"/>
      <c r="M194" s="159"/>
      <c r="O194" s="157"/>
    </row>
    <row r="195">
      <c r="A195" s="172" t="s">
        <v>127</v>
      </c>
      <c r="B195" s="159"/>
      <c r="C195" s="173"/>
      <c r="D195" s="174"/>
      <c r="E195" s="175" t="s">
        <v>127</v>
      </c>
      <c r="F195" s="176" t="s">
        <v>127</v>
      </c>
      <c r="G195" s="177" t="str">
        <f>IFERROR(__xludf.DUMMYFUNCTION("""COMPUTED_VALUE"""),"")</f>
        <v/>
      </c>
      <c r="H195" s="178" t="s">
        <v>127</v>
      </c>
      <c r="I195" s="159"/>
      <c r="J195" s="159"/>
      <c r="K195" s="159"/>
      <c r="M195" s="159"/>
      <c r="O195" s="157"/>
    </row>
    <row r="196">
      <c r="A196" s="172" t="s">
        <v>127</v>
      </c>
      <c r="B196" s="159"/>
      <c r="C196" s="173"/>
      <c r="D196" s="174"/>
      <c r="E196" s="175" t="s">
        <v>127</v>
      </c>
      <c r="F196" s="176" t="s">
        <v>127</v>
      </c>
      <c r="G196" s="177" t="str">
        <f>IFERROR(__xludf.DUMMYFUNCTION("""COMPUTED_VALUE"""),"")</f>
        <v/>
      </c>
      <c r="H196" s="178" t="s">
        <v>127</v>
      </c>
      <c r="I196" s="159"/>
      <c r="J196" s="159"/>
      <c r="K196" s="159"/>
      <c r="M196" s="159"/>
      <c r="O196" s="157"/>
    </row>
    <row r="197">
      <c r="A197" s="172" t="s">
        <v>127</v>
      </c>
      <c r="B197" s="159"/>
      <c r="C197" s="173"/>
      <c r="D197" s="174"/>
      <c r="E197" s="175" t="s">
        <v>127</v>
      </c>
      <c r="F197" s="176" t="s">
        <v>127</v>
      </c>
      <c r="G197" s="177" t="str">
        <f>IFERROR(__xludf.DUMMYFUNCTION("""COMPUTED_VALUE"""),"")</f>
        <v/>
      </c>
      <c r="H197" s="178" t="s">
        <v>127</v>
      </c>
      <c r="I197" s="159"/>
      <c r="J197" s="159"/>
      <c r="K197" s="159"/>
      <c r="M197" s="159"/>
      <c r="O197" s="157"/>
    </row>
    <row r="198">
      <c r="A198" s="172" t="s">
        <v>127</v>
      </c>
      <c r="B198" s="159"/>
      <c r="C198" s="173"/>
      <c r="D198" s="174"/>
      <c r="E198" s="175" t="s">
        <v>127</v>
      </c>
      <c r="F198" s="176" t="s">
        <v>127</v>
      </c>
      <c r="G198" s="177" t="str">
        <f>IFERROR(__xludf.DUMMYFUNCTION("""COMPUTED_VALUE"""),"")</f>
        <v/>
      </c>
      <c r="H198" s="178" t="s">
        <v>127</v>
      </c>
      <c r="I198" s="159"/>
      <c r="J198" s="159"/>
      <c r="K198" s="159"/>
      <c r="M198" s="159"/>
      <c r="O198" s="157"/>
    </row>
    <row r="199">
      <c r="A199" s="172" t="s">
        <v>127</v>
      </c>
      <c r="B199" s="159"/>
      <c r="C199" s="173"/>
      <c r="D199" s="174"/>
      <c r="E199" s="175" t="s">
        <v>127</v>
      </c>
      <c r="F199" s="176" t="s">
        <v>127</v>
      </c>
      <c r="G199" s="177" t="str">
        <f>IFERROR(__xludf.DUMMYFUNCTION("""COMPUTED_VALUE"""),"")</f>
        <v/>
      </c>
      <c r="H199" s="178" t="s">
        <v>127</v>
      </c>
      <c r="I199" s="159"/>
      <c r="J199" s="159"/>
      <c r="K199" s="159"/>
      <c r="M199" s="159"/>
      <c r="O199" s="157"/>
    </row>
    <row r="200">
      <c r="A200" s="172" t="s">
        <v>127</v>
      </c>
      <c r="B200" s="159"/>
      <c r="C200" s="173"/>
      <c r="D200" s="174"/>
      <c r="E200" s="175" t="s">
        <v>127</v>
      </c>
      <c r="F200" s="176" t="s">
        <v>127</v>
      </c>
      <c r="G200" s="177" t="str">
        <f>IFERROR(__xludf.DUMMYFUNCTION("""COMPUTED_VALUE"""),"")</f>
        <v/>
      </c>
      <c r="H200" s="178" t="s">
        <v>127</v>
      </c>
      <c r="I200" s="159"/>
      <c r="J200" s="159"/>
      <c r="K200" s="159"/>
      <c r="M200" s="159"/>
      <c r="O200" s="157"/>
    </row>
    <row r="201">
      <c r="A201" s="172" t="s">
        <v>127</v>
      </c>
      <c r="B201" s="159"/>
      <c r="C201" s="173"/>
      <c r="D201" s="174"/>
      <c r="E201" s="175" t="s">
        <v>127</v>
      </c>
      <c r="F201" s="176" t="s">
        <v>127</v>
      </c>
      <c r="G201" s="177" t="str">
        <f>IFERROR(__xludf.DUMMYFUNCTION("""COMPUTED_VALUE"""),"")</f>
        <v/>
      </c>
      <c r="H201" s="178" t="s">
        <v>127</v>
      </c>
      <c r="I201" s="159"/>
      <c r="J201" s="159"/>
      <c r="K201" s="159"/>
      <c r="M201" s="159"/>
      <c r="O201" s="157"/>
    </row>
    <row r="202">
      <c r="A202" s="172" t="s">
        <v>127</v>
      </c>
      <c r="B202" s="159"/>
      <c r="C202" s="173"/>
      <c r="D202" s="174"/>
      <c r="E202" s="175" t="s">
        <v>127</v>
      </c>
      <c r="F202" s="176" t="s">
        <v>127</v>
      </c>
      <c r="G202" s="177" t="str">
        <f>IFERROR(__xludf.DUMMYFUNCTION("""COMPUTED_VALUE"""),"")</f>
        <v/>
      </c>
      <c r="H202" s="178" t="s">
        <v>127</v>
      </c>
      <c r="I202" s="159"/>
      <c r="J202" s="159"/>
      <c r="K202" s="159"/>
      <c r="M202" s="159"/>
      <c r="O202" s="157"/>
    </row>
    <row r="203">
      <c r="A203" s="172" t="s">
        <v>127</v>
      </c>
      <c r="B203" s="159"/>
      <c r="C203" s="173"/>
      <c r="D203" s="174"/>
      <c r="E203" s="175" t="s">
        <v>127</v>
      </c>
      <c r="F203" s="176" t="s">
        <v>127</v>
      </c>
      <c r="G203" s="177" t="str">
        <f>IFERROR(__xludf.DUMMYFUNCTION("""COMPUTED_VALUE"""),"")</f>
        <v/>
      </c>
      <c r="H203" s="178" t="s">
        <v>127</v>
      </c>
      <c r="I203" s="159"/>
      <c r="J203" s="159"/>
      <c r="K203" s="159"/>
      <c r="M203" s="159"/>
      <c r="O203" s="157"/>
    </row>
    <row r="204">
      <c r="A204" s="172" t="s">
        <v>127</v>
      </c>
      <c r="B204" s="159"/>
      <c r="C204" s="173"/>
      <c r="D204" s="174"/>
      <c r="E204" s="175" t="s">
        <v>127</v>
      </c>
      <c r="F204" s="176" t="s">
        <v>127</v>
      </c>
      <c r="G204" s="177" t="str">
        <f>IFERROR(__xludf.DUMMYFUNCTION("""COMPUTED_VALUE"""),"")</f>
        <v/>
      </c>
      <c r="H204" s="178" t="s">
        <v>127</v>
      </c>
      <c r="I204" s="159"/>
      <c r="J204" s="159"/>
      <c r="K204" s="159"/>
      <c r="M204" s="159"/>
      <c r="O204" s="157"/>
    </row>
    <row r="205">
      <c r="A205" s="172" t="s">
        <v>127</v>
      </c>
      <c r="B205" s="159"/>
      <c r="C205" s="173"/>
      <c r="D205" s="174"/>
      <c r="E205" s="175" t="s">
        <v>127</v>
      </c>
      <c r="F205" s="176" t="s">
        <v>127</v>
      </c>
      <c r="G205" s="177" t="str">
        <f>IFERROR(__xludf.DUMMYFUNCTION("""COMPUTED_VALUE"""),"")</f>
        <v/>
      </c>
      <c r="H205" s="178" t="s">
        <v>127</v>
      </c>
      <c r="I205" s="159"/>
      <c r="J205" s="159"/>
      <c r="K205" s="159"/>
      <c r="M205" s="159"/>
      <c r="O205" s="157"/>
    </row>
    <row r="206">
      <c r="A206" s="172" t="s">
        <v>127</v>
      </c>
      <c r="B206" s="159"/>
      <c r="C206" s="173"/>
      <c r="D206" s="174"/>
      <c r="E206" s="175" t="s">
        <v>127</v>
      </c>
      <c r="F206" s="176" t="s">
        <v>127</v>
      </c>
      <c r="G206" s="177" t="str">
        <f>IFERROR(__xludf.DUMMYFUNCTION("""COMPUTED_VALUE"""),"")</f>
        <v/>
      </c>
      <c r="H206" s="178" t="s">
        <v>127</v>
      </c>
      <c r="I206" s="159"/>
      <c r="J206" s="159"/>
      <c r="K206" s="159"/>
      <c r="M206" s="159"/>
      <c r="O206" s="157"/>
    </row>
    <row r="207">
      <c r="A207" s="172" t="s">
        <v>127</v>
      </c>
      <c r="B207" s="159"/>
      <c r="C207" s="173"/>
      <c r="D207" s="174"/>
      <c r="E207" s="175" t="s">
        <v>127</v>
      </c>
      <c r="F207" s="176" t="s">
        <v>127</v>
      </c>
      <c r="G207" s="177" t="str">
        <f>IFERROR(__xludf.DUMMYFUNCTION("""COMPUTED_VALUE"""),"")</f>
        <v/>
      </c>
      <c r="H207" s="178" t="s">
        <v>127</v>
      </c>
      <c r="I207" s="159"/>
      <c r="J207" s="159"/>
      <c r="K207" s="159"/>
      <c r="M207" s="159"/>
      <c r="O207" s="157"/>
    </row>
    <row r="208">
      <c r="A208" s="172" t="s">
        <v>127</v>
      </c>
      <c r="B208" s="159"/>
      <c r="C208" s="173"/>
      <c r="D208" s="174"/>
      <c r="E208" s="175" t="s">
        <v>127</v>
      </c>
      <c r="F208" s="176" t="s">
        <v>127</v>
      </c>
      <c r="G208" s="177" t="str">
        <f>IFERROR(__xludf.DUMMYFUNCTION("""COMPUTED_VALUE"""),"")</f>
        <v/>
      </c>
      <c r="H208" s="178" t="s">
        <v>127</v>
      </c>
      <c r="I208" s="159"/>
      <c r="J208" s="159"/>
      <c r="K208" s="159"/>
      <c r="M208" s="159"/>
      <c r="O208" s="157"/>
    </row>
    <row r="209">
      <c r="A209" s="172" t="s">
        <v>127</v>
      </c>
      <c r="B209" s="159"/>
      <c r="C209" s="173"/>
      <c r="D209" s="174"/>
      <c r="E209" s="175" t="s">
        <v>127</v>
      </c>
      <c r="F209" s="176" t="s">
        <v>127</v>
      </c>
      <c r="G209" s="177" t="str">
        <f>IFERROR(__xludf.DUMMYFUNCTION("""COMPUTED_VALUE"""),"")</f>
        <v/>
      </c>
      <c r="H209" s="178" t="s">
        <v>127</v>
      </c>
      <c r="I209" s="159"/>
      <c r="J209" s="159"/>
      <c r="K209" s="159"/>
      <c r="M209" s="159"/>
      <c r="O209" s="157"/>
    </row>
    <row r="210">
      <c r="A210" s="172" t="s">
        <v>127</v>
      </c>
      <c r="B210" s="159"/>
      <c r="C210" s="173"/>
      <c r="D210" s="174"/>
      <c r="E210" s="175" t="s">
        <v>127</v>
      </c>
      <c r="F210" s="176" t="s">
        <v>127</v>
      </c>
      <c r="G210" s="177" t="str">
        <f>IFERROR(__xludf.DUMMYFUNCTION("""COMPUTED_VALUE"""),"")</f>
        <v/>
      </c>
      <c r="H210" s="178" t="s">
        <v>127</v>
      </c>
      <c r="I210" s="159"/>
      <c r="J210" s="159"/>
      <c r="K210" s="159"/>
      <c r="M210" s="159"/>
      <c r="O210" s="157"/>
    </row>
    <row r="211">
      <c r="A211" s="172" t="s">
        <v>127</v>
      </c>
      <c r="B211" s="159"/>
      <c r="C211" s="173"/>
      <c r="D211" s="174"/>
      <c r="E211" s="175" t="s">
        <v>127</v>
      </c>
      <c r="F211" s="176" t="s">
        <v>127</v>
      </c>
      <c r="G211" s="177" t="str">
        <f>IFERROR(__xludf.DUMMYFUNCTION("""COMPUTED_VALUE"""),"")</f>
        <v/>
      </c>
      <c r="H211" s="178" t="s">
        <v>127</v>
      </c>
      <c r="I211" s="159"/>
      <c r="J211" s="159"/>
      <c r="K211" s="159"/>
      <c r="M211" s="159"/>
      <c r="O211" s="157"/>
    </row>
    <row r="212">
      <c r="A212" s="172" t="s">
        <v>127</v>
      </c>
      <c r="B212" s="159"/>
      <c r="C212" s="173"/>
      <c r="D212" s="174"/>
      <c r="E212" s="175" t="s">
        <v>127</v>
      </c>
      <c r="F212" s="176" t="s">
        <v>127</v>
      </c>
      <c r="G212" s="177" t="str">
        <f>IFERROR(__xludf.DUMMYFUNCTION("""COMPUTED_VALUE"""),"")</f>
        <v/>
      </c>
      <c r="H212" s="178" t="s">
        <v>127</v>
      </c>
      <c r="I212" s="159"/>
      <c r="J212" s="159"/>
      <c r="K212" s="159"/>
      <c r="M212" s="159"/>
      <c r="O212" s="157"/>
    </row>
    <row r="213">
      <c r="A213" s="172" t="s">
        <v>127</v>
      </c>
      <c r="B213" s="159"/>
      <c r="C213" s="173"/>
      <c r="D213" s="174"/>
      <c r="E213" s="175" t="s">
        <v>127</v>
      </c>
      <c r="F213" s="176" t="s">
        <v>127</v>
      </c>
      <c r="G213" s="177" t="str">
        <f>IFERROR(__xludf.DUMMYFUNCTION("""COMPUTED_VALUE"""),"")</f>
        <v/>
      </c>
      <c r="H213" s="178" t="s">
        <v>127</v>
      </c>
      <c r="I213" s="159"/>
      <c r="J213" s="159"/>
      <c r="K213" s="159"/>
      <c r="M213" s="159"/>
      <c r="O213" s="157"/>
    </row>
    <row r="214">
      <c r="A214" s="172" t="s">
        <v>127</v>
      </c>
      <c r="B214" s="159"/>
      <c r="C214" s="173"/>
      <c r="D214" s="174"/>
      <c r="E214" s="175" t="s">
        <v>127</v>
      </c>
      <c r="F214" s="176" t="s">
        <v>127</v>
      </c>
      <c r="G214" s="177" t="str">
        <f>IFERROR(__xludf.DUMMYFUNCTION("""COMPUTED_VALUE"""),"")</f>
        <v/>
      </c>
      <c r="H214" s="178" t="s">
        <v>127</v>
      </c>
      <c r="I214" s="159"/>
      <c r="J214" s="159"/>
      <c r="K214" s="159"/>
      <c r="M214" s="159"/>
      <c r="O214" s="157"/>
    </row>
    <row r="215">
      <c r="A215" s="172" t="s">
        <v>127</v>
      </c>
      <c r="B215" s="159"/>
      <c r="C215" s="173"/>
      <c r="D215" s="174"/>
      <c r="E215" s="175" t="s">
        <v>127</v>
      </c>
      <c r="F215" s="176" t="s">
        <v>127</v>
      </c>
      <c r="G215" s="177" t="str">
        <f>IFERROR(__xludf.DUMMYFUNCTION("""COMPUTED_VALUE"""),"")</f>
        <v/>
      </c>
      <c r="H215" s="178" t="s">
        <v>127</v>
      </c>
      <c r="I215" s="159"/>
      <c r="J215" s="159"/>
      <c r="K215" s="159"/>
      <c r="M215" s="159"/>
      <c r="O215" s="157"/>
    </row>
    <row r="216">
      <c r="A216" s="172" t="s">
        <v>127</v>
      </c>
      <c r="B216" s="159"/>
      <c r="C216" s="173"/>
      <c r="D216" s="174"/>
      <c r="E216" s="175" t="s">
        <v>127</v>
      </c>
      <c r="F216" s="176" t="s">
        <v>127</v>
      </c>
      <c r="G216" s="177" t="str">
        <f>IFERROR(__xludf.DUMMYFUNCTION("""COMPUTED_VALUE"""),"")</f>
        <v/>
      </c>
      <c r="H216" s="178" t="s">
        <v>127</v>
      </c>
      <c r="I216" s="159"/>
      <c r="J216" s="159"/>
      <c r="K216" s="159"/>
      <c r="M216" s="159"/>
      <c r="O216" s="157"/>
    </row>
    <row r="217">
      <c r="A217" s="172" t="s">
        <v>127</v>
      </c>
      <c r="B217" s="159"/>
      <c r="C217" s="173"/>
      <c r="D217" s="174"/>
      <c r="E217" s="175" t="s">
        <v>127</v>
      </c>
      <c r="F217" s="176" t="s">
        <v>127</v>
      </c>
      <c r="G217" s="177" t="str">
        <f>IFERROR(__xludf.DUMMYFUNCTION("""COMPUTED_VALUE"""),"")</f>
        <v/>
      </c>
      <c r="H217" s="178" t="s">
        <v>127</v>
      </c>
      <c r="I217" s="159"/>
      <c r="J217" s="159"/>
      <c r="K217" s="159"/>
      <c r="M217" s="159"/>
      <c r="O217" s="157"/>
    </row>
    <row r="218">
      <c r="A218" s="172" t="s">
        <v>127</v>
      </c>
      <c r="B218" s="159"/>
      <c r="C218" s="173"/>
      <c r="D218" s="174"/>
      <c r="E218" s="175" t="s">
        <v>127</v>
      </c>
      <c r="F218" s="176" t="s">
        <v>127</v>
      </c>
      <c r="G218" s="177" t="str">
        <f>IFERROR(__xludf.DUMMYFUNCTION("""COMPUTED_VALUE"""),"")</f>
        <v/>
      </c>
      <c r="H218" s="178" t="s">
        <v>127</v>
      </c>
      <c r="I218" s="159"/>
      <c r="J218" s="159"/>
      <c r="K218" s="159"/>
      <c r="M218" s="159"/>
      <c r="O218" s="157"/>
    </row>
    <row r="219">
      <c r="A219" s="172" t="s">
        <v>127</v>
      </c>
      <c r="B219" s="159"/>
      <c r="C219" s="173"/>
      <c r="D219" s="174"/>
      <c r="E219" s="175" t="s">
        <v>127</v>
      </c>
      <c r="F219" s="176" t="s">
        <v>127</v>
      </c>
      <c r="G219" s="177" t="str">
        <f>IFERROR(__xludf.DUMMYFUNCTION("""COMPUTED_VALUE"""),"")</f>
        <v/>
      </c>
      <c r="H219" s="178" t="s">
        <v>127</v>
      </c>
      <c r="I219" s="159"/>
      <c r="J219" s="159"/>
      <c r="K219" s="159"/>
      <c r="M219" s="159"/>
      <c r="O219" s="157"/>
    </row>
    <row r="220">
      <c r="A220" s="172" t="s">
        <v>127</v>
      </c>
      <c r="B220" s="159"/>
      <c r="C220" s="173"/>
      <c r="D220" s="174"/>
      <c r="E220" s="175" t="s">
        <v>127</v>
      </c>
      <c r="F220" s="176" t="s">
        <v>127</v>
      </c>
      <c r="G220" s="177" t="str">
        <f>IFERROR(__xludf.DUMMYFUNCTION("""COMPUTED_VALUE"""),"")</f>
        <v/>
      </c>
      <c r="H220" s="178" t="s">
        <v>127</v>
      </c>
      <c r="I220" s="159"/>
      <c r="J220" s="159"/>
      <c r="K220" s="159"/>
      <c r="M220" s="159"/>
      <c r="O220" s="157"/>
    </row>
    <row r="221">
      <c r="A221" s="172" t="s">
        <v>127</v>
      </c>
      <c r="B221" s="159"/>
      <c r="C221" s="173"/>
      <c r="D221" s="174"/>
      <c r="E221" s="175" t="s">
        <v>127</v>
      </c>
      <c r="F221" s="176" t="s">
        <v>127</v>
      </c>
      <c r="G221" s="177" t="str">
        <f>IFERROR(__xludf.DUMMYFUNCTION("""COMPUTED_VALUE"""),"")</f>
        <v/>
      </c>
      <c r="H221" s="178" t="s">
        <v>127</v>
      </c>
      <c r="I221" s="159"/>
      <c r="J221" s="159"/>
      <c r="K221" s="159"/>
      <c r="M221" s="159"/>
      <c r="O221" s="157"/>
    </row>
    <row r="222">
      <c r="A222" s="172" t="s">
        <v>127</v>
      </c>
      <c r="B222" s="159"/>
      <c r="C222" s="173"/>
      <c r="D222" s="174"/>
      <c r="E222" s="175" t="s">
        <v>127</v>
      </c>
      <c r="F222" s="176" t="s">
        <v>127</v>
      </c>
      <c r="G222" s="177" t="str">
        <f>IFERROR(__xludf.DUMMYFUNCTION("""COMPUTED_VALUE"""),"")</f>
        <v/>
      </c>
      <c r="H222" s="178" t="s">
        <v>127</v>
      </c>
      <c r="I222" s="159"/>
      <c r="J222" s="159"/>
      <c r="K222" s="159"/>
      <c r="M222" s="159"/>
      <c r="O222" s="157"/>
    </row>
    <row r="223">
      <c r="A223" s="172" t="s">
        <v>127</v>
      </c>
      <c r="B223" s="159"/>
      <c r="C223" s="173"/>
      <c r="D223" s="174"/>
      <c r="E223" s="175" t="s">
        <v>127</v>
      </c>
      <c r="F223" s="176" t="s">
        <v>127</v>
      </c>
      <c r="G223" s="177" t="str">
        <f>IFERROR(__xludf.DUMMYFUNCTION("""COMPUTED_VALUE"""),"")</f>
        <v/>
      </c>
      <c r="H223" s="178" t="s">
        <v>127</v>
      </c>
      <c r="I223" s="159"/>
      <c r="J223" s="159"/>
      <c r="K223" s="159"/>
      <c r="M223" s="159"/>
      <c r="O223" s="157"/>
    </row>
    <row r="224">
      <c r="A224" s="172" t="s">
        <v>127</v>
      </c>
      <c r="B224" s="159"/>
      <c r="C224" s="173"/>
      <c r="D224" s="174"/>
      <c r="E224" s="175" t="s">
        <v>127</v>
      </c>
      <c r="F224" s="176" t="s">
        <v>127</v>
      </c>
      <c r="G224" s="177" t="str">
        <f>IFERROR(__xludf.DUMMYFUNCTION("""COMPUTED_VALUE"""),"")</f>
        <v/>
      </c>
      <c r="H224" s="178" t="s">
        <v>127</v>
      </c>
      <c r="I224" s="159"/>
      <c r="J224" s="159"/>
      <c r="K224" s="159"/>
      <c r="M224" s="159"/>
      <c r="O224" s="157"/>
    </row>
    <row r="225">
      <c r="A225" s="172" t="s">
        <v>127</v>
      </c>
      <c r="B225" s="159"/>
      <c r="C225" s="173"/>
      <c r="D225" s="174"/>
      <c r="E225" s="175" t="s">
        <v>127</v>
      </c>
      <c r="F225" s="176" t="s">
        <v>127</v>
      </c>
      <c r="G225" s="177" t="str">
        <f>IFERROR(__xludf.DUMMYFUNCTION("""COMPUTED_VALUE"""),"")</f>
        <v/>
      </c>
      <c r="H225" s="178" t="s">
        <v>127</v>
      </c>
      <c r="I225" s="159"/>
      <c r="J225" s="159"/>
      <c r="K225" s="159"/>
      <c r="M225" s="159"/>
      <c r="O225" s="157"/>
    </row>
    <row r="226">
      <c r="A226" s="172" t="s">
        <v>127</v>
      </c>
      <c r="B226" s="159"/>
      <c r="C226" s="173"/>
      <c r="D226" s="174"/>
      <c r="E226" s="175" t="s">
        <v>127</v>
      </c>
      <c r="F226" s="176" t="s">
        <v>127</v>
      </c>
      <c r="G226" s="177" t="str">
        <f>IFERROR(__xludf.DUMMYFUNCTION("""COMPUTED_VALUE"""),"")</f>
        <v/>
      </c>
      <c r="H226" s="178" t="s">
        <v>127</v>
      </c>
      <c r="I226" s="159"/>
      <c r="J226" s="159"/>
      <c r="K226" s="159"/>
      <c r="M226" s="159"/>
      <c r="O226" s="157"/>
    </row>
    <row r="227">
      <c r="A227" s="172" t="s">
        <v>127</v>
      </c>
      <c r="B227" s="159"/>
      <c r="C227" s="173"/>
      <c r="D227" s="174"/>
      <c r="E227" s="175" t="s">
        <v>127</v>
      </c>
      <c r="F227" s="176" t="s">
        <v>127</v>
      </c>
      <c r="G227" s="177" t="str">
        <f>IFERROR(__xludf.DUMMYFUNCTION("""COMPUTED_VALUE"""),"")</f>
        <v/>
      </c>
      <c r="H227" s="178" t="s">
        <v>127</v>
      </c>
      <c r="I227" s="159"/>
      <c r="J227" s="159"/>
      <c r="K227" s="159"/>
      <c r="M227" s="159"/>
      <c r="O227" s="157"/>
    </row>
    <row r="228">
      <c r="A228" s="172" t="s">
        <v>127</v>
      </c>
      <c r="B228" s="159"/>
      <c r="C228" s="173"/>
      <c r="D228" s="174"/>
      <c r="E228" s="175" t="s">
        <v>127</v>
      </c>
      <c r="F228" s="176" t="s">
        <v>127</v>
      </c>
      <c r="G228" s="177" t="str">
        <f>IFERROR(__xludf.DUMMYFUNCTION("""COMPUTED_VALUE"""),"")</f>
        <v/>
      </c>
      <c r="H228" s="178" t="s">
        <v>127</v>
      </c>
      <c r="I228" s="159"/>
      <c r="J228" s="159"/>
      <c r="K228" s="159"/>
      <c r="M228" s="159"/>
      <c r="O228" s="157"/>
    </row>
    <row r="229">
      <c r="A229" s="172" t="s">
        <v>127</v>
      </c>
      <c r="B229" s="159"/>
      <c r="C229" s="173"/>
      <c r="D229" s="174"/>
      <c r="E229" s="175" t="s">
        <v>127</v>
      </c>
      <c r="F229" s="176" t="s">
        <v>127</v>
      </c>
      <c r="G229" s="177" t="str">
        <f>IFERROR(__xludf.DUMMYFUNCTION("""COMPUTED_VALUE"""),"")</f>
        <v/>
      </c>
      <c r="H229" s="178" t="s">
        <v>127</v>
      </c>
      <c r="I229" s="159"/>
      <c r="J229" s="159"/>
      <c r="K229" s="159"/>
      <c r="M229" s="159"/>
      <c r="O229" s="157"/>
    </row>
    <row r="230">
      <c r="A230" s="172" t="s">
        <v>127</v>
      </c>
      <c r="B230" s="159"/>
      <c r="C230" s="173"/>
      <c r="D230" s="174"/>
      <c r="E230" s="175" t="s">
        <v>127</v>
      </c>
      <c r="F230" s="176" t="s">
        <v>127</v>
      </c>
      <c r="G230" s="177" t="str">
        <f>IFERROR(__xludf.DUMMYFUNCTION("""COMPUTED_VALUE"""),"")</f>
        <v/>
      </c>
      <c r="H230" s="178" t="s">
        <v>127</v>
      </c>
      <c r="I230" s="159"/>
      <c r="J230" s="159"/>
      <c r="K230" s="159"/>
      <c r="M230" s="159"/>
      <c r="O230" s="157"/>
    </row>
    <row r="231">
      <c r="A231" s="172" t="s">
        <v>127</v>
      </c>
      <c r="B231" s="159"/>
      <c r="C231" s="173"/>
      <c r="D231" s="174"/>
      <c r="E231" s="175" t="s">
        <v>127</v>
      </c>
      <c r="F231" s="176" t="s">
        <v>127</v>
      </c>
      <c r="G231" s="177" t="str">
        <f>IFERROR(__xludf.DUMMYFUNCTION("""COMPUTED_VALUE"""),"")</f>
        <v/>
      </c>
      <c r="H231" s="178" t="s">
        <v>127</v>
      </c>
      <c r="I231" s="159"/>
      <c r="J231" s="159"/>
      <c r="K231" s="159"/>
      <c r="M231" s="159"/>
      <c r="O231" s="157"/>
    </row>
    <row r="232">
      <c r="A232" s="172" t="s">
        <v>127</v>
      </c>
      <c r="B232" s="159"/>
      <c r="C232" s="173"/>
      <c r="D232" s="174"/>
      <c r="E232" s="175" t="s">
        <v>127</v>
      </c>
      <c r="F232" s="176" t="s">
        <v>127</v>
      </c>
      <c r="G232" s="177" t="str">
        <f>IFERROR(__xludf.DUMMYFUNCTION("""COMPUTED_VALUE"""),"")</f>
        <v/>
      </c>
      <c r="H232" s="178" t="s">
        <v>127</v>
      </c>
      <c r="I232" s="159"/>
      <c r="J232" s="159"/>
      <c r="K232" s="159"/>
      <c r="M232" s="159"/>
      <c r="O232" s="157"/>
    </row>
    <row r="233">
      <c r="A233" s="172" t="s">
        <v>127</v>
      </c>
      <c r="B233" s="159"/>
      <c r="C233" s="173"/>
      <c r="D233" s="174"/>
      <c r="E233" s="175" t="s">
        <v>127</v>
      </c>
      <c r="F233" s="176" t="s">
        <v>127</v>
      </c>
      <c r="G233" s="177" t="str">
        <f>IFERROR(__xludf.DUMMYFUNCTION("""COMPUTED_VALUE"""),"")</f>
        <v/>
      </c>
      <c r="H233" s="178" t="s">
        <v>127</v>
      </c>
      <c r="I233" s="159"/>
      <c r="J233" s="159"/>
      <c r="K233" s="159"/>
      <c r="M233" s="159"/>
      <c r="O233" s="157"/>
    </row>
    <row r="234">
      <c r="A234" s="172" t="s">
        <v>127</v>
      </c>
      <c r="B234" s="159"/>
      <c r="C234" s="173"/>
      <c r="D234" s="174"/>
      <c r="E234" s="175" t="s">
        <v>127</v>
      </c>
      <c r="F234" s="176" t="s">
        <v>127</v>
      </c>
      <c r="G234" s="177" t="str">
        <f>IFERROR(__xludf.DUMMYFUNCTION("""COMPUTED_VALUE"""),"")</f>
        <v/>
      </c>
      <c r="H234" s="178" t="s">
        <v>127</v>
      </c>
      <c r="I234" s="159"/>
      <c r="J234" s="159"/>
      <c r="K234" s="159"/>
      <c r="M234" s="159"/>
      <c r="O234" s="157"/>
    </row>
    <row r="235">
      <c r="A235" s="172" t="s">
        <v>127</v>
      </c>
      <c r="B235" s="159"/>
      <c r="C235" s="173"/>
      <c r="D235" s="174"/>
      <c r="E235" s="175" t="s">
        <v>127</v>
      </c>
      <c r="F235" s="176" t="s">
        <v>127</v>
      </c>
      <c r="G235" s="177" t="str">
        <f>IFERROR(__xludf.DUMMYFUNCTION("""COMPUTED_VALUE"""),"")</f>
        <v/>
      </c>
      <c r="H235" s="178" t="s">
        <v>127</v>
      </c>
      <c r="I235" s="159"/>
      <c r="J235" s="159"/>
      <c r="K235" s="159"/>
      <c r="M235" s="159"/>
      <c r="O235" s="157"/>
    </row>
    <row r="236">
      <c r="A236" s="172" t="s">
        <v>127</v>
      </c>
      <c r="B236" s="159"/>
      <c r="C236" s="173"/>
      <c r="D236" s="174"/>
      <c r="E236" s="175" t="s">
        <v>127</v>
      </c>
      <c r="F236" s="176" t="s">
        <v>127</v>
      </c>
      <c r="G236" s="177" t="str">
        <f>IFERROR(__xludf.DUMMYFUNCTION("""COMPUTED_VALUE"""),"")</f>
        <v/>
      </c>
      <c r="H236" s="178" t="s">
        <v>127</v>
      </c>
      <c r="I236" s="159"/>
      <c r="J236" s="159"/>
      <c r="K236" s="159"/>
      <c r="M236" s="159"/>
      <c r="O236" s="157"/>
    </row>
    <row r="237">
      <c r="A237" s="172" t="s">
        <v>127</v>
      </c>
      <c r="B237" s="159"/>
      <c r="C237" s="173"/>
      <c r="D237" s="174"/>
      <c r="E237" s="175" t="s">
        <v>127</v>
      </c>
      <c r="F237" s="176" t="s">
        <v>127</v>
      </c>
      <c r="G237" s="177" t="str">
        <f>IFERROR(__xludf.DUMMYFUNCTION("""COMPUTED_VALUE"""),"")</f>
        <v/>
      </c>
      <c r="H237" s="178" t="s">
        <v>127</v>
      </c>
      <c r="I237" s="159"/>
      <c r="J237" s="159"/>
      <c r="K237" s="159"/>
      <c r="M237" s="159"/>
      <c r="O237" s="157"/>
    </row>
    <row r="238">
      <c r="A238" s="172" t="s">
        <v>127</v>
      </c>
      <c r="B238" s="159"/>
      <c r="C238" s="173"/>
      <c r="D238" s="174"/>
      <c r="E238" s="175" t="s">
        <v>127</v>
      </c>
      <c r="F238" s="176" t="s">
        <v>127</v>
      </c>
      <c r="G238" s="177" t="str">
        <f>IFERROR(__xludf.DUMMYFUNCTION("""COMPUTED_VALUE"""),"")</f>
        <v/>
      </c>
      <c r="H238" s="178" t="s">
        <v>127</v>
      </c>
      <c r="I238" s="159"/>
      <c r="J238" s="159"/>
      <c r="K238" s="159"/>
      <c r="M238" s="159"/>
      <c r="O238" s="157"/>
    </row>
    <row r="239">
      <c r="A239" s="172" t="s">
        <v>127</v>
      </c>
      <c r="B239" s="159"/>
      <c r="C239" s="173"/>
      <c r="D239" s="174"/>
      <c r="E239" s="175" t="s">
        <v>127</v>
      </c>
      <c r="F239" s="176" t="s">
        <v>127</v>
      </c>
      <c r="G239" s="177" t="str">
        <f>IFERROR(__xludf.DUMMYFUNCTION("""COMPUTED_VALUE"""),"")</f>
        <v/>
      </c>
      <c r="H239" s="178" t="s">
        <v>127</v>
      </c>
      <c r="I239" s="159"/>
      <c r="J239" s="159"/>
      <c r="K239" s="159"/>
      <c r="M239" s="159"/>
      <c r="O239" s="157"/>
    </row>
    <row r="240">
      <c r="A240" s="172" t="s">
        <v>127</v>
      </c>
      <c r="B240" s="159"/>
      <c r="C240" s="173"/>
      <c r="D240" s="174"/>
      <c r="E240" s="175" t="s">
        <v>127</v>
      </c>
      <c r="F240" s="176" t="s">
        <v>127</v>
      </c>
      <c r="G240" s="177" t="str">
        <f>IFERROR(__xludf.DUMMYFUNCTION("""COMPUTED_VALUE"""),"")</f>
        <v/>
      </c>
      <c r="H240" s="178" t="s">
        <v>127</v>
      </c>
      <c r="I240" s="159"/>
      <c r="J240" s="159"/>
      <c r="K240" s="159"/>
      <c r="M240" s="159"/>
      <c r="O240" s="157"/>
    </row>
    <row r="241">
      <c r="A241" s="172" t="s">
        <v>127</v>
      </c>
      <c r="B241" s="159"/>
      <c r="C241" s="173"/>
      <c r="D241" s="174"/>
      <c r="E241" s="175" t="s">
        <v>127</v>
      </c>
      <c r="F241" s="176" t="s">
        <v>127</v>
      </c>
      <c r="G241" s="177" t="str">
        <f>IFERROR(__xludf.DUMMYFUNCTION("""COMPUTED_VALUE"""),"")</f>
        <v/>
      </c>
      <c r="H241" s="178" t="s">
        <v>127</v>
      </c>
      <c r="I241" s="159"/>
      <c r="J241" s="159"/>
      <c r="K241" s="159"/>
      <c r="M241" s="159"/>
      <c r="O241" s="157"/>
    </row>
    <row r="242">
      <c r="A242" s="172" t="s">
        <v>127</v>
      </c>
      <c r="B242" s="159"/>
      <c r="C242" s="173"/>
      <c r="D242" s="174"/>
      <c r="E242" s="175" t="s">
        <v>127</v>
      </c>
      <c r="F242" s="176" t="s">
        <v>127</v>
      </c>
      <c r="G242" s="177" t="str">
        <f>IFERROR(__xludf.DUMMYFUNCTION("""COMPUTED_VALUE"""),"")</f>
        <v/>
      </c>
      <c r="H242" s="178" t="s">
        <v>127</v>
      </c>
      <c r="I242" s="159"/>
      <c r="J242" s="159"/>
      <c r="K242" s="159"/>
      <c r="M242" s="159"/>
      <c r="O242" s="157"/>
    </row>
    <row r="243">
      <c r="A243" s="172" t="s">
        <v>127</v>
      </c>
      <c r="B243" s="159"/>
      <c r="C243" s="173"/>
      <c r="D243" s="174"/>
      <c r="E243" s="175" t="s">
        <v>127</v>
      </c>
      <c r="F243" s="176" t="s">
        <v>127</v>
      </c>
      <c r="G243" s="177" t="str">
        <f>IFERROR(__xludf.DUMMYFUNCTION("""COMPUTED_VALUE"""),"")</f>
        <v/>
      </c>
      <c r="H243" s="178" t="s">
        <v>127</v>
      </c>
      <c r="I243" s="159"/>
      <c r="J243" s="159"/>
      <c r="K243" s="159"/>
      <c r="M243" s="159"/>
      <c r="O243" s="157"/>
    </row>
    <row r="244">
      <c r="A244" s="172" t="s">
        <v>127</v>
      </c>
      <c r="B244" s="159"/>
      <c r="C244" s="173"/>
      <c r="D244" s="174"/>
      <c r="E244" s="175" t="s">
        <v>127</v>
      </c>
      <c r="F244" s="176" t="s">
        <v>127</v>
      </c>
      <c r="G244" s="177" t="str">
        <f>IFERROR(__xludf.DUMMYFUNCTION("""COMPUTED_VALUE"""),"")</f>
        <v/>
      </c>
      <c r="H244" s="178" t="s">
        <v>127</v>
      </c>
      <c r="I244" s="159"/>
      <c r="J244" s="159"/>
      <c r="K244" s="159"/>
      <c r="M244" s="159"/>
      <c r="O244" s="157"/>
    </row>
    <row r="245">
      <c r="A245" s="172" t="s">
        <v>127</v>
      </c>
      <c r="B245" s="159"/>
      <c r="C245" s="173"/>
      <c r="D245" s="174"/>
      <c r="E245" s="175" t="s">
        <v>127</v>
      </c>
      <c r="F245" s="176" t="s">
        <v>127</v>
      </c>
      <c r="G245" s="177" t="str">
        <f>IFERROR(__xludf.DUMMYFUNCTION("""COMPUTED_VALUE"""),"")</f>
        <v/>
      </c>
      <c r="H245" s="178" t="s">
        <v>127</v>
      </c>
      <c r="I245" s="159"/>
      <c r="J245" s="159"/>
      <c r="K245" s="159"/>
      <c r="M245" s="159"/>
      <c r="O245" s="157"/>
    </row>
    <row r="246">
      <c r="A246" s="172" t="s">
        <v>127</v>
      </c>
      <c r="B246" s="159"/>
      <c r="C246" s="173"/>
      <c r="D246" s="174"/>
      <c r="E246" s="175" t="s">
        <v>127</v>
      </c>
      <c r="F246" s="176" t="s">
        <v>127</v>
      </c>
      <c r="G246" s="177" t="str">
        <f>IFERROR(__xludf.DUMMYFUNCTION("""COMPUTED_VALUE"""),"")</f>
        <v/>
      </c>
      <c r="H246" s="178" t="s">
        <v>127</v>
      </c>
      <c r="I246" s="159"/>
      <c r="J246" s="159"/>
      <c r="K246" s="159"/>
      <c r="M246" s="159"/>
      <c r="O246" s="157"/>
    </row>
    <row r="247">
      <c r="A247" s="172" t="s">
        <v>127</v>
      </c>
      <c r="B247" s="159"/>
      <c r="C247" s="173"/>
      <c r="D247" s="174"/>
      <c r="E247" s="175" t="s">
        <v>127</v>
      </c>
      <c r="F247" s="176" t="s">
        <v>127</v>
      </c>
      <c r="G247" s="177" t="str">
        <f>IFERROR(__xludf.DUMMYFUNCTION("""COMPUTED_VALUE"""),"")</f>
        <v/>
      </c>
      <c r="H247" s="178" t="s">
        <v>127</v>
      </c>
      <c r="I247" s="159"/>
      <c r="J247" s="159"/>
      <c r="K247" s="159"/>
      <c r="M247" s="159"/>
      <c r="O247" s="157"/>
    </row>
    <row r="248">
      <c r="A248" s="172" t="s">
        <v>127</v>
      </c>
      <c r="B248" s="159"/>
      <c r="C248" s="173"/>
      <c r="D248" s="174"/>
      <c r="E248" s="175" t="s">
        <v>127</v>
      </c>
      <c r="F248" s="176" t="s">
        <v>127</v>
      </c>
      <c r="G248" s="177" t="str">
        <f>IFERROR(__xludf.DUMMYFUNCTION("""COMPUTED_VALUE"""),"")</f>
        <v/>
      </c>
      <c r="H248" s="178" t="s">
        <v>127</v>
      </c>
      <c r="I248" s="159"/>
      <c r="J248" s="159"/>
      <c r="K248" s="159"/>
      <c r="M248" s="159"/>
      <c r="O248" s="157"/>
    </row>
    <row r="249">
      <c r="A249" s="172" t="s">
        <v>127</v>
      </c>
      <c r="B249" s="159"/>
      <c r="C249" s="173"/>
      <c r="D249" s="174"/>
      <c r="E249" s="175" t="s">
        <v>127</v>
      </c>
      <c r="F249" s="176" t="s">
        <v>127</v>
      </c>
      <c r="G249" s="177" t="str">
        <f>IFERROR(__xludf.DUMMYFUNCTION("""COMPUTED_VALUE"""),"")</f>
        <v/>
      </c>
      <c r="H249" s="178" t="s">
        <v>127</v>
      </c>
      <c r="I249" s="159"/>
      <c r="J249" s="159"/>
      <c r="K249" s="159"/>
      <c r="M249" s="159"/>
      <c r="O249" s="157"/>
    </row>
    <row r="250">
      <c r="A250" s="172" t="s">
        <v>127</v>
      </c>
      <c r="B250" s="159"/>
      <c r="C250" s="173"/>
      <c r="D250" s="174"/>
      <c r="E250" s="175" t="s">
        <v>127</v>
      </c>
      <c r="F250" s="176" t="s">
        <v>127</v>
      </c>
      <c r="G250" s="177" t="str">
        <f>IFERROR(__xludf.DUMMYFUNCTION("""COMPUTED_VALUE"""),"")</f>
        <v/>
      </c>
      <c r="H250" s="178" t="s">
        <v>127</v>
      </c>
      <c r="I250" s="159"/>
      <c r="J250" s="159"/>
      <c r="K250" s="159"/>
      <c r="M250" s="159"/>
      <c r="O250" s="157"/>
    </row>
    <row r="251">
      <c r="A251" s="172" t="s">
        <v>127</v>
      </c>
      <c r="B251" s="159"/>
      <c r="C251" s="173"/>
      <c r="D251" s="174"/>
      <c r="E251" s="175" t="s">
        <v>127</v>
      </c>
      <c r="F251" s="176" t="s">
        <v>127</v>
      </c>
      <c r="G251" s="177" t="str">
        <f>IFERROR(__xludf.DUMMYFUNCTION("""COMPUTED_VALUE"""),"")</f>
        <v/>
      </c>
      <c r="H251" s="178" t="s">
        <v>127</v>
      </c>
      <c r="I251" s="159"/>
      <c r="J251" s="159"/>
      <c r="K251" s="159"/>
      <c r="M251" s="159"/>
      <c r="O251" s="157"/>
    </row>
    <row r="252">
      <c r="A252" s="172" t="s">
        <v>127</v>
      </c>
      <c r="B252" s="159"/>
      <c r="C252" s="173"/>
      <c r="D252" s="174"/>
      <c r="E252" s="175" t="s">
        <v>127</v>
      </c>
      <c r="F252" s="176" t="s">
        <v>127</v>
      </c>
      <c r="G252" s="177" t="str">
        <f>IFERROR(__xludf.DUMMYFUNCTION("""COMPUTED_VALUE"""),"")</f>
        <v/>
      </c>
      <c r="H252" s="178" t="s">
        <v>127</v>
      </c>
      <c r="I252" s="159"/>
      <c r="J252" s="159"/>
      <c r="K252" s="159"/>
      <c r="M252" s="159"/>
      <c r="O252" s="157"/>
    </row>
    <row r="253">
      <c r="A253" s="172" t="s">
        <v>127</v>
      </c>
      <c r="B253" s="159"/>
      <c r="C253" s="173"/>
      <c r="D253" s="174"/>
      <c r="E253" s="175" t="s">
        <v>127</v>
      </c>
      <c r="F253" s="176" t="s">
        <v>127</v>
      </c>
      <c r="G253" s="177" t="str">
        <f>IFERROR(__xludf.DUMMYFUNCTION("""COMPUTED_VALUE"""),"")</f>
        <v/>
      </c>
      <c r="H253" s="178" t="s">
        <v>127</v>
      </c>
      <c r="I253" s="159"/>
      <c r="J253" s="159"/>
      <c r="K253" s="159"/>
      <c r="M253" s="159"/>
      <c r="O253" s="157"/>
    </row>
    <row r="254">
      <c r="A254" s="172" t="s">
        <v>127</v>
      </c>
      <c r="B254" s="159"/>
      <c r="C254" s="173"/>
      <c r="D254" s="174"/>
      <c r="E254" s="175" t="s">
        <v>127</v>
      </c>
      <c r="F254" s="176" t="s">
        <v>127</v>
      </c>
      <c r="G254" s="177" t="str">
        <f>IFERROR(__xludf.DUMMYFUNCTION("""COMPUTED_VALUE"""),"")</f>
        <v/>
      </c>
      <c r="H254" s="178" t="s">
        <v>127</v>
      </c>
      <c r="I254" s="159"/>
      <c r="J254" s="159"/>
      <c r="K254" s="159"/>
      <c r="M254" s="159"/>
      <c r="O254" s="157"/>
    </row>
    <row r="255">
      <c r="A255" s="172" t="s">
        <v>127</v>
      </c>
      <c r="B255" s="159"/>
      <c r="C255" s="173"/>
      <c r="D255" s="174"/>
      <c r="E255" s="175" t="s">
        <v>127</v>
      </c>
      <c r="F255" s="176" t="s">
        <v>127</v>
      </c>
      <c r="G255" s="177" t="str">
        <f>IFERROR(__xludf.DUMMYFUNCTION("""COMPUTED_VALUE"""),"")</f>
        <v/>
      </c>
      <c r="H255" s="178" t="s">
        <v>127</v>
      </c>
      <c r="I255" s="159"/>
      <c r="J255" s="159"/>
      <c r="K255" s="159"/>
      <c r="M255" s="159"/>
      <c r="O255" s="157"/>
    </row>
    <row r="256">
      <c r="A256" s="172" t="s">
        <v>127</v>
      </c>
      <c r="B256" s="159"/>
      <c r="C256" s="173"/>
      <c r="D256" s="174"/>
      <c r="E256" s="175" t="s">
        <v>127</v>
      </c>
      <c r="F256" s="176" t="s">
        <v>127</v>
      </c>
      <c r="G256" s="177" t="str">
        <f>IFERROR(__xludf.DUMMYFUNCTION("""COMPUTED_VALUE"""),"")</f>
        <v/>
      </c>
      <c r="H256" s="178" t="s">
        <v>127</v>
      </c>
      <c r="I256" s="159"/>
      <c r="J256" s="159"/>
      <c r="K256" s="159"/>
      <c r="M256" s="159"/>
      <c r="O256" s="157"/>
    </row>
    <row r="257">
      <c r="A257" s="172" t="s">
        <v>127</v>
      </c>
      <c r="B257" s="159"/>
      <c r="C257" s="173"/>
      <c r="D257" s="174"/>
      <c r="E257" s="175" t="s">
        <v>127</v>
      </c>
      <c r="F257" s="176" t="s">
        <v>127</v>
      </c>
      <c r="G257" s="177" t="str">
        <f>IFERROR(__xludf.DUMMYFUNCTION("""COMPUTED_VALUE"""),"")</f>
        <v/>
      </c>
      <c r="H257" s="178" t="s">
        <v>127</v>
      </c>
      <c r="I257" s="159"/>
      <c r="J257" s="159"/>
      <c r="K257" s="159"/>
      <c r="M257" s="159"/>
      <c r="O257" s="157"/>
    </row>
    <row r="258">
      <c r="A258" s="172" t="s">
        <v>127</v>
      </c>
      <c r="B258" s="159"/>
      <c r="C258" s="173"/>
      <c r="D258" s="174"/>
      <c r="E258" s="175" t="s">
        <v>127</v>
      </c>
      <c r="F258" s="176" t="s">
        <v>127</v>
      </c>
      <c r="G258" s="177" t="str">
        <f>IFERROR(__xludf.DUMMYFUNCTION("""COMPUTED_VALUE"""),"")</f>
        <v/>
      </c>
      <c r="H258" s="178" t="s">
        <v>127</v>
      </c>
      <c r="I258" s="159"/>
      <c r="J258" s="159"/>
      <c r="K258" s="159"/>
      <c r="M258" s="159"/>
      <c r="O258" s="157"/>
    </row>
    <row r="259">
      <c r="A259" s="172" t="s">
        <v>127</v>
      </c>
      <c r="B259" s="159"/>
      <c r="C259" s="173"/>
      <c r="D259" s="174"/>
      <c r="E259" s="175" t="s">
        <v>127</v>
      </c>
      <c r="F259" s="176" t="s">
        <v>127</v>
      </c>
      <c r="G259" s="177" t="str">
        <f>IFERROR(__xludf.DUMMYFUNCTION("""COMPUTED_VALUE"""),"")</f>
        <v/>
      </c>
      <c r="H259" s="178" t="s">
        <v>127</v>
      </c>
      <c r="I259" s="159"/>
      <c r="J259" s="159"/>
      <c r="K259" s="159"/>
      <c r="M259" s="159"/>
      <c r="O259" s="157"/>
    </row>
    <row r="260">
      <c r="A260" s="172" t="s">
        <v>127</v>
      </c>
      <c r="B260" s="159"/>
      <c r="C260" s="173"/>
      <c r="D260" s="174"/>
      <c r="E260" s="175" t="s">
        <v>127</v>
      </c>
      <c r="F260" s="176" t="s">
        <v>127</v>
      </c>
      <c r="G260" s="177" t="str">
        <f>IFERROR(__xludf.DUMMYFUNCTION("""COMPUTED_VALUE"""),"")</f>
        <v/>
      </c>
      <c r="H260" s="178" t="s">
        <v>127</v>
      </c>
      <c r="I260" s="159"/>
      <c r="J260" s="159"/>
      <c r="K260" s="159"/>
      <c r="M260" s="159"/>
      <c r="O260" s="157"/>
    </row>
    <row r="261">
      <c r="A261" s="172" t="s">
        <v>127</v>
      </c>
      <c r="B261" s="159"/>
      <c r="C261" s="173"/>
      <c r="D261" s="174"/>
      <c r="E261" s="175" t="s">
        <v>127</v>
      </c>
      <c r="F261" s="176" t="s">
        <v>127</v>
      </c>
      <c r="G261" s="177" t="str">
        <f>IFERROR(__xludf.DUMMYFUNCTION("""COMPUTED_VALUE"""),"")</f>
        <v/>
      </c>
      <c r="H261" s="178" t="s">
        <v>127</v>
      </c>
      <c r="I261" s="159"/>
      <c r="J261" s="159"/>
      <c r="K261" s="159"/>
      <c r="M261" s="159"/>
      <c r="O261" s="157"/>
    </row>
    <row r="262">
      <c r="A262" s="172" t="s">
        <v>127</v>
      </c>
      <c r="B262" s="159"/>
      <c r="C262" s="173"/>
      <c r="D262" s="174"/>
      <c r="E262" s="175" t="s">
        <v>127</v>
      </c>
      <c r="F262" s="176" t="s">
        <v>127</v>
      </c>
      <c r="G262" s="177" t="str">
        <f>IFERROR(__xludf.DUMMYFUNCTION("""COMPUTED_VALUE"""),"")</f>
        <v/>
      </c>
      <c r="H262" s="178" t="s">
        <v>127</v>
      </c>
      <c r="I262" s="159"/>
      <c r="J262" s="159"/>
      <c r="K262" s="159"/>
      <c r="M262" s="159"/>
      <c r="O262" s="157"/>
    </row>
    <row r="263">
      <c r="A263" s="172" t="s">
        <v>127</v>
      </c>
      <c r="B263" s="159"/>
      <c r="C263" s="173"/>
      <c r="D263" s="174"/>
      <c r="E263" s="175" t="s">
        <v>127</v>
      </c>
      <c r="F263" s="176" t="s">
        <v>127</v>
      </c>
      <c r="G263" s="177" t="str">
        <f>IFERROR(__xludf.DUMMYFUNCTION("""COMPUTED_VALUE"""),"")</f>
        <v/>
      </c>
      <c r="H263" s="178" t="s">
        <v>127</v>
      </c>
      <c r="I263" s="159"/>
      <c r="J263" s="159"/>
      <c r="K263" s="159"/>
      <c r="M263" s="159"/>
      <c r="O263" s="157"/>
    </row>
    <row r="264">
      <c r="A264" s="172" t="s">
        <v>127</v>
      </c>
      <c r="B264" s="159"/>
      <c r="C264" s="173"/>
      <c r="D264" s="174"/>
      <c r="E264" s="175" t="s">
        <v>127</v>
      </c>
      <c r="F264" s="176" t="s">
        <v>127</v>
      </c>
      <c r="G264" s="177" t="str">
        <f>IFERROR(__xludf.DUMMYFUNCTION("""COMPUTED_VALUE"""),"")</f>
        <v/>
      </c>
      <c r="H264" s="178" t="s">
        <v>127</v>
      </c>
      <c r="I264" s="159"/>
      <c r="J264" s="159"/>
      <c r="K264" s="159"/>
      <c r="M264" s="159"/>
      <c r="O264" s="157"/>
    </row>
    <row r="265">
      <c r="A265" s="172" t="s">
        <v>127</v>
      </c>
      <c r="B265" s="159"/>
      <c r="C265" s="173"/>
      <c r="D265" s="174"/>
      <c r="E265" s="175" t="s">
        <v>127</v>
      </c>
      <c r="F265" s="176" t="s">
        <v>127</v>
      </c>
      <c r="G265" s="177" t="str">
        <f>IFERROR(__xludf.DUMMYFUNCTION("""COMPUTED_VALUE"""),"")</f>
        <v/>
      </c>
      <c r="H265" s="178" t="s">
        <v>127</v>
      </c>
      <c r="I265" s="159"/>
      <c r="J265" s="159"/>
      <c r="K265" s="159"/>
      <c r="M265" s="159"/>
      <c r="O265" s="157"/>
    </row>
    <row r="266">
      <c r="A266" s="172" t="s">
        <v>127</v>
      </c>
      <c r="B266" s="159"/>
      <c r="C266" s="173"/>
      <c r="D266" s="174"/>
      <c r="E266" s="175" t="s">
        <v>127</v>
      </c>
      <c r="F266" s="176" t="s">
        <v>127</v>
      </c>
      <c r="G266" s="177" t="str">
        <f>IFERROR(__xludf.DUMMYFUNCTION("""COMPUTED_VALUE"""),"")</f>
        <v/>
      </c>
      <c r="H266" s="178" t="s">
        <v>127</v>
      </c>
      <c r="I266" s="159"/>
      <c r="J266" s="159"/>
      <c r="K266" s="159"/>
      <c r="M266" s="159"/>
      <c r="O266" s="157"/>
    </row>
    <row r="267">
      <c r="A267" s="172" t="s">
        <v>127</v>
      </c>
      <c r="B267" s="159"/>
      <c r="C267" s="173"/>
      <c r="D267" s="174"/>
      <c r="E267" s="175" t="s">
        <v>127</v>
      </c>
      <c r="F267" s="176" t="s">
        <v>127</v>
      </c>
      <c r="G267" s="177" t="str">
        <f>IFERROR(__xludf.DUMMYFUNCTION("""COMPUTED_VALUE"""),"")</f>
        <v/>
      </c>
      <c r="H267" s="178" t="s">
        <v>127</v>
      </c>
      <c r="I267" s="159"/>
      <c r="J267" s="159"/>
      <c r="K267" s="159"/>
      <c r="M267" s="159"/>
      <c r="O267" s="157"/>
    </row>
    <row r="268">
      <c r="A268" s="172" t="s">
        <v>127</v>
      </c>
      <c r="B268" s="159"/>
      <c r="C268" s="173"/>
      <c r="D268" s="174"/>
      <c r="E268" s="175" t="s">
        <v>127</v>
      </c>
      <c r="F268" s="176" t="s">
        <v>127</v>
      </c>
      <c r="G268" s="177" t="str">
        <f>IFERROR(__xludf.DUMMYFUNCTION("""COMPUTED_VALUE"""),"")</f>
        <v/>
      </c>
      <c r="H268" s="178" t="s">
        <v>127</v>
      </c>
      <c r="I268" s="159"/>
      <c r="J268" s="159"/>
      <c r="K268" s="159"/>
      <c r="M268" s="159"/>
      <c r="O268" s="157"/>
    </row>
    <row r="269">
      <c r="A269" s="172" t="s">
        <v>127</v>
      </c>
      <c r="B269" s="159"/>
      <c r="C269" s="173"/>
      <c r="D269" s="174"/>
      <c r="E269" s="175" t="s">
        <v>127</v>
      </c>
      <c r="F269" s="176" t="s">
        <v>127</v>
      </c>
      <c r="G269" s="177" t="str">
        <f>IFERROR(__xludf.DUMMYFUNCTION("""COMPUTED_VALUE"""),"")</f>
        <v/>
      </c>
      <c r="H269" s="178" t="s">
        <v>127</v>
      </c>
      <c r="I269" s="159"/>
      <c r="J269" s="159"/>
      <c r="K269" s="159"/>
      <c r="M269" s="159"/>
      <c r="O269" s="157"/>
    </row>
    <row r="270">
      <c r="A270" s="172" t="s">
        <v>127</v>
      </c>
      <c r="B270" s="159"/>
      <c r="C270" s="173"/>
      <c r="D270" s="174"/>
      <c r="E270" s="175" t="s">
        <v>127</v>
      </c>
      <c r="F270" s="176" t="s">
        <v>127</v>
      </c>
      <c r="G270" s="177" t="str">
        <f>IFERROR(__xludf.DUMMYFUNCTION("""COMPUTED_VALUE"""),"")</f>
        <v/>
      </c>
      <c r="H270" s="178" t="s">
        <v>127</v>
      </c>
      <c r="I270" s="159"/>
      <c r="J270" s="159"/>
      <c r="K270" s="159"/>
      <c r="M270" s="159"/>
      <c r="O270" s="157"/>
    </row>
    <row r="271">
      <c r="A271" s="172" t="s">
        <v>127</v>
      </c>
      <c r="B271" s="159"/>
      <c r="C271" s="173"/>
      <c r="D271" s="174"/>
      <c r="E271" s="175" t="s">
        <v>127</v>
      </c>
      <c r="F271" s="176" t="s">
        <v>127</v>
      </c>
      <c r="G271" s="177" t="str">
        <f>IFERROR(__xludf.DUMMYFUNCTION("""COMPUTED_VALUE"""),"")</f>
        <v/>
      </c>
      <c r="H271" s="178" t="s">
        <v>127</v>
      </c>
      <c r="I271" s="159"/>
      <c r="J271" s="159"/>
      <c r="K271" s="159"/>
      <c r="M271" s="159"/>
      <c r="O271" s="157"/>
    </row>
    <row r="272">
      <c r="A272" s="172" t="s">
        <v>127</v>
      </c>
      <c r="B272" s="159"/>
      <c r="C272" s="173"/>
      <c r="D272" s="174"/>
      <c r="E272" s="175" t="s">
        <v>127</v>
      </c>
      <c r="F272" s="176" t="s">
        <v>127</v>
      </c>
      <c r="G272" s="177" t="str">
        <f>IFERROR(__xludf.DUMMYFUNCTION("""COMPUTED_VALUE"""),"")</f>
        <v/>
      </c>
      <c r="H272" s="178" t="s">
        <v>127</v>
      </c>
      <c r="I272" s="159"/>
      <c r="J272" s="159"/>
      <c r="K272" s="159"/>
      <c r="M272" s="159"/>
      <c r="O272" s="157"/>
    </row>
    <row r="273">
      <c r="A273" s="172" t="s">
        <v>127</v>
      </c>
      <c r="B273" s="159"/>
      <c r="C273" s="173"/>
      <c r="D273" s="174"/>
      <c r="E273" s="175" t="s">
        <v>127</v>
      </c>
      <c r="F273" s="176" t="s">
        <v>127</v>
      </c>
      <c r="G273" s="177" t="str">
        <f>IFERROR(__xludf.DUMMYFUNCTION("""COMPUTED_VALUE"""),"")</f>
        <v/>
      </c>
      <c r="H273" s="178" t="s">
        <v>127</v>
      </c>
      <c r="I273" s="159"/>
      <c r="J273" s="159"/>
      <c r="K273" s="159"/>
      <c r="M273" s="159"/>
      <c r="O273" s="157"/>
    </row>
    <row r="274">
      <c r="A274" s="172" t="s">
        <v>127</v>
      </c>
      <c r="B274" s="159"/>
      <c r="C274" s="173"/>
      <c r="D274" s="174"/>
      <c r="E274" s="175" t="s">
        <v>127</v>
      </c>
      <c r="F274" s="176" t="s">
        <v>127</v>
      </c>
      <c r="G274" s="177" t="str">
        <f>IFERROR(__xludf.DUMMYFUNCTION("""COMPUTED_VALUE"""),"")</f>
        <v/>
      </c>
      <c r="H274" s="178" t="s">
        <v>127</v>
      </c>
      <c r="I274" s="159"/>
      <c r="J274" s="159"/>
      <c r="K274" s="159"/>
      <c r="M274" s="159"/>
      <c r="O274" s="157"/>
    </row>
    <row r="275">
      <c r="A275" s="172" t="s">
        <v>127</v>
      </c>
      <c r="B275" s="159"/>
      <c r="C275" s="173"/>
      <c r="D275" s="174"/>
      <c r="E275" s="175" t="s">
        <v>127</v>
      </c>
      <c r="F275" s="176" t="s">
        <v>127</v>
      </c>
      <c r="G275" s="177" t="str">
        <f>IFERROR(__xludf.DUMMYFUNCTION("""COMPUTED_VALUE"""),"")</f>
        <v/>
      </c>
      <c r="H275" s="178" t="s">
        <v>127</v>
      </c>
      <c r="I275" s="159"/>
      <c r="J275" s="159"/>
      <c r="K275" s="159"/>
      <c r="M275" s="159"/>
      <c r="O275" s="157"/>
    </row>
    <row r="276">
      <c r="A276" s="172" t="s">
        <v>127</v>
      </c>
      <c r="B276" s="159"/>
      <c r="C276" s="173"/>
      <c r="D276" s="174"/>
      <c r="E276" s="175" t="s">
        <v>127</v>
      </c>
      <c r="F276" s="176" t="s">
        <v>127</v>
      </c>
      <c r="G276" s="177" t="str">
        <f>IFERROR(__xludf.DUMMYFUNCTION("""COMPUTED_VALUE"""),"")</f>
        <v/>
      </c>
      <c r="H276" s="178" t="s">
        <v>127</v>
      </c>
      <c r="I276" s="159"/>
      <c r="J276" s="159"/>
      <c r="K276" s="159"/>
      <c r="M276" s="159"/>
      <c r="O276" s="157"/>
    </row>
    <row r="277">
      <c r="A277" s="172" t="s">
        <v>127</v>
      </c>
      <c r="B277" s="159"/>
      <c r="C277" s="173"/>
      <c r="D277" s="174"/>
      <c r="E277" s="175" t="s">
        <v>127</v>
      </c>
      <c r="F277" s="176" t="s">
        <v>127</v>
      </c>
      <c r="G277" s="177" t="str">
        <f>IFERROR(__xludf.DUMMYFUNCTION("""COMPUTED_VALUE"""),"")</f>
        <v/>
      </c>
      <c r="H277" s="178" t="s">
        <v>127</v>
      </c>
      <c r="I277" s="159"/>
      <c r="J277" s="159"/>
      <c r="K277" s="159"/>
      <c r="M277" s="159"/>
      <c r="O277" s="157"/>
    </row>
    <row r="278">
      <c r="A278" s="172" t="s">
        <v>127</v>
      </c>
      <c r="B278" s="159"/>
      <c r="C278" s="173"/>
      <c r="D278" s="174"/>
      <c r="E278" s="175" t="s">
        <v>127</v>
      </c>
      <c r="F278" s="176" t="s">
        <v>127</v>
      </c>
      <c r="G278" s="177" t="str">
        <f>IFERROR(__xludf.DUMMYFUNCTION("""COMPUTED_VALUE"""),"")</f>
        <v/>
      </c>
      <c r="H278" s="178" t="s">
        <v>127</v>
      </c>
      <c r="I278" s="159"/>
      <c r="J278" s="159"/>
      <c r="K278" s="159"/>
      <c r="M278" s="159"/>
      <c r="O278" s="157"/>
    </row>
    <row r="279">
      <c r="A279" s="172" t="s">
        <v>127</v>
      </c>
      <c r="B279" s="159"/>
      <c r="C279" s="173"/>
      <c r="D279" s="174"/>
      <c r="E279" s="175" t="s">
        <v>127</v>
      </c>
      <c r="F279" s="176" t="s">
        <v>127</v>
      </c>
      <c r="G279" s="177" t="str">
        <f>IFERROR(__xludf.DUMMYFUNCTION("""COMPUTED_VALUE"""),"")</f>
        <v/>
      </c>
      <c r="H279" s="178" t="s">
        <v>127</v>
      </c>
      <c r="I279" s="159"/>
      <c r="J279" s="159"/>
      <c r="K279" s="159"/>
      <c r="M279" s="159"/>
      <c r="O279" s="157"/>
    </row>
    <row r="280">
      <c r="A280" s="172" t="s">
        <v>127</v>
      </c>
      <c r="B280" s="159"/>
      <c r="C280" s="173"/>
      <c r="D280" s="174"/>
      <c r="E280" s="175" t="s">
        <v>127</v>
      </c>
      <c r="F280" s="176" t="s">
        <v>127</v>
      </c>
      <c r="G280" s="177" t="str">
        <f>IFERROR(__xludf.DUMMYFUNCTION("""COMPUTED_VALUE"""),"")</f>
        <v/>
      </c>
      <c r="H280" s="178" t="s">
        <v>127</v>
      </c>
      <c r="I280" s="159"/>
      <c r="J280" s="159"/>
      <c r="K280" s="159"/>
      <c r="M280" s="159"/>
      <c r="O280" s="157"/>
    </row>
    <row r="281">
      <c r="A281" s="172" t="s">
        <v>127</v>
      </c>
      <c r="B281" s="159"/>
      <c r="C281" s="173"/>
      <c r="D281" s="174"/>
      <c r="E281" s="175" t="s">
        <v>127</v>
      </c>
      <c r="F281" s="176" t="s">
        <v>127</v>
      </c>
      <c r="G281" s="177" t="str">
        <f>IFERROR(__xludf.DUMMYFUNCTION("""COMPUTED_VALUE"""),"")</f>
        <v/>
      </c>
      <c r="H281" s="178" t="s">
        <v>127</v>
      </c>
      <c r="I281" s="159"/>
      <c r="J281" s="159"/>
      <c r="K281" s="159"/>
      <c r="M281" s="159"/>
      <c r="O281" s="157"/>
    </row>
    <row r="282">
      <c r="A282" s="172" t="s">
        <v>127</v>
      </c>
      <c r="B282" s="159"/>
      <c r="C282" s="173"/>
      <c r="D282" s="174"/>
      <c r="E282" s="175" t="s">
        <v>127</v>
      </c>
      <c r="F282" s="176" t="s">
        <v>127</v>
      </c>
      <c r="G282" s="177" t="str">
        <f>IFERROR(__xludf.DUMMYFUNCTION("""COMPUTED_VALUE"""),"")</f>
        <v/>
      </c>
      <c r="H282" s="178" t="s">
        <v>127</v>
      </c>
      <c r="I282" s="159"/>
      <c r="J282" s="159"/>
      <c r="K282" s="159"/>
      <c r="M282" s="159"/>
      <c r="O282" s="157"/>
    </row>
    <row r="283">
      <c r="A283" s="172" t="s">
        <v>127</v>
      </c>
      <c r="B283" s="159"/>
      <c r="C283" s="173"/>
      <c r="D283" s="174"/>
      <c r="E283" s="175" t="s">
        <v>127</v>
      </c>
      <c r="F283" s="176" t="s">
        <v>127</v>
      </c>
      <c r="G283" s="177" t="str">
        <f>IFERROR(__xludf.DUMMYFUNCTION("""COMPUTED_VALUE"""),"")</f>
        <v/>
      </c>
      <c r="H283" s="178" t="s">
        <v>127</v>
      </c>
      <c r="I283" s="159"/>
      <c r="J283" s="159"/>
      <c r="K283" s="159"/>
      <c r="M283" s="159"/>
      <c r="O283" s="157"/>
    </row>
    <row r="284">
      <c r="A284" s="172" t="s">
        <v>127</v>
      </c>
      <c r="B284" s="159"/>
      <c r="C284" s="173"/>
      <c r="D284" s="174"/>
      <c r="E284" s="175" t="s">
        <v>127</v>
      </c>
      <c r="F284" s="176" t="s">
        <v>127</v>
      </c>
      <c r="G284" s="177" t="str">
        <f>IFERROR(__xludf.DUMMYFUNCTION("""COMPUTED_VALUE"""),"")</f>
        <v/>
      </c>
      <c r="H284" s="178" t="s">
        <v>127</v>
      </c>
      <c r="I284" s="159"/>
      <c r="J284" s="159"/>
      <c r="K284" s="159"/>
      <c r="M284" s="159"/>
      <c r="O284" s="157"/>
    </row>
    <row r="285">
      <c r="A285" s="172" t="s">
        <v>127</v>
      </c>
      <c r="B285" s="159"/>
      <c r="C285" s="173"/>
      <c r="D285" s="174"/>
      <c r="E285" s="175" t="s">
        <v>127</v>
      </c>
      <c r="F285" s="176" t="s">
        <v>127</v>
      </c>
      <c r="G285" s="177" t="str">
        <f>IFERROR(__xludf.DUMMYFUNCTION("""COMPUTED_VALUE"""),"")</f>
        <v/>
      </c>
      <c r="H285" s="178" t="s">
        <v>127</v>
      </c>
      <c r="I285" s="159"/>
      <c r="J285" s="159"/>
      <c r="K285" s="159"/>
      <c r="M285" s="159"/>
      <c r="O285" s="157"/>
    </row>
    <row r="286">
      <c r="A286" s="172" t="s">
        <v>127</v>
      </c>
      <c r="B286" s="159"/>
      <c r="C286" s="173"/>
      <c r="D286" s="174"/>
      <c r="E286" s="175" t="s">
        <v>127</v>
      </c>
      <c r="F286" s="176" t="s">
        <v>127</v>
      </c>
      <c r="G286" s="177" t="str">
        <f>IFERROR(__xludf.DUMMYFUNCTION("""COMPUTED_VALUE"""),"")</f>
        <v/>
      </c>
      <c r="H286" s="178" t="s">
        <v>127</v>
      </c>
      <c r="I286" s="159"/>
      <c r="J286" s="159"/>
      <c r="K286" s="159"/>
      <c r="M286" s="159"/>
      <c r="O286" s="157"/>
    </row>
    <row r="287">
      <c r="A287" s="172" t="s">
        <v>127</v>
      </c>
      <c r="B287" s="159"/>
      <c r="C287" s="173"/>
      <c r="D287" s="174"/>
      <c r="E287" s="175" t="s">
        <v>127</v>
      </c>
      <c r="F287" s="176" t="s">
        <v>127</v>
      </c>
      <c r="G287" s="177" t="str">
        <f>IFERROR(__xludf.DUMMYFUNCTION("""COMPUTED_VALUE"""),"")</f>
        <v/>
      </c>
      <c r="H287" s="178" t="s">
        <v>127</v>
      </c>
      <c r="I287" s="159"/>
      <c r="J287" s="159"/>
      <c r="K287" s="159"/>
      <c r="M287" s="159"/>
      <c r="O287" s="157"/>
    </row>
    <row r="288">
      <c r="A288" s="172" t="s">
        <v>127</v>
      </c>
      <c r="B288" s="159"/>
      <c r="C288" s="173"/>
      <c r="D288" s="174"/>
      <c r="E288" s="175" t="s">
        <v>127</v>
      </c>
      <c r="F288" s="176" t="s">
        <v>127</v>
      </c>
      <c r="G288" s="177" t="str">
        <f>IFERROR(__xludf.DUMMYFUNCTION("""COMPUTED_VALUE"""),"")</f>
        <v/>
      </c>
      <c r="H288" s="178" t="s">
        <v>127</v>
      </c>
      <c r="I288" s="159"/>
      <c r="J288" s="159"/>
      <c r="K288" s="159"/>
      <c r="M288" s="159"/>
      <c r="O288" s="157"/>
    </row>
    <row r="289">
      <c r="A289" s="172" t="s">
        <v>127</v>
      </c>
      <c r="B289" s="159"/>
      <c r="C289" s="173"/>
      <c r="D289" s="174"/>
      <c r="E289" s="175" t="s">
        <v>127</v>
      </c>
      <c r="F289" s="176" t="s">
        <v>127</v>
      </c>
      <c r="G289" s="177" t="str">
        <f>IFERROR(__xludf.DUMMYFUNCTION("""COMPUTED_VALUE"""),"")</f>
        <v/>
      </c>
      <c r="H289" s="178" t="s">
        <v>127</v>
      </c>
      <c r="I289" s="159"/>
      <c r="J289" s="159"/>
      <c r="K289" s="159"/>
      <c r="M289" s="159"/>
      <c r="O289" s="157"/>
    </row>
    <row r="290">
      <c r="A290" s="172" t="s">
        <v>127</v>
      </c>
      <c r="B290" s="159"/>
      <c r="C290" s="173"/>
      <c r="D290" s="174"/>
      <c r="E290" s="175" t="s">
        <v>127</v>
      </c>
      <c r="F290" s="176" t="s">
        <v>127</v>
      </c>
      <c r="G290" s="177" t="str">
        <f>IFERROR(__xludf.DUMMYFUNCTION("""COMPUTED_VALUE"""),"")</f>
        <v/>
      </c>
      <c r="H290" s="178" t="s">
        <v>127</v>
      </c>
      <c r="I290" s="159"/>
      <c r="J290" s="159"/>
      <c r="K290" s="159"/>
      <c r="M290" s="159"/>
      <c r="O290" s="157"/>
    </row>
    <row r="291">
      <c r="A291" s="172" t="s">
        <v>127</v>
      </c>
      <c r="B291" s="159"/>
      <c r="C291" s="173"/>
      <c r="D291" s="174"/>
      <c r="E291" s="175" t="s">
        <v>127</v>
      </c>
      <c r="F291" s="176" t="s">
        <v>127</v>
      </c>
      <c r="G291" s="177" t="str">
        <f>IFERROR(__xludf.DUMMYFUNCTION("""COMPUTED_VALUE"""),"")</f>
        <v/>
      </c>
      <c r="H291" s="178" t="s">
        <v>127</v>
      </c>
      <c r="I291" s="159"/>
      <c r="J291" s="159"/>
      <c r="K291" s="159"/>
      <c r="M291" s="159"/>
      <c r="O291" s="157"/>
    </row>
    <row r="292">
      <c r="A292" s="172" t="s">
        <v>127</v>
      </c>
      <c r="B292" s="159"/>
      <c r="C292" s="173"/>
      <c r="D292" s="174"/>
      <c r="E292" s="175" t="s">
        <v>127</v>
      </c>
      <c r="F292" s="176" t="s">
        <v>127</v>
      </c>
      <c r="G292" s="177" t="str">
        <f>IFERROR(__xludf.DUMMYFUNCTION("""COMPUTED_VALUE"""),"")</f>
        <v/>
      </c>
      <c r="H292" s="178" t="s">
        <v>127</v>
      </c>
      <c r="I292" s="159"/>
      <c r="J292" s="159"/>
      <c r="K292" s="159"/>
      <c r="M292" s="159"/>
      <c r="O292" s="157"/>
    </row>
    <row r="293">
      <c r="A293" s="172" t="s">
        <v>127</v>
      </c>
      <c r="B293" s="159"/>
      <c r="C293" s="173"/>
      <c r="D293" s="174"/>
      <c r="E293" s="175" t="s">
        <v>127</v>
      </c>
      <c r="F293" s="176" t="s">
        <v>127</v>
      </c>
      <c r="G293" s="177" t="str">
        <f>IFERROR(__xludf.DUMMYFUNCTION("""COMPUTED_VALUE"""),"")</f>
        <v/>
      </c>
      <c r="H293" s="178" t="s">
        <v>127</v>
      </c>
      <c r="I293" s="159"/>
      <c r="J293" s="159"/>
      <c r="K293" s="159"/>
      <c r="M293" s="159"/>
      <c r="O293" s="157"/>
    </row>
    <row r="294">
      <c r="A294" s="172" t="s">
        <v>127</v>
      </c>
      <c r="B294" s="159"/>
      <c r="C294" s="173"/>
      <c r="D294" s="174"/>
      <c r="E294" s="175" t="s">
        <v>127</v>
      </c>
      <c r="F294" s="176" t="s">
        <v>127</v>
      </c>
      <c r="G294" s="177" t="str">
        <f>IFERROR(__xludf.DUMMYFUNCTION("""COMPUTED_VALUE"""),"")</f>
        <v/>
      </c>
      <c r="H294" s="178" t="s">
        <v>127</v>
      </c>
      <c r="I294" s="159"/>
      <c r="J294" s="159"/>
      <c r="K294" s="159"/>
      <c r="M294" s="159"/>
      <c r="O294" s="157"/>
    </row>
    <row r="295">
      <c r="A295" s="172" t="s">
        <v>127</v>
      </c>
      <c r="B295" s="159"/>
      <c r="C295" s="173"/>
      <c r="D295" s="174"/>
      <c r="E295" s="175" t="s">
        <v>127</v>
      </c>
      <c r="F295" s="176" t="s">
        <v>127</v>
      </c>
      <c r="G295" s="177" t="str">
        <f>IFERROR(__xludf.DUMMYFUNCTION("""COMPUTED_VALUE"""),"")</f>
        <v/>
      </c>
      <c r="H295" s="178" t="s">
        <v>127</v>
      </c>
      <c r="I295" s="159"/>
      <c r="J295" s="159"/>
      <c r="K295" s="159"/>
      <c r="M295" s="159"/>
      <c r="O295" s="157"/>
    </row>
    <row r="296">
      <c r="A296" s="172" t="s">
        <v>127</v>
      </c>
      <c r="B296" s="159"/>
      <c r="C296" s="173"/>
      <c r="D296" s="174"/>
      <c r="E296" s="175" t="s">
        <v>127</v>
      </c>
      <c r="F296" s="176" t="s">
        <v>127</v>
      </c>
      <c r="G296" s="177" t="str">
        <f>IFERROR(__xludf.DUMMYFUNCTION("""COMPUTED_VALUE"""),"")</f>
        <v/>
      </c>
      <c r="H296" s="178" t="s">
        <v>127</v>
      </c>
      <c r="I296" s="159"/>
      <c r="J296" s="159"/>
      <c r="K296" s="159"/>
      <c r="M296" s="159"/>
      <c r="O296" s="157"/>
    </row>
    <row r="297">
      <c r="A297" s="172" t="s">
        <v>127</v>
      </c>
      <c r="B297" s="159"/>
      <c r="C297" s="173"/>
      <c r="D297" s="174"/>
      <c r="E297" s="175" t="s">
        <v>127</v>
      </c>
      <c r="F297" s="176" t="s">
        <v>127</v>
      </c>
      <c r="G297" s="177" t="str">
        <f>IFERROR(__xludf.DUMMYFUNCTION("""COMPUTED_VALUE"""),"")</f>
        <v/>
      </c>
      <c r="H297" s="178" t="s">
        <v>127</v>
      </c>
      <c r="I297" s="159"/>
      <c r="J297" s="159"/>
      <c r="K297" s="159"/>
      <c r="M297" s="159"/>
      <c r="O297" s="157"/>
    </row>
    <row r="298">
      <c r="A298" s="172" t="s">
        <v>127</v>
      </c>
      <c r="B298" s="159"/>
      <c r="C298" s="173"/>
      <c r="D298" s="174"/>
      <c r="E298" s="175" t="s">
        <v>127</v>
      </c>
      <c r="F298" s="176" t="s">
        <v>127</v>
      </c>
      <c r="G298" s="177" t="str">
        <f>IFERROR(__xludf.DUMMYFUNCTION("""COMPUTED_VALUE"""),"")</f>
        <v/>
      </c>
      <c r="H298" s="178" t="s">
        <v>127</v>
      </c>
      <c r="I298" s="159"/>
      <c r="J298" s="159"/>
      <c r="K298" s="159"/>
      <c r="M298" s="159"/>
      <c r="O298" s="157"/>
    </row>
    <row r="299">
      <c r="A299" s="172" t="s">
        <v>127</v>
      </c>
      <c r="B299" s="159"/>
      <c r="C299" s="173"/>
      <c r="D299" s="174"/>
      <c r="E299" s="175" t="s">
        <v>127</v>
      </c>
      <c r="F299" s="176" t="s">
        <v>127</v>
      </c>
      <c r="G299" s="177" t="str">
        <f>IFERROR(__xludf.DUMMYFUNCTION("""COMPUTED_VALUE"""),"")</f>
        <v/>
      </c>
      <c r="H299" s="178" t="s">
        <v>127</v>
      </c>
      <c r="I299" s="159"/>
      <c r="J299" s="159"/>
      <c r="K299" s="159"/>
      <c r="M299" s="159"/>
      <c r="O299" s="157"/>
    </row>
    <row r="300">
      <c r="A300" s="172" t="s">
        <v>127</v>
      </c>
      <c r="B300" s="159"/>
      <c r="C300" s="173"/>
      <c r="D300" s="174"/>
      <c r="E300" s="175" t="s">
        <v>127</v>
      </c>
      <c r="F300" s="176" t="s">
        <v>127</v>
      </c>
      <c r="G300" s="177" t="str">
        <f>IFERROR(__xludf.DUMMYFUNCTION("""COMPUTED_VALUE"""),"")</f>
        <v/>
      </c>
      <c r="H300" s="178" t="s">
        <v>127</v>
      </c>
      <c r="I300" s="159"/>
      <c r="J300" s="159"/>
      <c r="K300" s="159"/>
      <c r="M300" s="159"/>
      <c r="O300" s="157"/>
    </row>
    <row r="301">
      <c r="A301" s="172" t="s">
        <v>127</v>
      </c>
      <c r="B301" s="159"/>
      <c r="C301" s="173"/>
      <c r="D301" s="174"/>
      <c r="E301" s="175" t="s">
        <v>127</v>
      </c>
      <c r="F301" s="176" t="s">
        <v>127</v>
      </c>
      <c r="G301" s="177" t="str">
        <f>IFERROR(__xludf.DUMMYFUNCTION("""COMPUTED_VALUE"""),"")</f>
        <v/>
      </c>
      <c r="H301" s="178" t="s">
        <v>127</v>
      </c>
      <c r="I301" s="159"/>
      <c r="J301" s="159"/>
      <c r="K301" s="159"/>
      <c r="M301" s="159"/>
      <c r="O301" s="157"/>
    </row>
    <row r="302">
      <c r="A302" s="172" t="s">
        <v>127</v>
      </c>
      <c r="B302" s="159"/>
      <c r="C302" s="173"/>
      <c r="D302" s="174"/>
      <c r="E302" s="175" t="s">
        <v>127</v>
      </c>
      <c r="F302" s="176" t="s">
        <v>127</v>
      </c>
      <c r="G302" s="177" t="str">
        <f>IFERROR(__xludf.DUMMYFUNCTION("""COMPUTED_VALUE"""),"")</f>
        <v/>
      </c>
      <c r="H302" s="178" t="s">
        <v>127</v>
      </c>
      <c r="I302" s="159"/>
      <c r="J302" s="159"/>
      <c r="K302" s="159"/>
      <c r="M302" s="159"/>
      <c r="O302" s="157"/>
    </row>
    <row r="303">
      <c r="A303" s="172" t="s">
        <v>127</v>
      </c>
      <c r="B303" s="159"/>
      <c r="C303" s="173"/>
      <c r="D303" s="174"/>
      <c r="E303" s="175" t="s">
        <v>127</v>
      </c>
      <c r="F303" s="176" t="s">
        <v>127</v>
      </c>
      <c r="G303" s="177" t="str">
        <f>IFERROR(__xludf.DUMMYFUNCTION("""COMPUTED_VALUE"""),"")</f>
        <v/>
      </c>
      <c r="H303" s="178" t="s">
        <v>127</v>
      </c>
      <c r="I303" s="159"/>
      <c r="J303" s="159"/>
      <c r="K303" s="159"/>
      <c r="M303" s="159"/>
      <c r="O303" s="157"/>
    </row>
    <row r="304">
      <c r="A304" s="172" t="s">
        <v>127</v>
      </c>
      <c r="B304" s="159"/>
      <c r="C304" s="173"/>
      <c r="D304" s="174"/>
      <c r="E304" s="175" t="s">
        <v>127</v>
      </c>
      <c r="F304" s="176" t="s">
        <v>127</v>
      </c>
      <c r="G304" s="177" t="str">
        <f>IFERROR(__xludf.DUMMYFUNCTION("""COMPUTED_VALUE"""),"")</f>
        <v/>
      </c>
      <c r="H304" s="178" t="s">
        <v>127</v>
      </c>
      <c r="I304" s="159"/>
      <c r="J304" s="159"/>
      <c r="K304" s="159"/>
      <c r="M304" s="159"/>
      <c r="O304" s="157"/>
    </row>
    <row r="305">
      <c r="A305" s="172" t="s">
        <v>127</v>
      </c>
      <c r="B305" s="159"/>
      <c r="C305" s="173"/>
      <c r="D305" s="174"/>
      <c r="E305" s="175" t="s">
        <v>127</v>
      </c>
      <c r="F305" s="176" t="s">
        <v>127</v>
      </c>
      <c r="G305" s="177" t="str">
        <f>IFERROR(__xludf.DUMMYFUNCTION("""COMPUTED_VALUE"""),"")</f>
        <v/>
      </c>
      <c r="H305" s="178" t="s">
        <v>127</v>
      </c>
      <c r="I305" s="159"/>
      <c r="J305" s="159"/>
      <c r="K305" s="159"/>
      <c r="M305" s="159"/>
      <c r="O305" s="157"/>
    </row>
    <row r="306">
      <c r="A306" s="172" t="s">
        <v>127</v>
      </c>
      <c r="B306" s="159"/>
      <c r="C306" s="173"/>
      <c r="D306" s="174"/>
      <c r="E306" s="175" t="s">
        <v>127</v>
      </c>
      <c r="F306" s="176" t="s">
        <v>127</v>
      </c>
      <c r="G306" s="177" t="str">
        <f>IFERROR(__xludf.DUMMYFUNCTION("""COMPUTED_VALUE"""),"")</f>
        <v/>
      </c>
      <c r="H306" s="178" t="s">
        <v>127</v>
      </c>
      <c r="I306" s="159"/>
      <c r="J306" s="159"/>
      <c r="K306" s="159"/>
      <c r="M306" s="159"/>
      <c r="O306" s="157"/>
    </row>
    <row r="307">
      <c r="A307" s="172" t="s">
        <v>127</v>
      </c>
      <c r="B307" s="159"/>
      <c r="C307" s="173"/>
      <c r="D307" s="174"/>
      <c r="E307" s="175" t="s">
        <v>127</v>
      </c>
      <c r="F307" s="176" t="s">
        <v>127</v>
      </c>
      <c r="G307" s="177" t="str">
        <f>IFERROR(__xludf.DUMMYFUNCTION("""COMPUTED_VALUE"""),"")</f>
        <v/>
      </c>
      <c r="H307" s="178" t="s">
        <v>127</v>
      </c>
      <c r="I307" s="159"/>
      <c r="J307" s="159"/>
      <c r="K307" s="159"/>
      <c r="M307" s="159"/>
      <c r="O307" s="157"/>
    </row>
    <row r="308">
      <c r="A308" s="172" t="s">
        <v>127</v>
      </c>
      <c r="B308" s="159"/>
      <c r="C308" s="173"/>
      <c r="D308" s="174"/>
      <c r="E308" s="175" t="s">
        <v>127</v>
      </c>
      <c r="F308" s="176" t="s">
        <v>127</v>
      </c>
      <c r="G308" s="177" t="str">
        <f>IFERROR(__xludf.DUMMYFUNCTION("""COMPUTED_VALUE"""),"")</f>
        <v/>
      </c>
      <c r="H308" s="178" t="s">
        <v>127</v>
      </c>
      <c r="I308" s="159"/>
      <c r="J308" s="159"/>
      <c r="K308" s="159"/>
      <c r="M308" s="159"/>
      <c r="O308" s="157"/>
    </row>
    <row r="309">
      <c r="A309" s="172" t="s">
        <v>127</v>
      </c>
      <c r="B309" s="159"/>
      <c r="C309" s="173"/>
      <c r="D309" s="174"/>
      <c r="E309" s="175" t="s">
        <v>127</v>
      </c>
      <c r="F309" s="176" t="s">
        <v>127</v>
      </c>
      <c r="G309" s="177" t="str">
        <f>IFERROR(__xludf.DUMMYFUNCTION("""COMPUTED_VALUE"""),"")</f>
        <v/>
      </c>
      <c r="H309" s="178" t="s">
        <v>127</v>
      </c>
      <c r="I309" s="159"/>
      <c r="J309" s="159"/>
      <c r="K309" s="159"/>
      <c r="M309" s="159"/>
      <c r="O309" s="157"/>
    </row>
    <row r="310">
      <c r="A310" s="172" t="s">
        <v>127</v>
      </c>
      <c r="B310" s="159"/>
      <c r="C310" s="173"/>
      <c r="D310" s="174"/>
      <c r="E310" s="175" t="s">
        <v>127</v>
      </c>
      <c r="F310" s="176" t="s">
        <v>127</v>
      </c>
      <c r="G310" s="177" t="str">
        <f>IFERROR(__xludf.DUMMYFUNCTION("""COMPUTED_VALUE"""),"")</f>
        <v/>
      </c>
      <c r="H310" s="178" t="s">
        <v>127</v>
      </c>
      <c r="I310" s="159"/>
      <c r="J310" s="159"/>
      <c r="K310" s="159"/>
      <c r="M310" s="159"/>
      <c r="O310" s="157"/>
    </row>
    <row r="311">
      <c r="A311" s="172" t="s">
        <v>127</v>
      </c>
      <c r="B311" s="159"/>
      <c r="C311" s="173"/>
      <c r="D311" s="174"/>
      <c r="E311" s="175" t="s">
        <v>127</v>
      </c>
      <c r="F311" s="176" t="s">
        <v>127</v>
      </c>
      <c r="G311" s="177" t="str">
        <f>IFERROR(__xludf.DUMMYFUNCTION("""COMPUTED_VALUE"""),"")</f>
        <v/>
      </c>
      <c r="H311" s="178" t="s">
        <v>127</v>
      </c>
      <c r="I311" s="159"/>
      <c r="J311" s="159"/>
      <c r="K311" s="159"/>
      <c r="M311" s="159"/>
      <c r="O311" s="157"/>
    </row>
    <row r="312">
      <c r="A312" s="172" t="s">
        <v>127</v>
      </c>
      <c r="B312" s="159"/>
      <c r="C312" s="173"/>
      <c r="D312" s="174"/>
      <c r="E312" s="175" t="s">
        <v>127</v>
      </c>
      <c r="F312" s="176" t="s">
        <v>127</v>
      </c>
      <c r="G312" s="177" t="str">
        <f>IFERROR(__xludf.DUMMYFUNCTION("""COMPUTED_VALUE"""),"")</f>
        <v/>
      </c>
      <c r="H312" s="178" t="s">
        <v>127</v>
      </c>
      <c r="I312" s="159"/>
      <c r="J312" s="159"/>
      <c r="K312" s="159"/>
      <c r="M312" s="159"/>
      <c r="O312" s="157"/>
    </row>
    <row r="313">
      <c r="A313" s="172" t="s">
        <v>127</v>
      </c>
      <c r="B313" s="159"/>
      <c r="C313" s="173"/>
      <c r="D313" s="174"/>
      <c r="E313" s="175" t="s">
        <v>127</v>
      </c>
      <c r="F313" s="176" t="s">
        <v>127</v>
      </c>
      <c r="G313" s="177" t="str">
        <f>IFERROR(__xludf.DUMMYFUNCTION("""COMPUTED_VALUE"""),"")</f>
        <v/>
      </c>
      <c r="H313" s="178" t="s">
        <v>127</v>
      </c>
      <c r="I313" s="159"/>
      <c r="J313" s="159"/>
      <c r="K313" s="159"/>
      <c r="M313" s="159"/>
      <c r="O313" s="157"/>
    </row>
    <row r="314">
      <c r="A314" s="172" t="s">
        <v>127</v>
      </c>
      <c r="B314" s="159"/>
      <c r="C314" s="173"/>
      <c r="D314" s="174"/>
      <c r="E314" s="175" t="s">
        <v>127</v>
      </c>
      <c r="F314" s="176" t="s">
        <v>127</v>
      </c>
      <c r="G314" s="177" t="str">
        <f>IFERROR(__xludf.DUMMYFUNCTION("""COMPUTED_VALUE"""),"")</f>
        <v/>
      </c>
      <c r="H314" s="178" t="s">
        <v>127</v>
      </c>
      <c r="I314" s="159"/>
      <c r="J314" s="159"/>
      <c r="K314" s="159"/>
      <c r="M314" s="159"/>
      <c r="O314" s="157"/>
    </row>
    <row r="315">
      <c r="A315" s="172" t="s">
        <v>127</v>
      </c>
      <c r="B315" s="159"/>
      <c r="C315" s="173"/>
      <c r="D315" s="174"/>
      <c r="E315" s="175" t="s">
        <v>127</v>
      </c>
      <c r="F315" s="176" t="s">
        <v>127</v>
      </c>
      <c r="G315" s="177" t="str">
        <f>IFERROR(__xludf.DUMMYFUNCTION("""COMPUTED_VALUE"""),"")</f>
        <v/>
      </c>
      <c r="H315" s="178" t="s">
        <v>127</v>
      </c>
      <c r="I315" s="159"/>
      <c r="J315" s="159"/>
      <c r="K315" s="159"/>
      <c r="M315" s="159"/>
      <c r="O315" s="157"/>
    </row>
    <row r="316">
      <c r="A316" s="172" t="s">
        <v>127</v>
      </c>
      <c r="B316" s="159"/>
      <c r="C316" s="173"/>
      <c r="D316" s="174"/>
      <c r="E316" s="175" t="s">
        <v>127</v>
      </c>
      <c r="F316" s="176" t="s">
        <v>127</v>
      </c>
      <c r="G316" s="177" t="str">
        <f>IFERROR(__xludf.DUMMYFUNCTION("""COMPUTED_VALUE"""),"")</f>
        <v/>
      </c>
      <c r="H316" s="178" t="s">
        <v>127</v>
      </c>
      <c r="I316" s="159"/>
      <c r="J316" s="159"/>
      <c r="K316" s="159"/>
      <c r="M316" s="159"/>
      <c r="O316" s="157"/>
    </row>
    <row r="317">
      <c r="A317" s="172" t="s">
        <v>127</v>
      </c>
      <c r="B317" s="159"/>
      <c r="C317" s="173"/>
      <c r="D317" s="174"/>
      <c r="E317" s="175" t="s">
        <v>127</v>
      </c>
      <c r="F317" s="176" t="s">
        <v>127</v>
      </c>
      <c r="G317" s="177" t="str">
        <f>IFERROR(__xludf.DUMMYFUNCTION("""COMPUTED_VALUE"""),"")</f>
        <v/>
      </c>
      <c r="H317" s="178" t="s">
        <v>127</v>
      </c>
      <c r="I317" s="159"/>
      <c r="J317" s="159"/>
      <c r="K317" s="159"/>
      <c r="M317" s="159"/>
      <c r="O317" s="157"/>
    </row>
    <row r="318">
      <c r="A318" s="172" t="s">
        <v>127</v>
      </c>
      <c r="B318" s="159"/>
      <c r="C318" s="173"/>
      <c r="D318" s="174"/>
      <c r="E318" s="175" t="s">
        <v>127</v>
      </c>
      <c r="F318" s="176" t="s">
        <v>127</v>
      </c>
      <c r="G318" s="177" t="str">
        <f>IFERROR(__xludf.DUMMYFUNCTION("""COMPUTED_VALUE"""),"")</f>
        <v/>
      </c>
      <c r="H318" s="178" t="s">
        <v>127</v>
      </c>
      <c r="I318" s="159"/>
      <c r="J318" s="159"/>
      <c r="K318" s="159"/>
      <c r="M318" s="159"/>
      <c r="O318" s="157"/>
    </row>
    <row r="319">
      <c r="A319" s="172" t="s">
        <v>127</v>
      </c>
      <c r="B319" s="159"/>
      <c r="C319" s="173"/>
      <c r="D319" s="174"/>
      <c r="E319" s="175" t="s">
        <v>127</v>
      </c>
      <c r="F319" s="176" t="s">
        <v>127</v>
      </c>
      <c r="G319" s="177" t="str">
        <f>IFERROR(__xludf.DUMMYFUNCTION("""COMPUTED_VALUE"""),"")</f>
        <v/>
      </c>
      <c r="H319" s="178" t="s">
        <v>127</v>
      </c>
      <c r="I319" s="159"/>
      <c r="J319" s="159"/>
      <c r="K319" s="159"/>
      <c r="M319" s="159"/>
      <c r="O319" s="157"/>
    </row>
    <row r="320">
      <c r="A320" s="172" t="s">
        <v>127</v>
      </c>
      <c r="B320" s="159"/>
      <c r="C320" s="173"/>
      <c r="D320" s="174"/>
      <c r="E320" s="175" t="s">
        <v>127</v>
      </c>
      <c r="F320" s="176" t="s">
        <v>127</v>
      </c>
      <c r="G320" s="177" t="str">
        <f>IFERROR(__xludf.DUMMYFUNCTION("""COMPUTED_VALUE"""),"")</f>
        <v/>
      </c>
      <c r="H320" s="178" t="s">
        <v>127</v>
      </c>
      <c r="I320" s="159"/>
      <c r="J320" s="159"/>
      <c r="K320" s="159"/>
      <c r="M320" s="159"/>
      <c r="O320" s="157"/>
    </row>
    <row r="321">
      <c r="A321" s="172" t="s">
        <v>127</v>
      </c>
      <c r="B321" s="159"/>
      <c r="C321" s="173"/>
      <c r="D321" s="174"/>
      <c r="E321" s="175" t="s">
        <v>127</v>
      </c>
      <c r="F321" s="176" t="s">
        <v>127</v>
      </c>
      <c r="G321" s="177" t="str">
        <f>IFERROR(__xludf.DUMMYFUNCTION("""COMPUTED_VALUE"""),"")</f>
        <v/>
      </c>
      <c r="H321" s="178" t="s">
        <v>127</v>
      </c>
      <c r="I321" s="159"/>
      <c r="J321" s="159"/>
      <c r="K321" s="159"/>
      <c r="M321" s="159"/>
      <c r="O321" s="157"/>
    </row>
    <row r="322">
      <c r="A322" s="172" t="s">
        <v>127</v>
      </c>
      <c r="B322" s="159"/>
      <c r="C322" s="173"/>
      <c r="D322" s="174"/>
      <c r="E322" s="175" t="s">
        <v>127</v>
      </c>
      <c r="F322" s="176" t="s">
        <v>127</v>
      </c>
      <c r="G322" s="177" t="str">
        <f>IFERROR(__xludf.DUMMYFUNCTION("""COMPUTED_VALUE"""),"")</f>
        <v/>
      </c>
      <c r="H322" s="178" t="s">
        <v>127</v>
      </c>
      <c r="I322" s="159"/>
      <c r="J322" s="159"/>
      <c r="K322" s="159"/>
      <c r="M322" s="159"/>
      <c r="O322" s="157"/>
    </row>
    <row r="323">
      <c r="A323" s="172" t="s">
        <v>127</v>
      </c>
      <c r="B323" s="159"/>
      <c r="C323" s="173"/>
      <c r="D323" s="174"/>
      <c r="E323" s="175" t="s">
        <v>127</v>
      </c>
      <c r="F323" s="176" t="s">
        <v>127</v>
      </c>
      <c r="G323" s="177" t="str">
        <f>IFERROR(__xludf.DUMMYFUNCTION("""COMPUTED_VALUE"""),"")</f>
        <v/>
      </c>
      <c r="H323" s="178" t="s">
        <v>127</v>
      </c>
      <c r="I323" s="159"/>
      <c r="J323" s="159"/>
      <c r="K323" s="159"/>
      <c r="M323" s="159"/>
      <c r="O323" s="157"/>
    </row>
    <row r="324">
      <c r="A324" s="172" t="s">
        <v>127</v>
      </c>
      <c r="B324" s="159"/>
      <c r="C324" s="173"/>
      <c r="D324" s="174"/>
      <c r="E324" s="175" t="s">
        <v>127</v>
      </c>
      <c r="F324" s="176" t="s">
        <v>127</v>
      </c>
      <c r="G324" s="177" t="str">
        <f>IFERROR(__xludf.DUMMYFUNCTION("""COMPUTED_VALUE"""),"")</f>
        <v/>
      </c>
      <c r="H324" s="178" t="s">
        <v>127</v>
      </c>
      <c r="I324" s="159"/>
      <c r="J324" s="159"/>
      <c r="K324" s="159"/>
      <c r="M324" s="159"/>
      <c r="O324" s="157"/>
    </row>
    <row r="325">
      <c r="A325" s="172" t="s">
        <v>127</v>
      </c>
      <c r="B325" s="159"/>
      <c r="C325" s="173"/>
      <c r="D325" s="174"/>
      <c r="E325" s="175" t="s">
        <v>127</v>
      </c>
      <c r="F325" s="176" t="s">
        <v>127</v>
      </c>
      <c r="G325" s="177" t="str">
        <f>IFERROR(__xludf.DUMMYFUNCTION("""COMPUTED_VALUE"""),"")</f>
        <v/>
      </c>
      <c r="H325" s="178" t="s">
        <v>127</v>
      </c>
      <c r="I325" s="159"/>
      <c r="J325" s="159"/>
      <c r="K325" s="159"/>
      <c r="M325" s="159"/>
      <c r="O325" s="157"/>
    </row>
    <row r="326">
      <c r="A326" s="172" t="s">
        <v>127</v>
      </c>
      <c r="B326" s="159"/>
      <c r="C326" s="173"/>
      <c r="D326" s="174"/>
      <c r="E326" s="175" t="s">
        <v>127</v>
      </c>
      <c r="F326" s="176" t="s">
        <v>127</v>
      </c>
      <c r="G326" s="177" t="str">
        <f>IFERROR(__xludf.DUMMYFUNCTION("""COMPUTED_VALUE"""),"")</f>
        <v/>
      </c>
      <c r="H326" s="178" t="s">
        <v>127</v>
      </c>
      <c r="I326" s="159"/>
      <c r="J326" s="159"/>
      <c r="K326" s="159"/>
      <c r="M326" s="159"/>
      <c r="O326" s="157"/>
    </row>
    <row r="327">
      <c r="A327" s="172" t="s">
        <v>127</v>
      </c>
      <c r="B327" s="159"/>
      <c r="C327" s="173"/>
      <c r="D327" s="174"/>
      <c r="E327" s="175" t="s">
        <v>127</v>
      </c>
      <c r="F327" s="176" t="s">
        <v>127</v>
      </c>
      <c r="G327" s="177" t="str">
        <f>IFERROR(__xludf.DUMMYFUNCTION("""COMPUTED_VALUE"""),"")</f>
        <v/>
      </c>
      <c r="H327" s="178" t="s">
        <v>127</v>
      </c>
      <c r="I327" s="159"/>
      <c r="J327" s="159"/>
      <c r="K327" s="159"/>
      <c r="M327" s="159"/>
      <c r="O327" s="157"/>
    </row>
    <row r="328">
      <c r="A328" s="172" t="s">
        <v>127</v>
      </c>
      <c r="B328" s="159"/>
      <c r="C328" s="173"/>
      <c r="D328" s="174"/>
      <c r="E328" s="175" t="s">
        <v>127</v>
      </c>
      <c r="F328" s="176" t="s">
        <v>127</v>
      </c>
      <c r="G328" s="177" t="str">
        <f>IFERROR(__xludf.DUMMYFUNCTION("""COMPUTED_VALUE"""),"")</f>
        <v/>
      </c>
      <c r="H328" s="178" t="s">
        <v>127</v>
      </c>
      <c r="I328" s="159"/>
      <c r="J328" s="159"/>
      <c r="K328" s="159"/>
      <c r="M328" s="159"/>
      <c r="O328" s="157"/>
    </row>
    <row r="329">
      <c r="A329" s="172" t="s">
        <v>127</v>
      </c>
      <c r="B329" s="159"/>
      <c r="C329" s="173"/>
      <c r="D329" s="174"/>
      <c r="E329" s="175" t="s">
        <v>127</v>
      </c>
      <c r="F329" s="176" t="s">
        <v>127</v>
      </c>
      <c r="G329" s="177" t="str">
        <f>IFERROR(__xludf.DUMMYFUNCTION("""COMPUTED_VALUE"""),"")</f>
        <v/>
      </c>
      <c r="H329" s="178" t="s">
        <v>127</v>
      </c>
      <c r="I329" s="159"/>
      <c r="J329" s="159"/>
      <c r="K329" s="159"/>
      <c r="M329" s="159"/>
      <c r="O329" s="157"/>
    </row>
    <row r="330">
      <c r="A330" s="172" t="s">
        <v>127</v>
      </c>
      <c r="B330" s="159"/>
      <c r="C330" s="173"/>
      <c r="D330" s="174"/>
      <c r="E330" s="175" t="s">
        <v>127</v>
      </c>
      <c r="F330" s="176" t="s">
        <v>127</v>
      </c>
      <c r="G330" s="177" t="str">
        <f>IFERROR(__xludf.DUMMYFUNCTION("""COMPUTED_VALUE"""),"")</f>
        <v/>
      </c>
      <c r="H330" s="178" t="s">
        <v>127</v>
      </c>
      <c r="I330" s="159"/>
      <c r="J330" s="159"/>
      <c r="K330" s="159"/>
      <c r="M330" s="159"/>
      <c r="O330" s="157"/>
    </row>
    <row r="331">
      <c r="A331" s="172" t="s">
        <v>127</v>
      </c>
      <c r="B331" s="159"/>
      <c r="C331" s="173"/>
      <c r="D331" s="174"/>
      <c r="E331" s="175" t="s">
        <v>127</v>
      </c>
      <c r="F331" s="176" t="s">
        <v>127</v>
      </c>
      <c r="G331" s="177" t="str">
        <f>IFERROR(__xludf.DUMMYFUNCTION("""COMPUTED_VALUE"""),"")</f>
        <v/>
      </c>
      <c r="H331" s="178" t="s">
        <v>127</v>
      </c>
      <c r="I331" s="159"/>
      <c r="J331" s="159"/>
      <c r="K331" s="159"/>
      <c r="M331" s="159"/>
      <c r="O331" s="157"/>
    </row>
    <row r="332">
      <c r="A332" s="172" t="s">
        <v>127</v>
      </c>
      <c r="B332" s="159"/>
      <c r="C332" s="173"/>
      <c r="D332" s="174"/>
      <c r="E332" s="175" t="s">
        <v>127</v>
      </c>
      <c r="F332" s="176" t="s">
        <v>127</v>
      </c>
      <c r="G332" s="177" t="str">
        <f>IFERROR(__xludf.DUMMYFUNCTION("""COMPUTED_VALUE"""),"")</f>
        <v/>
      </c>
      <c r="H332" s="178" t="s">
        <v>127</v>
      </c>
      <c r="I332" s="159"/>
      <c r="J332" s="159"/>
      <c r="K332" s="159"/>
      <c r="M332" s="159"/>
      <c r="O332" s="157"/>
    </row>
    <row r="333">
      <c r="A333" s="172" t="s">
        <v>127</v>
      </c>
      <c r="B333" s="159"/>
      <c r="C333" s="173"/>
      <c r="D333" s="174"/>
      <c r="E333" s="175" t="s">
        <v>127</v>
      </c>
      <c r="F333" s="176" t="s">
        <v>127</v>
      </c>
      <c r="G333" s="177" t="str">
        <f>IFERROR(__xludf.DUMMYFUNCTION("""COMPUTED_VALUE"""),"")</f>
        <v/>
      </c>
      <c r="H333" s="178" t="s">
        <v>127</v>
      </c>
      <c r="I333" s="159"/>
      <c r="J333" s="159"/>
      <c r="K333" s="159"/>
      <c r="M333" s="159"/>
      <c r="O333" s="157"/>
    </row>
    <row r="334">
      <c r="A334" s="172" t="s">
        <v>127</v>
      </c>
      <c r="B334" s="159"/>
      <c r="C334" s="173"/>
      <c r="D334" s="174"/>
      <c r="E334" s="175" t="s">
        <v>127</v>
      </c>
      <c r="F334" s="176" t="s">
        <v>127</v>
      </c>
      <c r="G334" s="177" t="str">
        <f>IFERROR(__xludf.DUMMYFUNCTION("""COMPUTED_VALUE"""),"")</f>
        <v/>
      </c>
      <c r="H334" s="178" t="s">
        <v>127</v>
      </c>
      <c r="I334" s="159"/>
      <c r="J334" s="159"/>
      <c r="K334" s="159"/>
      <c r="M334" s="159"/>
      <c r="O334" s="157"/>
    </row>
    <row r="335">
      <c r="A335" s="172" t="s">
        <v>127</v>
      </c>
      <c r="B335" s="159"/>
      <c r="C335" s="173"/>
      <c r="D335" s="174"/>
      <c r="E335" s="175" t="s">
        <v>127</v>
      </c>
      <c r="F335" s="176" t="s">
        <v>127</v>
      </c>
      <c r="G335" s="177" t="str">
        <f>IFERROR(__xludf.DUMMYFUNCTION("""COMPUTED_VALUE"""),"")</f>
        <v/>
      </c>
      <c r="H335" s="178" t="s">
        <v>127</v>
      </c>
      <c r="I335" s="159"/>
      <c r="J335" s="159"/>
      <c r="K335" s="159"/>
      <c r="M335" s="159"/>
      <c r="O335" s="157"/>
    </row>
    <row r="336">
      <c r="A336" s="172" t="s">
        <v>127</v>
      </c>
      <c r="B336" s="159"/>
      <c r="C336" s="173"/>
      <c r="D336" s="174"/>
      <c r="E336" s="175" t="s">
        <v>127</v>
      </c>
      <c r="F336" s="176" t="s">
        <v>127</v>
      </c>
      <c r="G336" s="177" t="str">
        <f>IFERROR(__xludf.DUMMYFUNCTION("""COMPUTED_VALUE"""),"")</f>
        <v/>
      </c>
      <c r="H336" s="178" t="s">
        <v>127</v>
      </c>
      <c r="I336" s="159"/>
      <c r="J336" s="159"/>
      <c r="K336" s="159"/>
      <c r="M336" s="159"/>
      <c r="O336" s="157"/>
    </row>
    <row r="337">
      <c r="A337" s="172" t="s">
        <v>127</v>
      </c>
      <c r="B337" s="159"/>
      <c r="C337" s="173"/>
      <c r="D337" s="174"/>
      <c r="E337" s="175" t="s">
        <v>127</v>
      </c>
      <c r="F337" s="176" t="s">
        <v>127</v>
      </c>
      <c r="G337" s="177" t="str">
        <f>IFERROR(__xludf.DUMMYFUNCTION("""COMPUTED_VALUE"""),"")</f>
        <v/>
      </c>
      <c r="H337" s="178" t="s">
        <v>127</v>
      </c>
      <c r="I337" s="159"/>
      <c r="J337" s="159"/>
      <c r="K337" s="159"/>
      <c r="M337" s="159"/>
      <c r="O337" s="157"/>
    </row>
    <row r="338">
      <c r="A338" s="172" t="s">
        <v>127</v>
      </c>
      <c r="B338" s="159"/>
      <c r="C338" s="173"/>
      <c r="D338" s="174"/>
      <c r="E338" s="175" t="s">
        <v>127</v>
      </c>
      <c r="F338" s="176" t="s">
        <v>127</v>
      </c>
      <c r="G338" s="177" t="str">
        <f>IFERROR(__xludf.DUMMYFUNCTION("""COMPUTED_VALUE"""),"")</f>
        <v/>
      </c>
      <c r="H338" s="178" t="s">
        <v>127</v>
      </c>
      <c r="I338" s="159"/>
      <c r="J338" s="159"/>
      <c r="K338" s="159"/>
      <c r="M338" s="159"/>
      <c r="O338" s="157"/>
    </row>
    <row r="339">
      <c r="A339" s="172" t="s">
        <v>127</v>
      </c>
      <c r="B339" s="159"/>
      <c r="C339" s="173"/>
      <c r="D339" s="174"/>
      <c r="E339" s="175" t="s">
        <v>127</v>
      </c>
      <c r="F339" s="176" t="s">
        <v>127</v>
      </c>
      <c r="G339" s="177" t="str">
        <f>IFERROR(__xludf.DUMMYFUNCTION("""COMPUTED_VALUE"""),"")</f>
        <v/>
      </c>
      <c r="H339" s="178" t="s">
        <v>127</v>
      </c>
      <c r="I339" s="159"/>
      <c r="J339" s="159"/>
      <c r="K339" s="159"/>
      <c r="M339" s="159"/>
      <c r="O339" s="157"/>
    </row>
    <row r="340">
      <c r="A340" s="172" t="s">
        <v>127</v>
      </c>
      <c r="B340" s="159"/>
      <c r="C340" s="173"/>
      <c r="D340" s="174"/>
      <c r="E340" s="175" t="s">
        <v>127</v>
      </c>
      <c r="F340" s="176" t="s">
        <v>127</v>
      </c>
      <c r="G340" s="177" t="str">
        <f>IFERROR(__xludf.DUMMYFUNCTION("""COMPUTED_VALUE"""),"")</f>
        <v/>
      </c>
      <c r="H340" s="178" t="s">
        <v>127</v>
      </c>
      <c r="I340" s="159"/>
      <c r="J340" s="159"/>
      <c r="K340" s="159"/>
      <c r="M340" s="159"/>
      <c r="O340" s="157"/>
    </row>
    <row r="341">
      <c r="A341" s="172" t="s">
        <v>127</v>
      </c>
      <c r="B341" s="159"/>
      <c r="C341" s="173"/>
      <c r="D341" s="174"/>
      <c r="E341" s="175" t="s">
        <v>127</v>
      </c>
      <c r="F341" s="176" t="s">
        <v>127</v>
      </c>
      <c r="G341" s="177" t="str">
        <f>IFERROR(__xludf.DUMMYFUNCTION("""COMPUTED_VALUE"""),"")</f>
        <v/>
      </c>
      <c r="H341" s="178" t="s">
        <v>127</v>
      </c>
      <c r="I341" s="159"/>
      <c r="J341" s="159"/>
      <c r="K341" s="159"/>
      <c r="M341" s="159"/>
      <c r="O341" s="157"/>
    </row>
    <row r="342">
      <c r="A342" s="172" t="s">
        <v>127</v>
      </c>
      <c r="B342" s="159"/>
      <c r="C342" s="173"/>
      <c r="D342" s="174"/>
      <c r="E342" s="175" t="s">
        <v>127</v>
      </c>
      <c r="F342" s="176" t="s">
        <v>127</v>
      </c>
      <c r="G342" s="177" t="str">
        <f>IFERROR(__xludf.DUMMYFUNCTION("""COMPUTED_VALUE"""),"")</f>
        <v/>
      </c>
      <c r="H342" s="178" t="s">
        <v>127</v>
      </c>
      <c r="I342" s="159"/>
      <c r="J342" s="159"/>
      <c r="K342" s="159"/>
      <c r="M342" s="159"/>
      <c r="O342" s="157"/>
    </row>
    <row r="343">
      <c r="A343" s="172" t="s">
        <v>127</v>
      </c>
      <c r="B343" s="159"/>
      <c r="C343" s="173"/>
      <c r="D343" s="174"/>
      <c r="E343" s="175" t="s">
        <v>127</v>
      </c>
      <c r="F343" s="176" t="s">
        <v>127</v>
      </c>
      <c r="G343" s="177" t="str">
        <f>IFERROR(__xludf.DUMMYFUNCTION("""COMPUTED_VALUE"""),"")</f>
        <v/>
      </c>
      <c r="H343" s="178" t="s">
        <v>127</v>
      </c>
      <c r="I343" s="159"/>
      <c r="J343" s="159"/>
      <c r="K343" s="159"/>
      <c r="M343" s="159"/>
      <c r="O343" s="157"/>
    </row>
    <row r="344">
      <c r="A344" s="172" t="s">
        <v>127</v>
      </c>
      <c r="B344" s="159"/>
      <c r="C344" s="173"/>
      <c r="D344" s="174"/>
      <c r="E344" s="175" t="s">
        <v>127</v>
      </c>
      <c r="F344" s="176" t="s">
        <v>127</v>
      </c>
      <c r="G344" s="177" t="str">
        <f>IFERROR(__xludf.DUMMYFUNCTION("""COMPUTED_VALUE"""),"")</f>
        <v/>
      </c>
      <c r="H344" s="178" t="s">
        <v>127</v>
      </c>
      <c r="I344" s="159"/>
      <c r="J344" s="159"/>
      <c r="K344" s="159"/>
      <c r="M344" s="159"/>
      <c r="O344" s="157"/>
    </row>
    <row r="345">
      <c r="A345" s="172" t="s">
        <v>127</v>
      </c>
      <c r="B345" s="159"/>
      <c r="C345" s="173"/>
      <c r="D345" s="174"/>
      <c r="E345" s="175" t="s">
        <v>127</v>
      </c>
      <c r="F345" s="176" t="s">
        <v>127</v>
      </c>
      <c r="G345" s="177" t="str">
        <f>IFERROR(__xludf.DUMMYFUNCTION("""COMPUTED_VALUE"""),"")</f>
        <v/>
      </c>
      <c r="H345" s="178" t="s">
        <v>127</v>
      </c>
      <c r="I345" s="159"/>
      <c r="J345" s="159"/>
      <c r="K345" s="159"/>
      <c r="M345" s="159"/>
      <c r="O345" s="157"/>
    </row>
    <row r="346">
      <c r="A346" s="172" t="s">
        <v>127</v>
      </c>
      <c r="B346" s="159"/>
      <c r="C346" s="173"/>
      <c r="D346" s="174"/>
      <c r="E346" s="175" t="s">
        <v>127</v>
      </c>
      <c r="F346" s="176" t="s">
        <v>127</v>
      </c>
      <c r="G346" s="177" t="str">
        <f>IFERROR(__xludf.DUMMYFUNCTION("""COMPUTED_VALUE"""),"")</f>
        <v/>
      </c>
      <c r="H346" s="178" t="s">
        <v>127</v>
      </c>
      <c r="I346" s="159"/>
      <c r="J346" s="159"/>
      <c r="K346" s="159"/>
      <c r="M346" s="159"/>
      <c r="O346" s="157"/>
    </row>
    <row r="347">
      <c r="A347" s="172" t="s">
        <v>127</v>
      </c>
      <c r="B347" s="159"/>
      <c r="C347" s="173"/>
      <c r="D347" s="174"/>
      <c r="E347" s="175" t="s">
        <v>127</v>
      </c>
      <c r="F347" s="176" t="s">
        <v>127</v>
      </c>
      <c r="G347" s="177" t="str">
        <f>IFERROR(__xludf.DUMMYFUNCTION("""COMPUTED_VALUE"""),"")</f>
        <v/>
      </c>
      <c r="H347" s="178" t="s">
        <v>127</v>
      </c>
      <c r="I347" s="159"/>
      <c r="J347" s="159"/>
      <c r="K347" s="159"/>
      <c r="M347" s="159"/>
      <c r="O347" s="157"/>
    </row>
    <row r="348">
      <c r="A348" s="172" t="s">
        <v>127</v>
      </c>
      <c r="B348" s="159"/>
      <c r="C348" s="173"/>
      <c r="D348" s="174"/>
      <c r="E348" s="175" t="s">
        <v>127</v>
      </c>
      <c r="F348" s="176" t="s">
        <v>127</v>
      </c>
      <c r="G348" s="177" t="str">
        <f>IFERROR(__xludf.DUMMYFUNCTION("""COMPUTED_VALUE"""),"")</f>
        <v/>
      </c>
      <c r="H348" s="178" t="s">
        <v>127</v>
      </c>
      <c r="I348" s="159"/>
      <c r="J348" s="159"/>
      <c r="K348" s="159"/>
      <c r="M348" s="159"/>
      <c r="O348" s="157"/>
    </row>
    <row r="349">
      <c r="A349" s="172" t="s">
        <v>127</v>
      </c>
      <c r="B349" s="159"/>
      <c r="C349" s="173"/>
      <c r="D349" s="174"/>
      <c r="E349" s="175" t="s">
        <v>127</v>
      </c>
      <c r="F349" s="176" t="s">
        <v>127</v>
      </c>
      <c r="G349" s="177" t="str">
        <f>IFERROR(__xludf.DUMMYFUNCTION("""COMPUTED_VALUE"""),"")</f>
        <v/>
      </c>
      <c r="H349" s="178" t="s">
        <v>127</v>
      </c>
      <c r="I349" s="159"/>
      <c r="J349" s="159"/>
      <c r="K349" s="159"/>
      <c r="M349" s="159"/>
      <c r="O349" s="157"/>
    </row>
    <row r="350">
      <c r="A350" s="172" t="s">
        <v>127</v>
      </c>
      <c r="B350" s="159"/>
      <c r="C350" s="173"/>
      <c r="D350" s="174"/>
      <c r="E350" s="175" t="s">
        <v>127</v>
      </c>
      <c r="F350" s="176" t="s">
        <v>127</v>
      </c>
      <c r="G350" s="177" t="str">
        <f>IFERROR(__xludf.DUMMYFUNCTION("""COMPUTED_VALUE"""),"")</f>
        <v/>
      </c>
      <c r="H350" s="178" t="s">
        <v>127</v>
      </c>
      <c r="I350" s="159"/>
      <c r="J350" s="159"/>
      <c r="K350" s="159"/>
      <c r="M350" s="159"/>
      <c r="O350" s="157"/>
    </row>
    <row r="351">
      <c r="A351" s="172" t="s">
        <v>127</v>
      </c>
      <c r="B351" s="159"/>
      <c r="C351" s="173"/>
      <c r="D351" s="174"/>
      <c r="E351" s="175" t="s">
        <v>127</v>
      </c>
      <c r="F351" s="176" t="s">
        <v>127</v>
      </c>
      <c r="G351" s="177" t="str">
        <f>IFERROR(__xludf.DUMMYFUNCTION("""COMPUTED_VALUE"""),"")</f>
        <v/>
      </c>
      <c r="H351" s="178" t="s">
        <v>127</v>
      </c>
      <c r="I351" s="159"/>
      <c r="J351" s="159"/>
      <c r="K351" s="159"/>
      <c r="M351" s="159"/>
      <c r="O351" s="157"/>
    </row>
    <row r="352">
      <c r="A352" s="172" t="s">
        <v>127</v>
      </c>
      <c r="B352" s="159"/>
      <c r="C352" s="173"/>
      <c r="D352" s="174"/>
      <c r="E352" s="175" t="s">
        <v>127</v>
      </c>
      <c r="F352" s="176" t="s">
        <v>127</v>
      </c>
      <c r="G352" s="177" t="str">
        <f>IFERROR(__xludf.DUMMYFUNCTION("""COMPUTED_VALUE"""),"")</f>
        <v/>
      </c>
      <c r="H352" s="178" t="s">
        <v>127</v>
      </c>
      <c r="I352" s="159"/>
      <c r="J352" s="159"/>
      <c r="K352" s="159"/>
      <c r="M352" s="159"/>
      <c r="O352" s="157"/>
    </row>
    <row r="353">
      <c r="A353" s="172" t="s">
        <v>127</v>
      </c>
      <c r="B353" s="159"/>
      <c r="C353" s="173"/>
      <c r="D353" s="174"/>
      <c r="E353" s="175" t="s">
        <v>127</v>
      </c>
      <c r="F353" s="176" t="s">
        <v>127</v>
      </c>
      <c r="G353" s="177" t="str">
        <f>IFERROR(__xludf.DUMMYFUNCTION("""COMPUTED_VALUE"""),"")</f>
        <v/>
      </c>
      <c r="H353" s="178" t="s">
        <v>127</v>
      </c>
      <c r="I353" s="159"/>
      <c r="J353" s="159"/>
      <c r="K353" s="159"/>
      <c r="M353" s="159"/>
      <c r="O353" s="157"/>
    </row>
    <row r="354">
      <c r="A354" s="172" t="s">
        <v>127</v>
      </c>
      <c r="B354" s="159"/>
      <c r="C354" s="173"/>
      <c r="D354" s="174"/>
      <c r="E354" s="175" t="s">
        <v>127</v>
      </c>
      <c r="F354" s="176" t="s">
        <v>127</v>
      </c>
      <c r="G354" s="177" t="str">
        <f>IFERROR(__xludf.DUMMYFUNCTION("""COMPUTED_VALUE"""),"")</f>
        <v/>
      </c>
      <c r="H354" s="178" t="s">
        <v>127</v>
      </c>
      <c r="I354" s="159"/>
      <c r="J354" s="159"/>
      <c r="K354" s="159"/>
      <c r="M354" s="159"/>
      <c r="O354" s="157"/>
    </row>
    <row r="355">
      <c r="A355" s="172" t="s">
        <v>127</v>
      </c>
      <c r="B355" s="159"/>
      <c r="C355" s="173"/>
      <c r="D355" s="174"/>
      <c r="E355" s="175" t="s">
        <v>127</v>
      </c>
      <c r="F355" s="176" t="s">
        <v>127</v>
      </c>
      <c r="G355" s="177" t="str">
        <f>IFERROR(__xludf.DUMMYFUNCTION("""COMPUTED_VALUE"""),"")</f>
        <v/>
      </c>
      <c r="H355" s="178" t="s">
        <v>127</v>
      </c>
      <c r="I355" s="159"/>
      <c r="J355" s="159"/>
      <c r="K355" s="159"/>
      <c r="M355" s="159"/>
      <c r="O355" s="157"/>
    </row>
    <row r="356">
      <c r="A356" s="172" t="s">
        <v>127</v>
      </c>
      <c r="B356" s="159"/>
      <c r="C356" s="173"/>
      <c r="D356" s="174"/>
      <c r="E356" s="175" t="s">
        <v>127</v>
      </c>
      <c r="F356" s="176" t="s">
        <v>127</v>
      </c>
      <c r="G356" s="177" t="str">
        <f>IFERROR(__xludf.DUMMYFUNCTION("""COMPUTED_VALUE"""),"")</f>
        <v/>
      </c>
      <c r="H356" s="178" t="s">
        <v>127</v>
      </c>
      <c r="I356" s="159"/>
      <c r="J356" s="159"/>
      <c r="K356" s="159"/>
      <c r="M356" s="159"/>
      <c r="O356" s="157"/>
    </row>
    <row r="357">
      <c r="A357" s="172" t="s">
        <v>127</v>
      </c>
      <c r="B357" s="159"/>
      <c r="C357" s="173"/>
      <c r="D357" s="174"/>
      <c r="E357" s="175" t="s">
        <v>127</v>
      </c>
      <c r="F357" s="176" t="s">
        <v>127</v>
      </c>
      <c r="G357" s="177" t="str">
        <f>IFERROR(__xludf.DUMMYFUNCTION("""COMPUTED_VALUE"""),"")</f>
        <v/>
      </c>
      <c r="H357" s="178" t="s">
        <v>127</v>
      </c>
      <c r="I357" s="159"/>
      <c r="J357" s="159"/>
      <c r="K357" s="159"/>
      <c r="M357" s="159"/>
      <c r="O357" s="157"/>
    </row>
    <row r="358">
      <c r="A358" s="172" t="s">
        <v>127</v>
      </c>
      <c r="B358" s="159"/>
      <c r="C358" s="173"/>
      <c r="D358" s="174"/>
      <c r="E358" s="175" t="s">
        <v>127</v>
      </c>
      <c r="F358" s="176" t="s">
        <v>127</v>
      </c>
      <c r="G358" s="177" t="str">
        <f>IFERROR(__xludf.DUMMYFUNCTION("""COMPUTED_VALUE"""),"")</f>
        <v/>
      </c>
      <c r="H358" s="178" t="s">
        <v>127</v>
      </c>
      <c r="I358" s="159"/>
      <c r="J358" s="159"/>
      <c r="K358" s="159"/>
      <c r="M358" s="159"/>
      <c r="O358" s="157"/>
    </row>
    <row r="359">
      <c r="A359" s="172" t="s">
        <v>127</v>
      </c>
      <c r="B359" s="159"/>
      <c r="C359" s="173"/>
      <c r="D359" s="174"/>
      <c r="E359" s="175" t="s">
        <v>127</v>
      </c>
      <c r="F359" s="176" t="s">
        <v>127</v>
      </c>
      <c r="G359" s="177" t="str">
        <f>IFERROR(__xludf.DUMMYFUNCTION("""COMPUTED_VALUE"""),"")</f>
        <v/>
      </c>
      <c r="H359" s="178" t="s">
        <v>127</v>
      </c>
      <c r="I359" s="159"/>
      <c r="J359" s="159"/>
      <c r="K359" s="159"/>
      <c r="M359" s="159"/>
      <c r="O359" s="157"/>
    </row>
    <row r="360">
      <c r="A360" s="172" t="s">
        <v>127</v>
      </c>
      <c r="B360" s="159"/>
      <c r="C360" s="173"/>
      <c r="D360" s="174"/>
      <c r="E360" s="175" t="s">
        <v>127</v>
      </c>
      <c r="F360" s="176" t="s">
        <v>127</v>
      </c>
      <c r="G360" s="177" t="str">
        <f>IFERROR(__xludf.DUMMYFUNCTION("""COMPUTED_VALUE"""),"")</f>
        <v/>
      </c>
      <c r="H360" s="178" t="s">
        <v>127</v>
      </c>
      <c r="I360" s="159"/>
      <c r="J360" s="159"/>
      <c r="K360" s="159"/>
      <c r="M360" s="159"/>
      <c r="O360" s="157"/>
    </row>
    <row r="361">
      <c r="A361" s="172" t="s">
        <v>127</v>
      </c>
      <c r="B361" s="159"/>
      <c r="C361" s="173"/>
      <c r="D361" s="174"/>
      <c r="E361" s="175" t="s">
        <v>127</v>
      </c>
      <c r="F361" s="176" t="s">
        <v>127</v>
      </c>
      <c r="G361" s="177" t="str">
        <f>IFERROR(__xludf.DUMMYFUNCTION("""COMPUTED_VALUE"""),"")</f>
        <v/>
      </c>
      <c r="H361" s="178" t="s">
        <v>127</v>
      </c>
      <c r="I361" s="159"/>
      <c r="J361" s="159"/>
      <c r="K361" s="159"/>
      <c r="M361" s="159"/>
      <c r="O361" s="157"/>
    </row>
    <row r="362">
      <c r="A362" s="172" t="s">
        <v>127</v>
      </c>
      <c r="B362" s="159"/>
      <c r="C362" s="173"/>
      <c r="D362" s="174"/>
      <c r="E362" s="175" t="s">
        <v>127</v>
      </c>
      <c r="F362" s="176" t="s">
        <v>127</v>
      </c>
      <c r="G362" s="177" t="str">
        <f>IFERROR(__xludf.DUMMYFUNCTION("""COMPUTED_VALUE"""),"")</f>
        <v/>
      </c>
      <c r="H362" s="178" t="s">
        <v>127</v>
      </c>
      <c r="I362" s="159"/>
      <c r="J362" s="159"/>
      <c r="K362" s="159"/>
      <c r="M362" s="159"/>
      <c r="O362" s="157"/>
    </row>
    <row r="363">
      <c r="A363" s="172" t="s">
        <v>127</v>
      </c>
      <c r="B363" s="159"/>
      <c r="C363" s="173"/>
      <c r="D363" s="174"/>
      <c r="E363" s="175" t="s">
        <v>127</v>
      </c>
      <c r="F363" s="176" t="s">
        <v>127</v>
      </c>
      <c r="G363" s="177" t="str">
        <f>IFERROR(__xludf.DUMMYFUNCTION("""COMPUTED_VALUE"""),"")</f>
        <v/>
      </c>
      <c r="H363" s="178" t="s">
        <v>127</v>
      </c>
      <c r="I363" s="159"/>
      <c r="J363" s="159"/>
      <c r="K363" s="159"/>
      <c r="M363" s="159"/>
      <c r="O363" s="157"/>
    </row>
    <row r="364">
      <c r="A364" s="172" t="s">
        <v>127</v>
      </c>
      <c r="B364" s="159"/>
      <c r="C364" s="173"/>
      <c r="D364" s="174"/>
      <c r="E364" s="175" t="s">
        <v>127</v>
      </c>
      <c r="F364" s="176" t="s">
        <v>127</v>
      </c>
      <c r="G364" s="177" t="str">
        <f>IFERROR(__xludf.DUMMYFUNCTION("""COMPUTED_VALUE"""),"")</f>
        <v/>
      </c>
      <c r="H364" s="178" t="s">
        <v>127</v>
      </c>
      <c r="I364" s="159"/>
      <c r="J364" s="159"/>
      <c r="K364" s="159"/>
      <c r="M364" s="159"/>
      <c r="O364" s="157"/>
    </row>
    <row r="365">
      <c r="A365" s="172" t="s">
        <v>127</v>
      </c>
      <c r="B365" s="159"/>
      <c r="C365" s="173"/>
      <c r="D365" s="174"/>
      <c r="E365" s="175" t="s">
        <v>127</v>
      </c>
      <c r="F365" s="176" t="s">
        <v>127</v>
      </c>
      <c r="G365" s="177" t="str">
        <f>IFERROR(__xludf.DUMMYFUNCTION("""COMPUTED_VALUE"""),"")</f>
        <v/>
      </c>
      <c r="H365" s="178" t="s">
        <v>127</v>
      </c>
      <c r="I365" s="159"/>
      <c r="J365" s="159"/>
      <c r="K365" s="159"/>
      <c r="M365" s="159"/>
      <c r="O365" s="157"/>
    </row>
    <row r="366">
      <c r="A366" s="172" t="s">
        <v>127</v>
      </c>
      <c r="B366" s="159"/>
      <c r="C366" s="173"/>
      <c r="D366" s="174"/>
      <c r="E366" s="175" t="s">
        <v>127</v>
      </c>
      <c r="F366" s="176" t="s">
        <v>127</v>
      </c>
      <c r="G366" s="177" t="str">
        <f>IFERROR(__xludf.DUMMYFUNCTION("""COMPUTED_VALUE"""),"")</f>
        <v/>
      </c>
      <c r="H366" s="178" t="s">
        <v>127</v>
      </c>
      <c r="I366" s="159"/>
      <c r="J366" s="159"/>
      <c r="K366" s="159"/>
      <c r="M366" s="159"/>
      <c r="O366" s="157"/>
    </row>
    <row r="367">
      <c r="A367" s="172" t="s">
        <v>127</v>
      </c>
      <c r="B367" s="159"/>
      <c r="C367" s="173"/>
      <c r="D367" s="174"/>
      <c r="E367" s="175" t="s">
        <v>127</v>
      </c>
      <c r="F367" s="176" t="s">
        <v>127</v>
      </c>
      <c r="G367" s="177" t="str">
        <f>IFERROR(__xludf.DUMMYFUNCTION("""COMPUTED_VALUE"""),"")</f>
        <v/>
      </c>
      <c r="H367" s="178" t="s">
        <v>127</v>
      </c>
      <c r="I367" s="159"/>
      <c r="J367" s="159"/>
      <c r="K367" s="159"/>
      <c r="M367" s="159"/>
      <c r="O367" s="157"/>
    </row>
    <row r="368">
      <c r="A368" s="172" t="s">
        <v>127</v>
      </c>
      <c r="B368" s="159"/>
      <c r="C368" s="173"/>
      <c r="D368" s="174"/>
      <c r="E368" s="175" t="s">
        <v>127</v>
      </c>
      <c r="F368" s="176" t="s">
        <v>127</v>
      </c>
      <c r="G368" s="177" t="str">
        <f>IFERROR(__xludf.DUMMYFUNCTION("""COMPUTED_VALUE"""),"")</f>
        <v/>
      </c>
      <c r="H368" s="178" t="s">
        <v>127</v>
      </c>
      <c r="I368" s="159"/>
      <c r="J368" s="159"/>
      <c r="K368" s="159"/>
      <c r="M368" s="159"/>
      <c r="O368" s="157"/>
    </row>
    <row r="369">
      <c r="A369" s="172" t="s">
        <v>127</v>
      </c>
      <c r="B369" s="159"/>
      <c r="C369" s="173"/>
      <c r="D369" s="174"/>
      <c r="E369" s="175" t="s">
        <v>127</v>
      </c>
      <c r="F369" s="176" t="s">
        <v>127</v>
      </c>
      <c r="G369" s="177" t="str">
        <f>IFERROR(__xludf.DUMMYFUNCTION("""COMPUTED_VALUE"""),"")</f>
        <v/>
      </c>
      <c r="H369" s="178" t="s">
        <v>127</v>
      </c>
      <c r="I369" s="159"/>
      <c r="J369" s="159"/>
      <c r="K369" s="159"/>
      <c r="M369" s="159"/>
      <c r="O369" s="157"/>
    </row>
    <row r="370">
      <c r="A370" s="172" t="s">
        <v>127</v>
      </c>
      <c r="B370" s="159"/>
      <c r="C370" s="173"/>
      <c r="D370" s="174"/>
      <c r="E370" s="175" t="s">
        <v>127</v>
      </c>
      <c r="F370" s="176" t="s">
        <v>127</v>
      </c>
      <c r="G370" s="177" t="str">
        <f>IFERROR(__xludf.DUMMYFUNCTION("""COMPUTED_VALUE"""),"")</f>
        <v/>
      </c>
      <c r="H370" s="178" t="s">
        <v>127</v>
      </c>
      <c r="I370" s="159"/>
      <c r="J370" s="159"/>
      <c r="K370" s="159"/>
      <c r="M370" s="159"/>
      <c r="O370" s="157"/>
    </row>
    <row r="371">
      <c r="A371" s="172" t="s">
        <v>127</v>
      </c>
      <c r="B371" s="159"/>
      <c r="C371" s="173"/>
      <c r="D371" s="174"/>
      <c r="E371" s="175" t="s">
        <v>127</v>
      </c>
      <c r="F371" s="176" t="s">
        <v>127</v>
      </c>
      <c r="G371" s="177" t="str">
        <f>IFERROR(__xludf.DUMMYFUNCTION("""COMPUTED_VALUE"""),"")</f>
        <v/>
      </c>
      <c r="H371" s="178" t="s">
        <v>127</v>
      </c>
      <c r="I371" s="159"/>
      <c r="J371" s="159"/>
      <c r="K371" s="159"/>
      <c r="M371" s="159"/>
      <c r="O371" s="157"/>
    </row>
    <row r="372">
      <c r="A372" s="172" t="s">
        <v>127</v>
      </c>
      <c r="B372" s="159"/>
      <c r="C372" s="173"/>
      <c r="D372" s="174"/>
      <c r="E372" s="175" t="s">
        <v>127</v>
      </c>
      <c r="F372" s="176" t="s">
        <v>127</v>
      </c>
      <c r="G372" s="177" t="str">
        <f>IFERROR(__xludf.DUMMYFUNCTION("""COMPUTED_VALUE"""),"")</f>
        <v/>
      </c>
      <c r="H372" s="178" t="s">
        <v>127</v>
      </c>
      <c r="I372" s="159"/>
      <c r="J372" s="159"/>
      <c r="K372" s="159"/>
      <c r="M372" s="159"/>
      <c r="O372" s="157"/>
    </row>
    <row r="373">
      <c r="A373" s="172" t="s">
        <v>127</v>
      </c>
      <c r="B373" s="159"/>
      <c r="C373" s="173"/>
      <c r="D373" s="174"/>
      <c r="E373" s="175" t="s">
        <v>127</v>
      </c>
      <c r="F373" s="176" t="s">
        <v>127</v>
      </c>
      <c r="G373" s="177" t="str">
        <f>IFERROR(__xludf.DUMMYFUNCTION("""COMPUTED_VALUE"""),"")</f>
        <v/>
      </c>
      <c r="H373" s="178" t="s">
        <v>127</v>
      </c>
      <c r="I373" s="159"/>
      <c r="J373" s="159"/>
      <c r="K373" s="159"/>
      <c r="M373" s="159"/>
      <c r="O373" s="157"/>
    </row>
    <row r="374">
      <c r="A374" s="172" t="s">
        <v>127</v>
      </c>
      <c r="B374" s="159"/>
      <c r="C374" s="173"/>
      <c r="D374" s="174"/>
      <c r="E374" s="175" t="s">
        <v>127</v>
      </c>
      <c r="F374" s="176" t="s">
        <v>127</v>
      </c>
      <c r="G374" s="177" t="str">
        <f>IFERROR(__xludf.DUMMYFUNCTION("""COMPUTED_VALUE"""),"")</f>
        <v/>
      </c>
      <c r="H374" s="178" t="s">
        <v>127</v>
      </c>
      <c r="I374" s="159"/>
      <c r="J374" s="159"/>
      <c r="K374" s="159"/>
      <c r="M374" s="159"/>
      <c r="O374" s="157"/>
    </row>
    <row r="375">
      <c r="A375" s="172" t="s">
        <v>127</v>
      </c>
      <c r="B375" s="159"/>
      <c r="C375" s="173"/>
      <c r="D375" s="174"/>
      <c r="E375" s="175" t="s">
        <v>127</v>
      </c>
      <c r="F375" s="176" t="s">
        <v>127</v>
      </c>
      <c r="G375" s="177" t="str">
        <f>IFERROR(__xludf.DUMMYFUNCTION("""COMPUTED_VALUE"""),"")</f>
        <v/>
      </c>
      <c r="H375" s="178" t="s">
        <v>127</v>
      </c>
      <c r="I375" s="159"/>
      <c r="J375" s="159"/>
      <c r="K375" s="159"/>
      <c r="M375" s="159"/>
      <c r="O375" s="157"/>
    </row>
    <row r="376">
      <c r="A376" s="172" t="s">
        <v>127</v>
      </c>
      <c r="B376" s="159"/>
      <c r="C376" s="173"/>
      <c r="D376" s="174"/>
      <c r="E376" s="175" t="s">
        <v>127</v>
      </c>
      <c r="F376" s="176" t="s">
        <v>127</v>
      </c>
      <c r="G376" s="177" t="str">
        <f>IFERROR(__xludf.DUMMYFUNCTION("""COMPUTED_VALUE"""),"")</f>
        <v/>
      </c>
      <c r="H376" s="178" t="s">
        <v>127</v>
      </c>
      <c r="I376" s="159"/>
      <c r="J376" s="159"/>
      <c r="K376" s="159"/>
      <c r="M376" s="159"/>
      <c r="O376" s="157"/>
    </row>
    <row r="377">
      <c r="A377" s="172" t="s">
        <v>127</v>
      </c>
      <c r="B377" s="159"/>
      <c r="C377" s="173"/>
      <c r="D377" s="174"/>
      <c r="E377" s="175" t="s">
        <v>127</v>
      </c>
      <c r="F377" s="176" t="s">
        <v>127</v>
      </c>
      <c r="G377" s="177" t="str">
        <f>IFERROR(__xludf.DUMMYFUNCTION("""COMPUTED_VALUE"""),"")</f>
        <v/>
      </c>
      <c r="H377" s="178" t="s">
        <v>127</v>
      </c>
      <c r="I377" s="159"/>
      <c r="J377" s="159"/>
      <c r="K377" s="159"/>
      <c r="M377" s="159"/>
      <c r="O377" s="157"/>
    </row>
    <row r="378">
      <c r="A378" s="172" t="s">
        <v>127</v>
      </c>
      <c r="B378" s="159"/>
      <c r="C378" s="173"/>
      <c r="D378" s="174"/>
      <c r="E378" s="175" t="s">
        <v>127</v>
      </c>
      <c r="F378" s="176" t="s">
        <v>127</v>
      </c>
      <c r="G378" s="177" t="str">
        <f>IFERROR(__xludf.DUMMYFUNCTION("""COMPUTED_VALUE"""),"")</f>
        <v/>
      </c>
      <c r="H378" s="178" t="s">
        <v>127</v>
      </c>
      <c r="I378" s="159"/>
      <c r="J378" s="159"/>
      <c r="K378" s="159"/>
      <c r="M378" s="159"/>
      <c r="O378" s="157"/>
    </row>
    <row r="379">
      <c r="A379" s="172" t="s">
        <v>127</v>
      </c>
      <c r="B379" s="159"/>
      <c r="C379" s="173"/>
      <c r="D379" s="174"/>
      <c r="E379" s="175" t="s">
        <v>127</v>
      </c>
      <c r="F379" s="176" t="s">
        <v>127</v>
      </c>
      <c r="G379" s="177" t="str">
        <f>IFERROR(__xludf.DUMMYFUNCTION("""COMPUTED_VALUE"""),"")</f>
        <v/>
      </c>
      <c r="H379" s="178" t="s">
        <v>127</v>
      </c>
      <c r="I379" s="159"/>
      <c r="J379" s="159"/>
      <c r="K379" s="159"/>
      <c r="M379" s="159"/>
      <c r="O379" s="157"/>
    </row>
    <row r="380">
      <c r="A380" s="172" t="s">
        <v>127</v>
      </c>
      <c r="B380" s="159"/>
      <c r="C380" s="173"/>
      <c r="D380" s="174"/>
      <c r="E380" s="175" t="s">
        <v>127</v>
      </c>
      <c r="F380" s="176" t="s">
        <v>127</v>
      </c>
      <c r="G380" s="177" t="str">
        <f>IFERROR(__xludf.DUMMYFUNCTION("""COMPUTED_VALUE"""),"")</f>
        <v/>
      </c>
      <c r="H380" s="178" t="s">
        <v>127</v>
      </c>
      <c r="I380" s="159"/>
      <c r="J380" s="159"/>
      <c r="K380" s="159"/>
      <c r="M380" s="159"/>
      <c r="O380" s="157"/>
    </row>
    <row r="381">
      <c r="A381" s="172" t="s">
        <v>127</v>
      </c>
      <c r="B381" s="159"/>
      <c r="C381" s="173"/>
      <c r="D381" s="174"/>
      <c r="E381" s="175" t="s">
        <v>127</v>
      </c>
      <c r="F381" s="176" t="s">
        <v>127</v>
      </c>
      <c r="G381" s="177" t="str">
        <f>IFERROR(__xludf.DUMMYFUNCTION("""COMPUTED_VALUE"""),"")</f>
        <v/>
      </c>
      <c r="H381" s="178" t="s">
        <v>127</v>
      </c>
      <c r="I381" s="159"/>
      <c r="J381" s="159"/>
      <c r="K381" s="159"/>
      <c r="M381" s="159"/>
      <c r="O381" s="157"/>
    </row>
    <row r="382">
      <c r="A382" s="172" t="s">
        <v>127</v>
      </c>
      <c r="B382" s="159"/>
      <c r="C382" s="173"/>
      <c r="D382" s="174"/>
      <c r="E382" s="175" t="s">
        <v>127</v>
      </c>
      <c r="F382" s="176" t="s">
        <v>127</v>
      </c>
      <c r="G382" s="177" t="str">
        <f>IFERROR(__xludf.DUMMYFUNCTION("""COMPUTED_VALUE"""),"")</f>
        <v/>
      </c>
      <c r="H382" s="178" t="s">
        <v>127</v>
      </c>
      <c r="I382" s="159"/>
      <c r="J382" s="159"/>
      <c r="K382" s="159"/>
      <c r="M382" s="159"/>
      <c r="O382" s="157"/>
    </row>
    <row r="383">
      <c r="A383" s="172" t="s">
        <v>127</v>
      </c>
      <c r="B383" s="159"/>
      <c r="C383" s="173"/>
      <c r="D383" s="174"/>
      <c r="E383" s="175" t="s">
        <v>127</v>
      </c>
      <c r="F383" s="176" t="s">
        <v>127</v>
      </c>
      <c r="G383" s="177" t="str">
        <f>IFERROR(__xludf.DUMMYFUNCTION("""COMPUTED_VALUE"""),"")</f>
        <v/>
      </c>
      <c r="H383" s="178" t="s">
        <v>127</v>
      </c>
      <c r="I383" s="159"/>
      <c r="J383" s="159"/>
      <c r="K383" s="159"/>
      <c r="M383" s="159"/>
      <c r="O383" s="157"/>
    </row>
    <row r="384">
      <c r="A384" s="172" t="s">
        <v>127</v>
      </c>
      <c r="B384" s="159"/>
      <c r="C384" s="173"/>
      <c r="D384" s="174"/>
      <c r="E384" s="175" t="s">
        <v>127</v>
      </c>
      <c r="F384" s="176" t="s">
        <v>127</v>
      </c>
      <c r="G384" s="177" t="str">
        <f>IFERROR(__xludf.DUMMYFUNCTION("""COMPUTED_VALUE"""),"")</f>
        <v/>
      </c>
      <c r="H384" s="178" t="s">
        <v>127</v>
      </c>
      <c r="I384" s="159"/>
      <c r="J384" s="159"/>
      <c r="K384" s="159"/>
      <c r="M384" s="159"/>
      <c r="O384" s="157"/>
    </row>
    <row r="385">
      <c r="A385" s="172" t="s">
        <v>127</v>
      </c>
      <c r="B385" s="159"/>
      <c r="C385" s="173"/>
      <c r="D385" s="174"/>
      <c r="E385" s="175" t="s">
        <v>127</v>
      </c>
      <c r="F385" s="176" t="s">
        <v>127</v>
      </c>
      <c r="G385" s="177" t="str">
        <f>IFERROR(__xludf.DUMMYFUNCTION("""COMPUTED_VALUE"""),"")</f>
        <v/>
      </c>
      <c r="H385" s="178" t="s">
        <v>127</v>
      </c>
      <c r="I385" s="159"/>
      <c r="J385" s="159"/>
      <c r="K385" s="159"/>
      <c r="M385" s="159"/>
      <c r="O385" s="157"/>
    </row>
    <row r="386">
      <c r="A386" s="172" t="s">
        <v>127</v>
      </c>
      <c r="B386" s="159"/>
      <c r="C386" s="173"/>
      <c r="D386" s="174"/>
      <c r="E386" s="175" t="s">
        <v>127</v>
      </c>
      <c r="F386" s="176" t="s">
        <v>127</v>
      </c>
      <c r="G386" s="177" t="str">
        <f>IFERROR(__xludf.DUMMYFUNCTION("""COMPUTED_VALUE"""),"")</f>
        <v/>
      </c>
      <c r="H386" s="178" t="s">
        <v>127</v>
      </c>
      <c r="I386" s="159"/>
      <c r="J386" s="159"/>
      <c r="K386" s="159"/>
      <c r="M386" s="159"/>
      <c r="O386" s="157"/>
    </row>
    <row r="387">
      <c r="A387" s="172" t="s">
        <v>127</v>
      </c>
      <c r="B387" s="159"/>
      <c r="C387" s="173"/>
      <c r="D387" s="174"/>
      <c r="E387" s="175" t="s">
        <v>127</v>
      </c>
      <c r="F387" s="176" t="s">
        <v>127</v>
      </c>
      <c r="G387" s="177" t="str">
        <f>IFERROR(__xludf.DUMMYFUNCTION("""COMPUTED_VALUE"""),"")</f>
        <v/>
      </c>
      <c r="H387" s="178" t="s">
        <v>127</v>
      </c>
      <c r="I387" s="159"/>
      <c r="J387" s="159"/>
      <c r="K387" s="159"/>
      <c r="M387" s="159"/>
      <c r="O387" s="157"/>
    </row>
    <row r="388">
      <c r="A388" s="172" t="s">
        <v>127</v>
      </c>
      <c r="B388" s="159"/>
      <c r="C388" s="173"/>
      <c r="D388" s="174"/>
      <c r="E388" s="175" t="s">
        <v>127</v>
      </c>
      <c r="F388" s="176" t="s">
        <v>127</v>
      </c>
      <c r="G388" s="177" t="str">
        <f>IFERROR(__xludf.DUMMYFUNCTION("""COMPUTED_VALUE"""),"")</f>
        <v/>
      </c>
      <c r="H388" s="178" t="s">
        <v>127</v>
      </c>
      <c r="I388" s="159"/>
      <c r="J388" s="159"/>
      <c r="K388" s="159"/>
      <c r="M388" s="159"/>
      <c r="O388" s="157"/>
    </row>
    <row r="389">
      <c r="A389" s="172" t="s">
        <v>127</v>
      </c>
      <c r="B389" s="159"/>
      <c r="C389" s="173"/>
      <c r="D389" s="174"/>
      <c r="E389" s="175" t="s">
        <v>127</v>
      </c>
      <c r="F389" s="176" t="s">
        <v>127</v>
      </c>
      <c r="G389" s="177" t="str">
        <f>IFERROR(__xludf.DUMMYFUNCTION("""COMPUTED_VALUE"""),"")</f>
        <v/>
      </c>
      <c r="H389" s="178" t="s">
        <v>127</v>
      </c>
      <c r="I389" s="159"/>
      <c r="J389" s="159"/>
      <c r="K389" s="159"/>
      <c r="M389" s="159"/>
      <c r="O389" s="157"/>
    </row>
    <row r="390">
      <c r="A390" s="172" t="s">
        <v>127</v>
      </c>
      <c r="B390" s="159"/>
      <c r="C390" s="173"/>
      <c r="D390" s="174"/>
      <c r="E390" s="175" t="s">
        <v>127</v>
      </c>
      <c r="F390" s="176" t="s">
        <v>127</v>
      </c>
      <c r="G390" s="177" t="str">
        <f>IFERROR(__xludf.DUMMYFUNCTION("""COMPUTED_VALUE"""),"")</f>
        <v/>
      </c>
      <c r="H390" s="178" t="s">
        <v>127</v>
      </c>
      <c r="I390" s="159"/>
      <c r="J390" s="159"/>
      <c r="K390" s="159"/>
      <c r="M390" s="159"/>
      <c r="O390" s="157"/>
    </row>
    <row r="391">
      <c r="A391" s="172" t="s">
        <v>127</v>
      </c>
      <c r="B391" s="159"/>
      <c r="C391" s="173"/>
      <c r="D391" s="174"/>
      <c r="E391" s="175" t="s">
        <v>127</v>
      </c>
      <c r="F391" s="176" t="s">
        <v>127</v>
      </c>
      <c r="G391" s="177" t="str">
        <f>IFERROR(__xludf.DUMMYFUNCTION("""COMPUTED_VALUE"""),"")</f>
        <v/>
      </c>
      <c r="H391" s="178" t="s">
        <v>127</v>
      </c>
      <c r="I391" s="159"/>
      <c r="J391" s="159"/>
      <c r="K391" s="159"/>
      <c r="M391" s="159"/>
      <c r="O391" s="157"/>
    </row>
    <row r="392">
      <c r="A392" s="172" t="s">
        <v>127</v>
      </c>
      <c r="B392" s="159"/>
      <c r="C392" s="173"/>
      <c r="D392" s="174"/>
      <c r="E392" s="175" t="s">
        <v>127</v>
      </c>
      <c r="F392" s="176" t="s">
        <v>127</v>
      </c>
      <c r="G392" s="177" t="str">
        <f>IFERROR(__xludf.DUMMYFUNCTION("""COMPUTED_VALUE"""),"")</f>
        <v/>
      </c>
      <c r="H392" s="178" t="s">
        <v>127</v>
      </c>
      <c r="I392" s="159"/>
      <c r="J392" s="159"/>
      <c r="K392" s="159"/>
      <c r="M392" s="159"/>
      <c r="O392" s="157"/>
    </row>
    <row r="393">
      <c r="A393" s="172" t="s">
        <v>127</v>
      </c>
      <c r="B393" s="159"/>
      <c r="C393" s="173"/>
      <c r="D393" s="174"/>
      <c r="E393" s="175" t="s">
        <v>127</v>
      </c>
      <c r="F393" s="176" t="s">
        <v>127</v>
      </c>
      <c r="G393" s="177" t="str">
        <f>IFERROR(__xludf.DUMMYFUNCTION("""COMPUTED_VALUE"""),"")</f>
        <v/>
      </c>
      <c r="H393" s="178" t="s">
        <v>127</v>
      </c>
      <c r="I393" s="159"/>
      <c r="J393" s="159"/>
      <c r="K393" s="159"/>
      <c r="M393" s="159"/>
      <c r="O393" s="157"/>
    </row>
    <row r="394">
      <c r="A394" s="172" t="s">
        <v>127</v>
      </c>
      <c r="B394" s="159"/>
      <c r="C394" s="173"/>
      <c r="D394" s="174"/>
      <c r="E394" s="175" t="s">
        <v>127</v>
      </c>
      <c r="F394" s="176" t="s">
        <v>127</v>
      </c>
      <c r="G394" s="177" t="str">
        <f>IFERROR(__xludf.DUMMYFUNCTION("""COMPUTED_VALUE"""),"")</f>
        <v/>
      </c>
      <c r="H394" s="178" t="s">
        <v>127</v>
      </c>
      <c r="I394" s="159"/>
      <c r="J394" s="159"/>
      <c r="K394" s="159"/>
      <c r="M394" s="159"/>
      <c r="O394" s="157"/>
    </row>
    <row r="395">
      <c r="A395" s="172" t="s">
        <v>127</v>
      </c>
      <c r="B395" s="159"/>
      <c r="C395" s="173"/>
      <c r="D395" s="174"/>
      <c r="E395" s="175" t="s">
        <v>127</v>
      </c>
      <c r="F395" s="176" t="s">
        <v>127</v>
      </c>
      <c r="G395" s="177" t="str">
        <f>IFERROR(__xludf.DUMMYFUNCTION("""COMPUTED_VALUE"""),"")</f>
        <v/>
      </c>
      <c r="H395" s="178" t="s">
        <v>127</v>
      </c>
      <c r="I395" s="159"/>
      <c r="J395" s="159"/>
      <c r="K395" s="159"/>
      <c r="M395" s="159"/>
      <c r="O395" s="157"/>
    </row>
    <row r="396">
      <c r="A396" s="172" t="s">
        <v>127</v>
      </c>
      <c r="B396" s="159"/>
      <c r="C396" s="173"/>
      <c r="D396" s="174"/>
      <c r="E396" s="175" t="s">
        <v>127</v>
      </c>
      <c r="F396" s="176" t="s">
        <v>127</v>
      </c>
      <c r="G396" s="177" t="str">
        <f>IFERROR(__xludf.DUMMYFUNCTION("""COMPUTED_VALUE"""),"")</f>
        <v/>
      </c>
      <c r="H396" s="178" t="s">
        <v>127</v>
      </c>
      <c r="I396" s="159"/>
      <c r="J396" s="159"/>
      <c r="K396" s="159"/>
      <c r="M396" s="159"/>
      <c r="O396" s="157"/>
    </row>
    <row r="397">
      <c r="A397" s="172" t="s">
        <v>127</v>
      </c>
      <c r="B397" s="159"/>
      <c r="C397" s="173"/>
      <c r="D397" s="174"/>
      <c r="E397" s="175" t="s">
        <v>127</v>
      </c>
      <c r="F397" s="176" t="s">
        <v>127</v>
      </c>
      <c r="G397" s="177" t="str">
        <f>IFERROR(__xludf.DUMMYFUNCTION("""COMPUTED_VALUE"""),"")</f>
        <v/>
      </c>
      <c r="H397" s="178" t="s">
        <v>127</v>
      </c>
      <c r="I397" s="159"/>
      <c r="J397" s="159"/>
      <c r="K397" s="159"/>
      <c r="M397" s="159"/>
      <c r="O397" s="157"/>
    </row>
    <row r="398">
      <c r="A398" s="172" t="s">
        <v>127</v>
      </c>
      <c r="B398" s="159"/>
      <c r="C398" s="173"/>
      <c r="D398" s="174"/>
      <c r="E398" s="175" t="s">
        <v>127</v>
      </c>
      <c r="F398" s="176" t="s">
        <v>127</v>
      </c>
      <c r="G398" s="177" t="str">
        <f>IFERROR(__xludf.DUMMYFUNCTION("""COMPUTED_VALUE"""),"")</f>
        <v/>
      </c>
      <c r="H398" s="178" t="s">
        <v>127</v>
      </c>
      <c r="I398" s="159"/>
      <c r="J398" s="159"/>
      <c r="K398" s="159"/>
      <c r="M398" s="159"/>
      <c r="O398" s="157"/>
    </row>
    <row r="399">
      <c r="A399" s="172" t="s">
        <v>127</v>
      </c>
      <c r="B399" s="159"/>
      <c r="C399" s="173"/>
      <c r="D399" s="174"/>
      <c r="E399" s="175" t="s">
        <v>127</v>
      </c>
      <c r="F399" s="176" t="s">
        <v>127</v>
      </c>
      <c r="G399" s="177" t="str">
        <f>IFERROR(__xludf.DUMMYFUNCTION("""COMPUTED_VALUE"""),"")</f>
        <v/>
      </c>
      <c r="H399" s="178" t="s">
        <v>127</v>
      </c>
      <c r="I399" s="159"/>
      <c r="J399" s="159"/>
      <c r="K399" s="159"/>
      <c r="M399" s="159"/>
      <c r="O399" s="157"/>
    </row>
    <row r="400">
      <c r="A400" s="172" t="s">
        <v>127</v>
      </c>
      <c r="B400" s="159"/>
      <c r="C400" s="173"/>
      <c r="D400" s="174"/>
      <c r="E400" s="175" t="s">
        <v>127</v>
      </c>
      <c r="F400" s="176" t="s">
        <v>127</v>
      </c>
      <c r="G400" s="177" t="str">
        <f>IFERROR(__xludf.DUMMYFUNCTION("""COMPUTED_VALUE"""),"")</f>
        <v/>
      </c>
      <c r="H400" s="178" t="s">
        <v>127</v>
      </c>
      <c r="I400" s="159"/>
      <c r="J400" s="159"/>
      <c r="K400" s="159"/>
      <c r="M400" s="159"/>
      <c r="O400" s="157"/>
    </row>
    <row r="401">
      <c r="A401" s="172" t="s">
        <v>127</v>
      </c>
      <c r="B401" s="159"/>
      <c r="C401" s="173"/>
      <c r="D401" s="174"/>
      <c r="E401" s="175" t="s">
        <v>127</v>
      </c>
      <c r="F401" s="176" t="s">
        <v>127</v>
      </c>
      <c r="G401" s="177" t="str">
        <f>IFERROR(__xludf.DUMMYFUNCTION("""COMPUTED_VALUE"""),"")</f>
        <v/>
      </c>
      <c r="H401" s="178" t="s">
        <v>127</v>
      </c>
      <c r="I401" s="159"/>
      <c r="J401" s="159"/>
      <c r="K401" s="159"/>
      <c r="M401" s="159"/>
      <c r="O401" s="157"/>
    </row>
    <row r="402">
      <c r="A402" s="172" t="s">
        <v>127</v>
      </c>
      <c r="B402" s="159"/>
      <c r="C402" s="173"/>
      <c r="D402" s="174"/>
      <c r="E402" s="175" t="s">
        <v>127</v>
      </c>
      <c r="F402" s="176" t="s">
        <v>127</v>
      </c>
      <c r="G402" s="177" t="str">
        <f>IFERROR(__xludf.DUMMYFUNCTION("""COMPUTED_VALUE"""),"")</f>
        <v/>
      </c>
      <c r="H402" s="178" t="s">
        <v>127</v>
      </c>
      <c r="I402" s="159"/>
      <c r="J402" s="159"/>
      <c r="K402" s="159"/>
      <c r="M402" s="159"/>
      <c r="O402" s="157"/>
    </row>
    <row r="403">
      <c r="A403" s="172" t="s">
        <v>127</v>
      </c>
      <c r="B403" s="159"/>
      <c r="C403" s="173"/>
      <c r="D403" s="174"/>
      <c r="E403" s="175" t="s">
        <v>127</v>
      </c>
      <c r="F403" s="176" t="s">
        <v>127</v>
      </c>
      <c r="G403" s="177" t="str">
        <f>IFERROR(__xludf.DUMMYFUNCTION("""COMPUTED_VALUE"""),"")</f>
        <v/>
      </c>
      <c r="H403" s="178" t="s">
        <v>127</v>
      </c>
      <c r="I403" s="159"/>
      <c r="J403" s="159"/>
      <c r="K403" s="159"/>
      <c r="M403" s="159"/>
      <c r="O403" s="157"/>
    </row>
    <row r="404">
      <c r="A404" s="172" t="s">
        <v>127</v>
      </c>
      <c r="B404" s="159"/>
      <c r="C404" s="173"/>
      <c r="D404" s="174"/>
      <c r="E404" s="175" t="s">
        <v>127</v>
      </c>
      <c r="F404" s="176" t="s">
        <v>127</v>
      </c>
      <c r="G404" s="177" t="str">
        <f>IFERROR(__xludf.DUMMYFUNCTION("""COMPUTED_VALUE"""),"")</f>
        <v/>
      </c>
      <c r="H404" s="178" t="s">
        <v>127</v>
      </c>
      <c r="I404" s="159"/>
      <c r="J404" s="159"/>
      <c r="K404" s="159"/>
      <c r="M404" s="159"/>
      <c r="O404" s="157"/>
    </row>
    <row r="405">
      <c r="A405" s="172" t="s">
        <v>127</v>
      </c>
      <c r="B405" s="159"/>
      <c r="C405" s="173"/>
      <c r="D405" s="174"/>
      <c r="E405" s="175" t="s">
        <v>127</v>
      </c>
      <c r="F405" s="176" t="s">
        <v>127</v>
      </c>
      <c r="G405" s="177" t="str">
        <f>IFERROR(__xludf.DUMMYFUNCTION("""COMPUTED_VALUE"""),"")</f>
        <v/>
      </c>
      <c r="H405" s="178" t="s">
        <v>127</v>
      </c>
      <c r="I405" s="159"/>
      <c r="J405" s="159"/>
      <c r="K405" s="159"/>
      <c r="M405" s="159"/>
      <c r="O405" s="157"/>
    </row>
    <row r="406">
      <c r="A406" s="172" t="s">
        <v>127</v>
      </c>
      <c r="B406" s="159"/>
      <c r="C406" s="173"/>
      <c r="D406" s="174"/>
      <c r="E406" s="175" t="s">
        <v>127</v>
      </c>
      <c r="F406" s="176" t="s">
        <v>127</v>
      </c>
      <c r="G406" s="177" t="str">
        <f>IFERROR(__xludf.DUMMYFUNCTION("""COMPUTED_VALUE"""),"")</f>
        <v/>
      </c>
      <c r="H406" s="178" t="s">
        <v>127</v>
      </c>
      <c r="I406" s="159"/>
      <c r="J406" s="159"/>
      <c r="K406" s="159"/>
      <c r="M406" s="159"/>
      <c r="O406" s="157"/>
    </row>
    <row r="407">
      <c r="A407" s="172" t="s">
        <v>127</v>
      </c>
      <c r="B407" s="159"/>
      <c r="C407" s="173"/>
      <c r="D407" s="174"/>
      <c r="E407" s="175" t="s">
        <v>127</v>
      </c>
      <c r="F407" s="176" t="s">
        <v>127</v>
      </c>
      <c r="G407" s="177" t="str">
        <f>IFERROR(__xludf.DUMMYFUNCTION("""COMPUTED_VALUE"""),"")</f>
        <v/>
      </c>
      <c r="H407" s="178" t="s">
        <v>127</v>
      </c>
      <c r="I407" s="159"/>
      <c r="J407" s="159"/>
      <c r="K407" s="159"/>
      <c r="M407" s="159"/>
      <c r="O407" s="157"/>
    </row>
    <row r="408">
      <c r="A408" s="172" t="s">
        <v>127</v>
      </c>
      <c r="B408" s="159"/>
      <c r="C408" s="173"/>
      <c r="D408" s="174"/>
      <c r="E408" s="175" t="s">
        <v>127</v>
      </c>
      <c r="F408" s="176" t="s">
        <v>127</v>
      </c>
      <c r="G408" s="177" t="str">
        <f>IFERROR(__xludf.DUMMYFUNCTION("""COMPUTED_VALUE"""),"")</f>
        <v/>
      </c>
      <c r="H408" s="178" t="s">
        <v>127</v>
      </c>
      <c r="I408" s="159"/>
      <c r="J408" s="159"/>
      <c r="K408" s="159"/>
      <c r="M408" s="159"/>
      <c r="O408" s="157"/>
    </row>
    <row r="409">
      <c r="A409" s="172" t="s">
        <v>127</v>
      </c>
      <c r="B409" s="159"/>
      <c r="C409" s="173"/>
      <c r="D409" s="174"/>
      <c r="E409" s="175" t="s">
        <v>127</v>
      </c>
      <c r="F409" s="176" t="s">
        <v>127</v>
      </c>
      <c r="G409" s="177" t="str">
        <f>IFERROR(__xludf.DUMMYFUNCTION("""COMPUTED_VALUE"""),"")</f>
        <v/>
      </c>
      <c r="H409" s="178" t="s">
        <v>127</v>
      </c>
      <c r="I409" s="159"/>
      <c r="J409" s="159"/>
      <c r="K409" s="159"/>
      <c r="M409" s="159"/>
      <c r="O409" s="157"/>
    </row>
    <row r="410">
      <c r="A410" s="172" t="s">
        <v>127</v>
      </c>
      <c r="B410" s="159"/>
      <c r="C410" s="173"/>
      <c r="D410" s="174"/>
      <c r="E410" s="175" t="s">
        <v>127</v>
      </c>
      <c r="F410" s="176" t="s">
        <v>127</v>
      </c>
      <c r="G410" s="177" t="str">
        <f>IFERROR(__xludf.DUMMYFUNCTION("""COMPUTED_VALUE"""),"")</f>
        <v/>
      </c>
      <c r="H410" s="178" t="s">
        <v>127</v>
      </c>
      <c r="I410" s="159"/>
      <c r="J410" s="159"/>
      <c r="K410" s="159"/>
      <c r="M410" s="159"/>
      <c r="O410" s="157"/>
    </row>
    <row r="411">
      <c r="A411" s="172" t="s">
        <v>127</v>
      </c>
      <c r="B411" s="159"/>
      <c r="C411" s="173"/>
      <c r="D411" s="174"/>
      <c r="E411" s="175" t="s">
        <v>127</v>
      </c>
      <c r="F411" s="176" t="s">
        <v>127</v>
      </c>
      <c r="G411" s="177" t="str">
        <f>IFERROR(__xludf.DUMMYFUNCTION("""COMPUTED_VALUE"""),"")</f>
        <v/>
      </c>
      <c r="H411" s="178" t="s">
        <v>127</v>
      </c>
      <c r="I411" s="159"/>
      <c r="J411" s="159"/>
      <c r="K411" s="159"/>
      <c r="M411" s="159"/>
      <c r="O411" s="157"/>
    </row>
    <row r="412">
      <c r="A412" s="172" t="s">
        <v>127</v>
      </c>
      <c r="B412" s="159"/>
      <c r="C412" s="173"/>
      <c r="D412" s="174"/>
      <c r="E412" s="175" t="s">
        <v>127</v>
      </c>
      <c r="F412" s="176" t="s">
        <v>127</v>
      </c>
      <c r="G412" s="177" t="str">
        <f>IFERROR(__xludf.DUMMYFUNCTION("""COMPUTED_VALUE"""),"")</f>
        <v/>
      </c>
      <c r="H412" s="178" t="s">
        <v>127</v>
      </c>
      <c r="I412" s="159"/>
      <c r="J412" s="159"/>
      <c r="K412" s="159"/>
      <c r="M412" s="159"/>
      <c r="O412" s="157"/>
    </row>
    <row r="413">
      <c r="A413" s="172" t="s">
        <v>127</v>
      </c>
      <c r="B413" s="159"/>
      <c r="C413" s="173"/>
      <c r="D413" s="174"/>
      <c r="E413" s="175" t="s">
        <v>127</v>
      </c>
      <c r="F413" s="176" t="s">
        <v>127</v>
      </c>
      <c r="G413" s="177" t="str">
        <f>IFERROR(__xludf.DUMMYFUNCTION("""COMPUTED_VALUE"""),"")</f>
        <v/>
      </c>
      <c r="H413" s="178" t="s">
        <v>127</v>
      </c>
      <c r="I413" s="159"/>
      <c r="J413" s="159"/>
      <c r="K413" s="159"/>
      <c r="M413" s="159"/>
      <c r="O413" s="157"/>
    </row>
    <row r="414">
      <c r="A414" s="172" t="s">
        <v>127</v>
      </c>
      <c r="B414" s="159"/>
      <c r="C414" s="173"/>
      <c r="D414" s="174"/>
      <c r="E414" s="175" t="s">
        <v>127</v>
      </c>
      <c r="F414" s="176" t="s">
        <v>127</v>
      </c>
      <c r="G414" s="177" t="str">
        <f>IFERROR(__xludf.DUMMYFUNCTION("""COMPUTED_VALUE"""),"")</f>
        <v/>
      </c>
      <c r="H414" s="178" t="s">
        <v>127</v>
      </c>
      <c r="I414" s="159"/>
      <c r="J414" s="159"/>
      <c r="K414" s="159"/>
      <c r="M414" s="159"/>
      <c r="O414" s="157"/>
    </row>
    <row r="415">
      <c r="A415" s="172" t="s">
        <v>127</v>
      </c>
      <c r="B415" s="159"/>
      <c r="C415" s="173"/>
      <c r="D415" s="174"/>
      <c r="E415" s="175" t="s">
        <v>127</v>
      </c>
      <c r="F415" s="176" t="s">
        <v>127</v>
      </c>
      <c r="G415" s="177" t="str">
        <f>IFERROR(__xludf.DUMMYFUNCTION("""COMPUTED_VALUE"""),"")</f>
        <v/>
      </c>
      <c r="H415" s="178" t="s">
        <v>127</v>
      </c>
      <c r="I415" s="159"/>
      <c r="J415" s="159"/>
      <c r="K415" s="159"/>
      <c r="M415" s="159"/>
      <c r="O415" s="157"/>
    </row>
    <row r="416">
      <c r="A416" s="172" t="s">
        <v>127</v>
      </c>
      <c r="B416" s="159"/>
      <c r="C416" s="173"/>
      <c r="D416" s="174"/>
      <c r="E416" s="175" t="s">
        <v>127</v>
      </c>
      <c r="F416" s="176" t="s">
        <v>127</v>
      </c>
      <c r="G416" s="177" t="str">
        <f>IFERROR(__xludf.DUMMYFUNCTION("""COMPUTED_VALUE"""),"")</f>
        <v/>
      </c>
      <c r="H416" s="178" t="s">
        <v>127</v>
      </c>
      <c r="I416" s="159"/>
      <c r="J416" s="159"/>
      <c r="K416" s="159"/>
      <c r="M416" s="159"/>
      <c r="O416" s="157"/>
    </row>
    <row r="417">
      <c r="A417" s="172" t="s">
        <v>127</v>
      </c>
      <c r="B417" s="159"/>
      <c r="C417" s="173"/>
      <c r="D417" s="174"/>
      <c r="E417" s="175" t="s">
        <v>127</v>
      </c>
      <c r="F417" s="176" t="s">
        <v>127</v>
      </c>
      <c r="G417" s="177" t="str">
        <f>IFERROR(__xludf.DUMMYFUNCTION("""COMPUTED_VALUE"""),"")</f>
        <v/>
      </c>
      <c r="H417" s="178" t="s">
        <v>127</v>
      </c>
      <c r="I417" s="159"/>
      <c r="J417" s="159"/>
      <c r="K417" s="159"/>
      <c r="M417" s="159"/>
      <c r="O417" s="157"/>
    </row>
    <row r="418">
      <c r="A418" s="172" t="s">
        <v>127</v>
      </c>
      <c r="B418" s="159"/>
      <c r="C418" s="173"/>
      <c r="D418" s="174"/>
      <c r="E418" s="175" t="s">
        <v>127</v>
      </c>
      <c r="F418" s="176" t="s">
        <v>127</v>
      </c>
      <c r="G418" s="177" t="str">
        <f>IFERROR(__xludf.DUMMYFUNCTION("""COMPUTED_VALUE"""),"")</f>
        <v/>
      </c>
      <c r="H418" s="178" t="s">
        <v>127</v>
      </c>
      <c r="I418" s="159"/>
      <c r="J418" s="159"/>
      <c r="K418" s="159"/>
      <c r="M418" s="159"/>
      <c r="O418" s="157"/>
    </row>
    <row r="419">
      <c r="A419" s="172" t="s">
        <v>127</v>
      </c>
      <c r="B419" s="159"/>
      <c r="C419" s="173"/>
      <c r="D419" s="174"/>
      <c r="E419" s="175" t="s">
        <v>127</v>
      </c>
      <c r="F419" s="176" t="s">
        <v>127</v>
      </c>
      <c r="G419" s="177" t="str">
        <f>IFERROR(__xludf.DUMMYFUNCTION("""COMPUTED_VALUE"""),"")</f>
        <v/>
      </c>
      <c r="H419" s="178" t="s">
        <v>127</v>
      </c>
      <c r="I419" s="159"/>
      <c r="J419" s="159"/>
      <c r="K419" s="159"/>
      <c r="M419" s="159"/>
      <c r="O419" s="157"/>
    </row>
    <row r="420">
      <c r="A420" s="172" t="s">
        <v>127</v>
      </c>
      <c r="B420" s="159"/>
      <c r="C420" s="173"/>
      <c r="D420" s="174"/>
      <c r="E420" s="175" t="s">
        <v>127</v>
      </c>
      <c r="F420" s="176" t="s">
        <v>127</v>
      </c>
      <c r="G420" s="177" t="str">
        <f>IFERROR(__xludf.DUMMYFUNCTION("""COMPUTED_VALUE"""),"")</f>
        <v/>
      </c>
      <c r="H420" s="178" t="s">
        <v>127</v>
      </c>
      <c r="I420" s="159"/>
      <c r="J420" s="159"/>
      <c r="K420" s="159"/>
      <c r="M420" s="159"/>
      <c r="O420" s="157"/>
    </row>
    <row r="421">
      <c r="A421" s="172" t="s">
        <v>127</v>
      </c>
      <c r="B421" s="159"/>
      <c r="C421" s="173"/>
      <c r="D421" s="174"/>
      <c r="E421" s="175" t="s">
        <v>127</v>
      </c>
      <c r="F421" s="176" t="s">
        <v>127</v>
      </c>
      <c r="G421" s="177" t="str">
        <f>IFERROR(__xludf.DUMMYFUNCTION("""COMPUTED_VALUE"""),"")</f>
        <v/>
      </c>
      <c r="H421" s="178" t="s">
        <v>127</v>
      </c>
      <c r="I421" s="159"/>
      <c r="J421" s="159"/>
      <c r="K421" s="159"/>
      <c r="M421" s="159"/>
      <c r="O421" s="157"/>
    </row>
    <row r="422">
      <c r="A422" s="172" t="s">
        <v>127</v>
      </c>
      <c r="B422" s="159"/>
      <c r="C422" s="173"/>
      <c r="D422" s="174"/>
      <c r="E422" s="175" t="s">
        <v>127</v>
      </c>
      <c r="F422" s="176" t="s">
        <v>127</v>
      </c>
      <c r="G422" s="177" t="str">
        <f>IFERROR(__xludf.DUMMYFUNCTION("""COMPUTED_VALUE"""),"")</f>
        <v/>
      </c>
      <c r="H422" s="178" t="s">
        <v>127</v>
      </c>
      <c r="I422" s="159"/>
      <c r="J422" s="159"/>
      <c r="K422" s="159"/>
      <c r="M422" s="159"/>
      <c r="O422" s="157"/>
    </row>
    <row r="423">
      <c r="A423" s="172" t="s">
        <v>127</v>
      </c>
      <c r="B423" s="159"/>
      <c r="C423" s="173"/>
      <c r="D423" s="174"/>
      <c r="E423" s="175" t="s">
        <v>127</v>
      </c>
      <c r="F423" s="176" t="s">
        <v>127</v>
      </c>
      <c r="G423" s="177" t="str">
        <f>IFERROR(__xludf.DUMMYFUNCTION("""COMPUTED_VALUE"""),"")</f>
        <v/>
      </c>
      <c r="H423" s="178" t="s">
        <v>127</v>
      </c>
      <c r="I423" s="159"/>
      <c r="J423" s="159"/>
      <c r="K423" s="159"/>
      <c r="M423" s="159"/>
      <c r="O423" s="157"/>
    </row>
    <row r="424">
      <c r="A424" s="172" t="s">
        <v>127</v>
      </c>
      <c r="B424" s="159"/>
      <c r="C424" s="173"/>
      <c r="D424" s="174"/>
      <c r="E424" s="175" t="s">
        <v>127</v>
      </c>
      <c r="F424" s="176" t="s">
        <v>127</v>
      </c>
      <c r="G424" s="177" t="str">
        <f>IFERROR(__xludf.DUMMYFUNCTION("""COMPUTED_VALUE"""),"")</f>
        <v/>
      </c>
      <c r="H424" s="178" t="s">
        <v>127</v>
      </c>
      <c r="I424" s="159"/>
      <c r="J424" s="159"/>
      <c r="K424" s="159"/>
      <c r="M424" s="159"/>
      <c r="O424" s="157"/>
    </row>
    <row r="425">
      <c r="A425" s="172" t="s">
        <v>127</v>
      </c>
      <c r="B425" s="159"/>
      <c r="C425" s="173"/>
      <c r="D425" s="174"/>
      <c r="E425" s="175" t="s">
        <v>127</v>
      </c>
      <c r="F425" s="176" t="s">
        <v>127</v>
      </c>
      <c r="G425" s="177" t="str">
        <f>IFERROR(__xludf.DUMMYFUNCTION("""COMPUTED_VALUE"""),"")</f>
        <v/>
      </c>
      <c r="H425" s="178" t="s">
        <v>127</v>
      </c>
      <c r="I425" s="159"/>
      <c r="J425" s="159"/>
      <c r="K425" s="159"/>
      <c r="M425" s="159"/>
      <c r="O425" s="157"/>
    </row>
    <row r="426">
      <c r="A426" s="172" t="s">
        <v>127</v>
      </c>
      <c r="B426" s="159"/>
      <c r="C426" s="173"/>
      <c r="D426" s="174"/>
      <c r="E426" s="175" t="s">
        <v>127</v>
      </c>
      <c r="F426" s="176" t="s">
        <v>127</v>
      </c>
      <c r="G426" s="177" t="str">
        <f>IFERROR(__xludf.DUMMYFUNCTION("""COMPUTED_VALUE"""),"")</f>
        <v/>
      </c>
      <c r="H426" s="178" t="s">
        <v>127</v>
      </c>
      <c r="I426" s="159"/>
      <c r="J426" s="159"/>
      <c r="K426" s="159"/>
      <c r="M426" s="159"/>
      <c r="O426" s="157"/>
    </row>
    <row r="427">
      <c r="A427" s="172" t="s">
        <v>127</v>
      </c>
      <c r="B427" s="159"/>
      <c r="C427" s="173"/>
      <c r="D427" s="174"/>
      <c r="E427" s="175" t="s">
        <v>127</v>
      </c>
      <c r="F427" s="176" t="s">
        <v>127</v>
      </c>
      <c r="G427" s="177" t="str">
        <f>IFERROR(__xludf.DUMMYFUNCTION("""COMPUTED_VALUE"""),"")</f>
        <v/>
      </c>
      <c r="H427" s="178" t="s">
        <v>127</v>
      </c>
      <c r="I427" s="159"/>
      <c r="J427" s="159"/>
      <c r="K427" s="159"/>
      <c r="M427" s="159"/>
      <c r="O427" s="157"/>
    </row>
    <row r="428">
      <c r="A428" s="172" t="s">
        <v>127</v>
      </c>
      <c r="B428" s="159"/>
      <c r="C428" s="173"/>
      <c r="D428" s="174"/>
      <c r="E428" s="175" t="s">
        <v>127</v>
      </c>
      <c r="F428" s="176" t="s">
        <v>127</v>
      </c>
      <c r="G428" s="177" t="str">
        <f>IFERROR(__xludf.DUMMYFUNCTION("""COMPUTED_VALUE"""),"")</f>
        <v/>
      </c>
      <c r="H428" s="178" t="s">
        <v>127</v>
      </c>
      <c r="I428" s="159"/>
      <c r="J428" s="159"/>
      <c r="K428" s="159"/>
      <c r="M428" s="159"/>
      <c r="O428" s="157"/>
    </row>
    <row r="429">
      <c r="A429" s="172" t="s">
        <v>127</v>
      </c>
      <c r="B429" s="159"/>
      <c r="C429" s="173"/>
      <c r="D429" s="174"/>
      <c r="E429" s="175" t="s">
        <v>127</v>
      </c>
      <c r="F429" s="176" t="s">
        <v>127</v>
      </c>
      <c r="G429" s="177" t="str">
        <f>IFERROR(__xludf.DUMMYFUNCTION("""COMPUTED_VALUE"""),"")</f>
        <v/>
      </c>
      <c r="H429" s="178" t="s">
        <v>127</v>
      </c>
      <c r="I429" s="159"/>
      <c r="J429" s="159"/>
      <c r="K429" s="159"/>
      <c r="M429" s="159"/>
      <c r="O429" s="157"/>
    </row>
    <row r="430">
      <c r="A430" s="172" t="s">
        <v>127</v>
      </c>
      <c r="B430" s="159"/>
      <c r="C430" s="173"/>
      <c r="D430" s="174"/>
      <c r="E430" s="175" t="s">
        <v>127</v>
      </c>
      <c r="F430" s="176" t="s">
        <v>127</v>
      </c>
      <c r="G430" s="177" t="str">
        <f>IFERROR(__xludf.DUMMYFUNCTION("""COMPUTED_VALUE"""),"")</f>
        <v/>
      </c>
      <c r="H430" s="178" t="s">
        <v>127</v>
      </c>
      <c r="I430" s="159"/>
      <c r="J430" s="159"/>
      <c r="K430" s="159"/>
      <c r="M430" s="159"/>
      <c r="O430" s="157"/>
    </row>
    <row r="431">
      <c r="A431" s="172" t="s">
        <v>127</v>
      </c>
      <c r="B431" s="159"/>
      <c r="C431" s="173"/>
      <c r="D431" s="174"/>
      <c r="E431" s="175" t="s">
        <v>127</v>
      </c>
      <c r="F431" s="176" t="s">
        <v>127</v>
      </c>
      <c r="G431" s="177" t="str">
        <f>IFERROR(__xludf.DUMMYFUNCTION("""COMPUTED_VALUE"""),"")</f>
        <v/>
      </c>
      <c r="H431" s="178" t="s">
        <v>127</v>
      </c>
      <c r="I431" s="159"/>
      <c r="J431" s="159"/>
      <c r="K431" s="159"/>
      <c r="M431" s="159"/>
      <c r="O431" s="157"/>
    </row>
    <row r="432">
      <c r="A432" s="172" t="s">
        <v>127</v>
      </c>
      <c r="B432" s="159"/>
      <c r="C432" s="173"/>
      <c r="D432" s="174"/>
      <c r="E432" s="175" t="s">
        <v>127</v>
      </c>
      <c r="F432" s="176" t="s">
        <v>127</v>
      </c>
      <c r="G432" s="177" t="str">
        <f>IFERROR(__xludf.DUMMYFUNCTION("""COMPUTED_VALUE"""),"")</f>
        <v/>
      </c>
      <c r="H432" s="178" t="s">
        <v>127</v>
      </c>
      <c r="I432" s="159"/>
      <c r="J432" s="159"/>
      <c r="K432" s="159"/>
      <c r="M432" s="159"/>
      <c r="O432" s="157"/>
    </row>
    <row r="433">
      <c r="A433" s="172" t="s">
        <v>127</v>
      </c>
      <c r="B433" s="159"/>
      <c r="C433" s="173"/>
      <c r="D433" s="174"/>
      <c r="E433" s="175" t="s">
        <v>127</v>
      </c>
      <c r="F433" s="176" t="s">
        <v>127</v>
      </c>
      <c r="G433" s="177" t="str">
        <f>IFERROR(__xludf.DUMMYFUNCTION("""COMPUTED_VALUE"""),"")</f>
        <v/>
      </c>
      <c r="H433" s="178" t="s">
        <v>127</v>
      </c>
      <c r="I433" s="159"/>
      <c r="J433" s="159"/>
      <c r="K433" s="159"/>
      <c r="M433" s="159"/>
      <c r="O433" s="157"/>
    </row>
    <row r="434">
      <c r="A434" s="172" t="s">
        <v>127</v>
      </c>
      <c r="B434" s="159"/>
      <c r="C434" s="173"/>
      <c r="D434" s="174"/>
      <c r="E434" s="175" t="s">
        <v>127</v>
      </c>
      <c r="F434" s="176" t="s">
        <v>127</v>
      </c>
      <c r="G434" s="177" t="str">
        <f>IFERROR(__xludf.DUMMYFUNCTION("""COMPUTED_VALUE"""),"")</f>
        <v/>
      </c>
      <c r="H434" s="178" t="s">
        <v>127</v>
      </c>
      <c r="I434" s="159"/>
      <c r="J434" s="159"/>
      <c r="K434" s="159"/>
      <c r="M434" s="159"/>
      <c r="O434" s="157"/>
    </row>
    <row r="435">
      <c r="A435" s="172" t="s">
        <v>127</v>
      </c>
      <c r="B435" s="159"/>
      <c r="C435" s="173"/>
      <c r="D435" s="174"/>
      <c r="E435" s="175" t="s">
        <v>127</v>
      </c>
      <c r="F435" s="176" t="s">
        <v>127</v>
      </c>
      <c r="G435" s="177" t="str">
        <f>IFERROR(__xludf.DUMMYFUNCTION("""COMPUTED_VALUE"""),"")</f>
        <v/>
      </c>
      <c r="H435" s="178" t="s">
        <v>127</v>
      </c>
      <c r="I435" s="159"/>
      <c r="J435" s="159"/>
      <c r="K435" s="159"/>
      <c r="M435" s="159"/>
      <c r="O435" s="157"/>
    </row>
    <row r="436">
      <c r="A436" s="172" t="s">
        <v>127</v>
      </c>
      <c r="B436" s="159"/>
      <c r="C436" s="173"/>
      <c r="D436" s="174"/>
      <c r="E436" s="175" t="s">
        <v>127</v>
      </c>
      <c r="F436" s="176" t="s">
        <v>127</v>
      </c>
      <c r="G436" s="177" t="str">
        <f>IFERROR(__xludf.DUMMYFUNCTION("""COMPUTED_VALUE"""),"")</f>
        <v/>
      </c>
      <c r="H436" s="178" t="s">
        <v>127</v>
      </c>
      <c r="I436" s="159"/>
      <c r="J436" s="159"/>
      <c r="K436" s="159"/>
      <c r="M436" s="159"/>
      <c r="O436" s="157"/>
    </row>
    <row r="437">
      <c r="A437" s="172" t="s">
        <v>127</v>
      </c>
      <c r="B437" s="159"/>
      <c r="C437" s="173"/>
      <c r="D437" s="174"/>
      <c r="E437" s="175" t="s">
        <v>127</v>
      </c>
      <c r="F437" s="176" t="s">
        <v>127</v>
      </c>
      <c r="G437" s="177" t="str">
        <f>IFERROR(__xludf.DUMMYFUNCTION("""COMPUTED_VALUE"""),"")</f>
        <v/>
      </c>
      <c r="H437" s="178" t="s">
        <v>127</v>
      </c>
      <c r="I437" s="159"/>
      <c r="J437" s="159"/>
      <c r="K437" s="159"/>
      <c r="M437" s="159"/>
      <c r="O437" s="157"/>
    </row>
    <row r="438">
      <c r="A438" s="172" t="s">
        <v>127</v>
      </c>
      <c r="B438" s="159"/>
      <c r="C438" s="173"/>
      <c r="D438" s="174"/>
      <c r="E438" s="175" t="s">
        <v>127</v>
      </c>
      <c r="F438" s="176" t="s">
        <v>127</v>
      </c>
      <c r="G438" s="177" t="str">
        <f>IFERROR(__xludf.DUMMYFUNCTION("""COMPUTED_VALUE"""),"")</f>
        <v/>
      </c>
      <c r="H438" s="178" t="s">
        <v>127</v>
      </c>
      <c r="I438" s="159"/>
      <c r="J438" s="159"/>
      <c r="K438" s="159"/>
      <c r="M438" s="159"/>
      <c r="O438" s="157"/>
    </row>
    <row r="439">
      <c r="A439" s="172" t="s">
        <v>127</v>
      </c>
      <c r="B439" s="159"/>
      <c r="C439" s="173"/>
      <c r="D439" s="174"/>
      <c r="E439" s="175" t="s">
        <v>127</v>
      </c>
      <c r="F439" s="176" t="s">
        <v>127</v>
      </c>
      <c r="G439" s="177" t="str">
        <f>IFERROR(__xludf.DUMMYFUNCTION("""COMPUTED_VALUE"""),"")</f>
        <v/>
      </c>
      <c r="H439" s="178" t="s">
        <v>127</v>
      </c>
      <c r="I439" s="159"/>
      <c r="J439" s="159"/>
      <c r="K439" s="159"/>
      <c r="M439" s="159"/>
      <c r="O439" s="157"/>
    </row>
    <row r="440">
      <c r="A440" s="172" t="s">
        <v>127</v>
      </c>
      <c r="B440" s="159"/>
      <c r="C440" s="173"/>
      <c r="D440" s="174"/>
      <c r="E440" s="175" t="s">
        <v>127</v>
      </c>
      <c r="F440" s="176" t="s">
        <v>127</v>
      </c>
      <c r="G440" s="177" t="str">
        <f>IFERROR(__xludf.DUMMYFUNCTION("""COMPUTED_VALUE"""),"")</f>
        <v/>
      </c>
      <c r="H440" s="178" t="s">
        <v>127</v>
      </c>
      <c r="I440" s="159"/>
      <c r="J440" s="159"/>
      <c r="K440" s="159"/>
      <c r="M440" s="159"/>
      <c r="O440" s="157"/>
    </row>
    <row r="441">
      <c r="A441" s="172" t="s">
        <v>127</v>
      </c>
      <c r="B441" s="159"/>
      <c r="C441" s="173"/>
      <c r="D441" s="174"/>
      <c r="E441" s="175" t="s">
        <v>127</v>
      </c>
      <c r="F441" s="176" t="s">
        <v>127</v>
      </c>
      <c r="G441" s="177" t="str">
        <f>IFERROR(__xludf.DUMMYFUNCTION("""COMPUTED_VALUE"""),"")</f>
        <v/>
      </c>
      <c r="H441" s="178" t="s">
        <v>127</v>
      </c>
      <c r="I441" s="159"/>
      <c r="J441" s="159"/>
      <c r="K441" s="159"/>
      <c r="M441" s="159"/>
      <c r="O441" s="157"/>
    </row>
    <row r="442">
      <c r="A442" s="172" t="s">
        <v>127</v>
      </c>
      <c r="B442" s="159"/>
      <c r="C442" s="173"/>
      <c r="D442" s="174"/>
      <c r="E442" s="175" t="s">
        <v>127</v>
      </c>
      <c r="F442" s="176" t="s">
        <v>127</v>
      </c>
      <c r="G442" s="177" t="str">
        <f>IFERROR(__xludf.DUMMYFUNCTION("""COMPUTED_VALUE"""),"")</f>
        <v/>
      </c>
      <c r="H442" s="178" t="s">
        <v>127</v>
      </c>
      <c r="I442" s="159"/>
      <c r="J442" s="159"/>
      <c r="K442" s="159"/>
      <c r="M442" s="159"/>
      <c r="O442" s="157"/>
    </row>
    <row r="443">
      <c r="A443" s="172" t="s">
        <v>127</v>
      </c>
      <c r="B443" s="159"/>
      <c r="C443" s="173"/>
      <c r="D443" s="174"/>
      <c r="E443" s="175" t="s">
        <v>127</v>
      </c>
      <c r="F443" s="176" t="s">
        <v>127</v>
      </c>
      <c r="G443" s="177" t="str">
        <f>IFERROR(__xludf.DUMMYFUNCTION("""COMPUTED_VALUE"""),"")</f>
        <v/>
      </c>
      <c r="H443" s="178" t="s">
        <v>127</v>
      </c>
      <c r="I443" s="159"/>
      <c r="J443" s="159"/>
      <c r="K443" s="159"/>
      <c r="M443" s="159"/>
      <c r="O443" s="157"/>
    </row>
    <row r="444">
      <c r="A444" s="172" t="s">
        <v>127</v>
      </c>
      <c r="B444" s="159"/>
      <c r="C444" s="173"/>
      <c r="D444" s="174"/>
      <c r="E444" s="175" t="s">
        <v>127</v>
      </c>
      <c r="F444" s="176" t="s">
        <v>127</v>
      </c>
      <c r="G444" s="177" t="str">
        <f>IFERROR(__xludf.DUMMYFUNCTION("""COMPUTED_VALUE"""),"")</f>
        <v/>
      </c>
      <c r="H444" s="178" t="s">
        <v>127</v>
      </c>
      <c r="I444" s="159"/>
      <c r="J444" s="159"/>
      <c r="K444" s="159"/>
      <c r="M444" s="159"/>
      <c r="O444" s="157"/>
    </row>
    <row r="445">
      <c r="A445" s="172" t="s">
        <v>127</v>
      </c>
      <c r="B445" s="159"/>
      <c r="C445" s="173"/>
      <c r="D445" s="174"/>
      <c r="E445" s="175" t="s">
        <v>127</v>
      </c>
      <c r="F445" s="176" t="s">
        <v>127</v>
      </c>
      <c r="G445" s="177" t="str">
        <f>IFERROR(__xludf.DUMMYFUNCTION("""COMPUTED_VALUE"""),"")</f>
        <v/>
      </c>
      <c r="H445" s="178" t="s">
        <v>127</v>
      </c>
      <c r="I445" s="159"/>
      <c r="J445" s="159"/>
      <c r="K445" s="159"/>
      <c r="M445" s="159"/>
      <c r="O445" s="157"/>
    </row>
    <row r="446">
      <c r="A446" s="172" t="s">
        <v>127</v>
      </c>
      <c r="B446" s="159"/>
      <c r="C446" s="173"/>
      <c r="D446" s="174"/>
      <c r="E446" s="175" t="s">
        <v>127</v>
      </c>
      <c r="F446" s="176" t="s">
        <v>127</v>
      </c>
      <c r="G446" s="177" t="str">
        <f>IFERROR(__xludf.DUMMYFUNCTION("""COMPUTED_VALUE"""),"")</f>
        <v/>
      </c>
      <c r="H446" s="178" t="s">
        <v>127</v>
      </c>
      <c r="I446" s="159"/>
      <c r="J446" s="159"/>
      <c r="K446" s="159"/>
      <c r="M446" s="159"/>
      <c r="O446" s="157"/>
    </row>
    <row r="447">
      <c r="A447" s="172" t="s">
        <v>127</v>
      </c>
      <c r="B447" s="159"/>
      <c r="C447" s="173"/>
      <c r="D447" s="174"/>
      <c r="E447" s="175" t="s">
        <v>127</v>
      </c>
      <c r="F447" s="176" t="s">
        <v>127</v>
      </c>
      <c r="G447" s="177" t="str">
        <f>IFERROR(__xludf.DUMMYFUNCTION("""COMPUTED_VALUE"""),"")</f>
        <v/>
      </c>
      <c r="H447" s="178" t="s">
        <v>127</v>
      </c>
      <c r="I447" s="159"/>
      <c r="J447" s="159"/>
      <c r="K447" s="159"/>
      <c r="M447" s="159"/>
      <c r="O447" s="157"/>
    </row>
    <row r="448">
      <c r="A448" s="172" t="s">
        <v>127</v>
      </c>
      <c r="B448" s="159"/>
      <c r="C448" s="173"/>
      <c r="D448" s="174"/>
      <c r="E448" s="175" t="s">
        <v>127</v>
      </c>
      <c r="F448" s="176" t="s">
        <v>127</v>
      </c>
      <c r="G448" s="177" t="str">
        <f>IFERROR(__xludf.DUMMYFUNCTION("""COMPUTED_VALUE"""),"")</f>
        <v/>
      </c>
      <c r="H448" s="178" t="s">
        <v>127</v>
      </c>
      <c r="I448" s="159"/>
      <c r="J448" s="159"/>
      <c r="K448" s="159"/>
      <c r="M448" s="159"/>
      <c r="O448" s="157"/>
    </row>
    <row r="449">
      <c r="A449" s="172" t="s">
        <v>127</v>
      </c>
      <c r="B449" s="159"/>
      <c r="C449" s="173"/>
      <c r="D449" s="174"/>
      <c r="E449" s="175" t="s">
        <v>127</v>
      </c>
      <c r="F449" s="176" t="s">
        <v>127</v>
      </c>
      <c r="G449" s="177" t="str">
        <f>IFERROR(__xludf.DUMMYFUNCTION("""COMPUTED_VALUE"""),"")</f>
        <v/>
      </c>
      <c r="H449" s="178" t="s">
        <v>127</v>
      </c>
      <c r="I449" s="159"/>
      <c r="J449" s="159"/>
      <c r="K449" s="159"/>
      <c r="M449" s="159"/>
      <c r="O449" s="157"/>
    </row>
    <row r="450">
      <c r="A450" s="172" t="s">
        <v>127</v>
      </c>
      <c r="B450" s="159"/>
      <c r="C450" s="173"/>
      <c r="D450" s="174"/>
      <c r="E450" s="175" t="s">
        <v>127</v>
      </c>
      <c r="F450" s="176" t="s">
        <v>127</v>
      </c>
      <c r="G450" s="177" t="str">
        <f>IFERROR(__xludf.DUMMYFUNCTION("""COMPUTED_VALUE"""),"")</f>
        <v/>
      </c>
      <c r="H450" s="178" t="s">
        <v>127</v>
      </c>
      <c r="I450" s="159"/>
      <c r="J450" s="159"/>
      <c r="K450" s="159"/>
      <c r="M450" s="159"/>
      <c r="O450" s="157"/>
    </row>
    <row r="451">
      <c r="A451" s="172" t="s">
        <v>127</v>
      </c>
      <c r="B451" s="159"/>
      <c r="C451" s="173"/>
      <c r="D451" s="174"/>
      <c r="E451" s="175" t="s">
        <v>127</v>
      </c>
      <c r="F451" s="176" t="s">
        <v>127</v>
      </c>
      <c r="G451" s="177" t="str">
        <f>IFERROR(__xludf.DUMMYFUNCTION("""COMPUTED_VALUE"""),"")</f>
        <v/>
      </c>
      <c r="H451" s="178" t="s">
        <v>127</v>
      </c>
      <c r="I451" s="159"/>
      <c r="J451" s="159"/>
      <c r="K451" s="159"/>
      <c r="M451" s="159"/>
      <c r="O451" s="157"/>
    </row>
    <row r="452">
      <c r="A452" s="172" t="s">
        <v>127</v>
      </c>
      <c r="B452" s="159"/>
      <c r="C452" s="173"/>
      <c r="D452" s="174"/>
      <c r="E452" s="175" t="s">
        <v>127</v>
      </c>
      <c r="F452" s="176" t="s">
        <v>127</v>
      </c>
      <c r="G452" s="177" t="str">
        <f>IFERROR(__xludf.DUMMYFUNCTION("""COMPUTED_VALUE"""),"")</f>
        <v/>
      </c>
      <c r="H452" s="178" t="s">
        <v>127</v>
      </c>
      <c r="I452" s="159"/>
      <c r="J452" s="159"/>
      <c r="K452" s="159"/>
      <c r="M452" s="159"/>
      <c r="O452" s="157"/>
    </row>
    <row r="453">
      <c r="A453" s="172" t="s">
        <v>127</v>
      </c>
      <c r="B453" s="159"/>
      <c r="C453" s="173"/>
      <c r="D453" s="174"/>
      <c r="E453" s="175" t="s">
        <v>127</v>
      </c>
      <c r="F453" s="176" t="s">
        <v>127</v>
      </c>
      <c r="G453" s="177" t="str">
        <f>IFERROR(__xludf.DUMMYFUNCTION("""COMPUTED_VALUE"""),"")</f>
        <v/>
      </c>
      <c r="H453" s="178" t="s">
        <v>127</v>
      </c>
      <c r="I453" s="159"/>
      <c r="J453" s="159"/>
      <c r="K453" s="159"/>
      <c r="M453" s="159"/>
      <c r="O453" s="157"/>
    </row>
    <row r="454">
      <c r="A454" s="172" t="s">
        <v>127</v>
      </c>
      <c r="B454" s="159"/>
      <c r="C454" s="173"/>
      <c r="D454" s="174"/>
      <c r="E454" s="175" t="s">
        <v>127</v>
      </c>
      <c r="F454" s="176" t="s">
        <v>127</v>
      </c>
      <c r="G454" s="177" t="str">
        <f>IFERROR(__xludf.DUMMYFUNCTION("""COMPUTED_VALUE"""),"")</f>
        <v/>
      </c>
      <c r="H454" s="178" t="s">
        <v>127</v>
      </c>
      <c r="I454" s="159"/>
      <c r="J454" s="159"/>
      <c r="K454" s="159"/>
      <c r="M454" s="159"/>
      <c r="O454" s="157"/>
    </row>
    <row r="455">
      <c r="A455" s="172" t="s">
        <v>127</v>
      </c>
      <c r="B455" s="159"/>
      <c r="C455" s="173"/>
      <c r="D455" s="174"/>
      <c r="E455" s="175" t="s">
        <v>127</v>
      </c>
      <c r="F455" s="176" t="s">
        <v>127</v>
      </c>
      <c r="G455" s="177" t="str">
        <f>IFERROR(__xludf.DUMMYFUNCTION("""COMPUTED_VALUE"""),"")</f>
        <v/>
      </c>
      <c r="H455" s="178" t="s">
        <v>127</v>
      </c>
      <c r="I455" s="159"/>
      <c r="J455" s="159"/>
      <c r="K455" s="159"/>
      <c r="M455" s="159"/>
      <c r="O455" s="157"/>
    </row>
    <row r="456">
      <c r="A456" s="172" t="s">
        <v>127</v>
      </c>
      <c r="B456" s="159"/>
      <c r="C456" s="173"/>
      <c r="D456" s="174"/>
      <c r="E456" s="175" t="s">
        <v>127</v>
      </c>
      <c r="F456" s="176" t="s">
        <v>127</v>
      </c>
      <c r="G456" s="177" t="str">
        <f>IFERROR(__xludf.DUMMYFUNCTION("""COMPUTED_VALUE"""),"")</f>
        <v/>
      </c>
      <c r="H456" s="178" t="s">
        <v>127</v>
      </c>
      <c r="I456" s="159"/>
      <c r="J456" s="159"/>
      <c r="K456" s="159"/>
      <c r="M456" s="159"/>
      <c r="O456" s="157"/>
    </row>
    <row r="457">
      <c r="A457" s="172" t="s">
        <v>127</v>
      </c>
      <c r="B457" s="159"/>
      <c r="C457" s="173"/>
      <c r="D457" s="174"/>
      <c r="E457" s="175" t="s">
        <v>127</v>
      </c>
      <c r="F457" s="176" t="s">
        <v>127</v>
      </c>
      <c r="G457" s="177" t="str">
        <f>IFERROR(__xludf.DUMMYFUNCTION("""COMPUTED_VALUE"""),"")</f>
        <v/>
      </c>
      <c r="H457" s="178" t="s">
        <v>127</v>
      </c>
      <c r="I457" s="159"/>
      <c r="J457" s="159"/>
      <c r="K457" s="159"/>
      <c r="M457" s="159"/>
      <c r="O457" s="157"/>
    </row>
    <row r="458">
      <c r="A458" s="172" t="s">
        <v>127</v>
      </c>
      <c r="B458" s="159"/>
      <c r="C458" s="173"/>
      <c r="D458" s="174"/>
      <c r="E458" s="175" t="s">
        <v>127</v>
      </c>
      <c r="F458" s="176" t="s">
        <v>127</v>
      </c>
      <c r="G458" s="177" t="str">
        <f>IFERROR(__xludf.DUMMYFUNCTION("""COMPUTED_VALUE"""),"")</f>
        <v/>
      </c>
      <c r="H458" s="178" t="s">
        <v>127</v>
      </c>
      <c r="I458" s="159"/>
      <c r="J458" s="159"/>
      <c r="K458" s="159"/>
      <c r="M458" s="159"/>
      <c r="O458" s="157"/>
    </row>
    <row r="459">
      <c r="A459" s="172" t="s">
        <v>127</v>
      </c>
      <c r="B459" s="159"/>
      <c r="C459" s="173"/>
      <c r="D459" s="174"/>
      <c r="E459" s="175" t="s">
        <v>127</v>
      </c>
      <c r="F459" s="176" t="s">
        <v>127</v>
      </c>
      <c r="G459" s="177" t="str">
        <f>IFERROR(__xludf.DUMMYFUNCTION("""COMPUTED_VALUE"""),"")</f>
        <v/>
      </c>
      <c r="H459" s="178" t="s">
        <v>127</v>
      </c>
      <c r="I459" s="159"/>
      <c r="J459" s="159"/>
      <c r="K459" s="159"/>
      <c r="M459" s="159"/>
      <c r="O459" s="157"/>
    </row>
    <row r="460">
      <c r="A460" s="172" t="s">
        <v>127</v>
      </c>
      <c r="B460" s="159"/>
      <c r="C460" s="173"/>
      <c r="D460" s="174"/>
      <c r="E460" s="175" t="s">
        <v>127</v>
      </c>
      <c r="F460" s="176" t="s">
        <v>127</v>
      </c>
      <c r="G460" s="177" t="str">
        <f>IFERROR(__xludf.DUMMYFUNCTION("""COMPUTED_VALUE"""),"")</f>
        <v/>
      </c>
      <c r="H460" s="178" t="s">
        <v>127</v>
      </c>
      <c r="I460" s="159"/>
      <c r="J460" s="159"/>
      <c r="K460" s="159"/>
      <c r="M460" s="159"/>
      <c r="O460" s="157"/>
    </row>
    <row r="461">
      <c r="A461" s="172" t="s">
        <v>127</v>
      </c>
      <c r="B461" s="159"/>
      <c r="C461" s="173"/>
      <c r="D461" s="174"/>
      <c r="E461" s="175" t="s">
        <v>127</v>
      </c>
      <c r="F461" s="176" t="s">
        <v>127</v>
      </c>
      <c r="G461" s="177" t="str">
        <f>IFERROR(__xludf.DUMMYFUNCTION("""COMPUTED_VALUE"""),"")</f>
        <v/>
      </c>
      <c r="H461" s="178" t="s">
        <v>127</v>
      </c>
      <c r="I461" s="159"/>
      <c r="J461" s="159"/>
      <c r="K461" s="159"/>
      <c r="M461" s="159"/>
      <c r="O461" s="157"/>
    </row>
    <row r="462">
      <c r="A462" s="172" t="s">
        <v>127</v>
      </c>
      <c r="B462" s="159"/>
      <c r="C462" s="173"/>
      <c r="D462" s="174"/>
      <c r="E462" s="175" t="s">
        <v>127</v>
      </c>
      <c r="F462" s="176" t="s">
        <v>127</v>
      </c>
      <c r="G462" s="177" t="str">
        <f>IFERROR(__xludf.DUMMYFUNCTION("""COMPUTED_VALUE"""),"")</f>
        <v/>
      </c>
      <c r="H462" s="178" t="s">
        <v>127</v>
      </c>
      <c r="I462" s="159"/>
      <c r="J462" s="159"/>
      <c r="K462" s="159"/>
      <c r="M462" s="159"/>
      <c r="O462" s="157"/>
    </row>
    <row r="463">
      <c r="A463" s="172" t="s">
        <v>127</v>
      </c>
      <c r="B463" s="159"/>
      <c r="C463" s="173"/>
      <c r="D463" s="174"/>
      <c r="E463" s="175" t="s">
        <v>127</v>
      </c>
      <c r="F463" s="176" t="s">
        <v>127</v>
      </c>
      <c r="G463" s="177" t="str">
        <f>IFERROR(__xludf.DUMMYFUNCTION("""COMPUTED_VALUE"""),"")</f>
        <v/>
      </c>
      <c r="H463" s="178" t="s">
        <v>127</v>
      </c>
      <c r="I463" s="159"/>
      <c r="J463" s="159"/>
      <c r="K463" s="159"/>
      <c r="M463" s="159"/>
      <c r="O463" s="157"/>
    </row>
    <row r="464">
      <c r="A464" s="172" t="s">
        <v>127</v>
      </c>
      <c r="B464" s="159"/>
      <c r="C464" s="173"/>
      <c r="D464" s="174"/>
      <c r="E464" s="175" t="s">
        <v>127</v>
      </c>
      <c r="F464" s="176" t="s">
        <v>127</v>
      </c>
      <c r="G464" s="177" t="str">
        <f>IFERROR(__xludf.DUMMYFUNCTION("""COMPUTED_VALUE"""),"")</f>
        <v/>
      </c>
      <c r="H464" s="178" t="s">
        <v>127</v>
      </c>
      <c r="I464" s="159"/>
      <c r="J464" s="159"/>
      <c r="K464" s="159"/>
      <c r="M464" s="159"/>
      <c r="O464" s="157"/>
    </row>
    <row r="465">
      <c r="A465" s="172" t="s">
        <v>127</v>
      </c>
      <c r="B465" s="159"/>
      <c r="C465" s="173"/>
      <c r="D465" s="174"/>
      <c r="E465" s="175" t="s">
        <v>127</v>
      </c>
      <c r="F465" s="176" t="s">
        <v>127</v>
      </c>
      <c r="G465" s="177" t="str">
        <f>IFERROR(__xludf.DUMMYFUNCTION("""COMPUTED_VALUE"""),"")</f>
        <v/>
      </c>
      <c r="H465" s="178" t="s">
        <v>127</v>
      </c>
      <c r="I465" s="159"/>
      <c r="J465" s="159"/>
      <c r="K465" s="159"/>
      <c r="M465" s="159"/>
      <c r="O465" s="157"/>
    </row>
    <row r="466">
      <c r="A466" s="172" t="s">
        <v>127</v>
      </c>
      <c r="B466" s="159"/>
      <c r="C466" s="173"/>
      <c r="D466" s="174"/>
      <c r="E466" s="175" t="s">
        <v>127</v>
      </c>
      <c r="F466" s="176" t="s">
        <v>127</v>
      </c>
      <c r="G466" s="177" t="str">
        <f>IFERROR(__xludf.DUMMYFUNCTION("""COMPUTED_VALUE"""),"")</f>
        <v/>
      </c>
      <c r="H466" s="178" t="s">
        <v>127</v>
      </c>
      <c r="I466" s="159"/>
      <c r="J466" s="159"/>
      <c r="K466" s="159"/>
      <c r="M466" s="159"/>
      <c r="O466" s="157"/>
    </row>
    <row r="467">
      <c r="A467" s="172" t="s">
        <v>127</v>
      </c>
      <c r="B467" s="159"/>
      <c r="C467" s="173"/>
      <c r="D467" s="174"/>
      <c r="E467" s="175" t="s">
        <v>127</v>
      </c>
      <c r="F467" s="176" t="s">
        <v>127</v>
      </c>
      <c r="G467" s="177" t="str">
        <f>IFERROR(__xludf.DUMMYFUNCTION("""COMPUTED_VALUE"""),"")</f>
        <v/>
      </c>
      <c r="H467" s="178" t="s">
        <v>127</v>
      </c>
      <c r="I467" s="159"/>
      <c r="J467" s="159"/>
      <c r="K467" s="159"/>
      <c r="M467" s="159"/>
      <c r="O467" s="157"/>
    </row>
    <row r="468">
      <c r="A468" s="172" t="s">
        <v>127</v>
      </c>
      <c r="B468" s="159"/>
      <c r="C468" s="173"/>
      <c r="D468" s="174"/>
      <c r="E468" s="175" t="s">
        <v>127</v>
      </c>
      <c r="F468" s="176" t="s">
        <v>127</v>
      </c>
      <c r="G468" s="177" t="str">
        <f>IFERROR(__xludf.DUMMYFUNCTION("""COMPUTED_VALUE"""),"")</f>
        <v/>
      </c>
      <c r="H468" s="178" t="s">
        <v>127</v>
      </c>
      <c r="I468" s="159"/>
      <c r="J468" s="159"/>
      <c r="K468" s="159"/>
      <c r="M468" s="159"/>
      <c r="O468" s="157"/>
    </row>
    <row r="469">
      <c r="A469" s="172" t="s">
        <v>127</v>
      </c>
      <c r="B469" s="159"/>
      <c r="C469" s="173"/>
      <c r="D469" s="174"/>
      <c r="E469" s="175" t="s">
        <v>127</v>
      </c>
      <c r="F469" s="176" t="s">
        <v>127</v>
      </c>
      <c r="G469" s="177" t="str">
        <f>IFERROR(__xludf.DUMMYFUNCTION("""COMPUTED_VALUE"""),"")</f>
        <v/>
      </c>
      <c r="H469" s="178" t="s">
        <v>127</v>
      </c>
      <c r="I469" s="159"/>
      <c r="J469" s="159"/>
      <c r="K469" s="159"/>
      <c r="M469" s="159"/>
      <c r="O469" s="157"/>
    </row>
    <row r="470">
      <c r="A470" s="172" t="s">
        <v>127</v>
      </c>
      <c r="B470" s="159"/>
      <c r="C470" s="173"/>
      <c r="D470" s="174"/>
      <c r="E470" s="175" t="s">
        <v>127</v>
      </c>
      <c r="F470" s="176" t="s">
        <v>127</v>
      </c>
      <c r="G470" s="177" t="str">
        <f>IFERROR(__xludf.DUMMYFUNCTION("""COMPUTED_VALUE"""),"")</f>
        <v/>
      </c>
      <c r="H470" s="178" t="s">
        <v>127</v>
      </c>
      <c r="I470" s="159"/>
      <c r="J470" s="159"/>
      <c r="K470" s="159"/>
      <c r="M470" s="159"/>
      <c r="O470" s="157"/>
    </row>
    <row r="471">
      <c r="A471" s="172" t="s">
        <v>127</v>
      </c>
      <c r="B471" s="159"/>
      <c r="C471" s="173"/>
      <c r="D471" s="174"/>
      <c r="E471" s="175" t="s">
        <v>127</v>
      </c>
      <c r="F471" s="176" t="s">
        <v>127</v>
      </c>
      <c r="G471" s="177" t="str">
        <f>IFERROR(__xludf.DUMMYFUNCTION("""COMPUTED_VALUE"""),"")</f>
        <v/>
      </c>
      <c r="H471" s="178" t="s">
        <v>127</v>
      </c>
      <c r="I471" s="159"/>
      <c r="J471" s="159"/>
      <c r="K471" s="159"/>
      <c r="M471" s="159"/>
      <c r="O471" s="157"/>
    </row>
    <row r="472">
      <c r="A472" s="172" t="s">
        <v>127</v>
      </c>
      <c r="B472" s="159"/>
      <c r="C472" s="173"/>
      <c r="D472" s="174"/>
      <c r="E472" s="175" t="s">
        <v>127</v>
      </c>
      <c r="F472" s="176" t="s">
        <v>127</v>
      </c>
      <c r="G472" s="177" t="str">
        <f>IFERROR(__xludf.DUMMYFUNCTION("""COMPUTED_VALUE"""),"")</f>
        <v/>
      </c>
      <c r="H472" s="178" t="s">
        <v>127</v>
      </c>
      <c r="I472" s="159"/>
      <c r="J472" s="159"/>
      <c r="K472" s="159"/>
      <c r="M472" s="159"/>
      <c r="O472" s="157"/>
    </row>
    <row r="473">
      <c r="A473" s="172" t="s">
        <v>127</v>
      </c>
      <c r="B473" s="159"/>
      <c r="C473" s="173"/>
      <c r="D473" s="174"/>
      <c r="E473" s="175" t="s">
        <v>127</v>
      </c>
      <c r="F473" s="176" t="s">
        <v>127</v>
      </c>
      <c r="G473" s="177" t="str">
        <f>IFERROR(__xludf.DUMMYFUNCTION("""COMPUTED_VALUE"""),"")</f>
        <v/>
      </c>
      <c r="H473" s="178" t="s">
        <v>127</v>
      </c>
      <c r="I473" s="159"/>
      <c r="J473" s="159"/>
      <c r="K473" s="159"/>
      <c r="M473" s="159"/>
      <c r="O473" s="157"/>
    </row>
    <row r="474">
      <c r="A474" s="172" t="s">
        <v>127</v>
      </c>
      <c r="B474" s="159"/>
      <c r="C474" s="173"/>
      <c r="D474" s="174"/>
      <c r="E474" s="175" t="s">
        <v>127</v>
      </c>
      <c r="F474" s="176" t="s">
        <v>127</v>
      </c>
      <c r="G474" s="177" t="str">
        <f>IFERROR(__xludf.DUMMYFUNCTION("""COMPUTED_VALUE"""),"")</f>
        <v/>
      </c>
      <c r="H474" s="178" t="s">
        <v>127</v>
      </c>
      <c r="I474" s="159"/>
      <c r="J474" s="159"/>
      <c r="K474" s="159"/>
      <c r="M474" s="159"/>
      <c r="O474" s="157"/>
    </row>
    <row r="475">
      <c r="A475" s="172" t="s">
        <v>127</v>
      </c>
      <c r="B475" s="159"/>
      <c r="C475" s="173"/>
      <c r="D475" s="174"/>
      <c r="E475" s="175" t="s">
        <v>127</v>
      </c>
      <c r="F475" s="176" t="s">
        <v>127</v>
      </c>
      <c r="G475" s="177" t="str">
        <f>IFERROR(__xludf.DUMMYFUNCTION("""COMPUTED_VALUE"""),"")</f>
        <v/>
      </c>
      <c r="H475" s="178" t="s">
        <v>127</v>
      </c>
      <c r="I475" s="159"/>
      <c r="J475" s="159"/>
      <c r="K475" s="159"/>
      <c r="M475" s="159"/>
      <c r="O475" s="157"/>
    </row>
    <row r="476">
      <c r="A476" s="172" t="s">
        <v>127</v>
      </c>
      <c r="B476" s="159"/>
      <c r="C476" s="173"/>
      <c r="D476" s="174"/>
      <c r="E476" s="175" t="s">
        <v>127</v>
      </c>
      <c r="F476" s="176" t="s">
        <v>127</v>
      </c>
      <c r="G476" s="177" t="str">
        <f>IFERROR(__xludf.DUMMYFUNCTION("""COMPUTED_VALUE"""),"")</f>
        <v/>
      </c>
      <c r="H476" s="178" t="s">
        <v>127</v>
      </c>
      <c r="I476" s="159"/>
      <c r="J476" s="159"/>
      <c r="K476" s="159"/>
      <c r="M476" s="159"/>
      <c r="O476" s="157"/>
    </row>
    <row r="477">
      <c r="A477" s="172" t="s">
        <v>127</v>
      </c>
      <c r="B477" s="159"/>
      <c r="C477" s="173"/>
      <c r="D477" s="174"/>
      <c r="E477" s="175" t="s">
        <v>127</v>
      </c>
      <c r="F477" s="176" t="s">
        <v>127</v>
      </c>
      <c r="G477" s="177" t="str">
        <f>IFERROR(__xludf.DUMMYFUNCTION("""COMPUTED_VALUE"""),"")</f>
        <v/>
      </c>
      <c r="H477" s="178" t="s">
        <v>127</v>
      </c>
      <c r="I477" s="159"/>
      <c r="J477" s="159"/>
      <c r="K477" s="159"/>
      <c r="M477" s="159"/>
      <c r="O477" s="157"/>
    </row>
    <row r="478">
      <c r="A478" s="172" t="s">
        <v>127</v>
      </c>
      <c r="B478" s="159"/>
      <c r="C478" s="173"/>
      <c r="D478" s="174"/>
      <c r="E478" s="175" t="s">
        <v>127</v>
      </c>
      <c r="F478" s="176" t="s">
        <v>127</v>
      </c>
      <c r="G478" s="177" t="str">
        <f>IFERROR(__xludf.DUMMYFUNCTION("""COMPUTED_VALUE"""),"")</f>
        <v/>
      </c>
      <c r="H478" s="178" t="s">
        <v>127</v>
      </c>
      <c r="I478" s="159"/>
      <c r="J478" s="159"/>
      <c r="K478" s="159"/>
      <c r="M478" s="159"/>
      <c r="O478" s="157"/>
    </row>
    <row r="479">
      <c r="A479" s="172" t="s">
        <v>127</v>
      </c>
      <c r="B479" s="159"/>
      <c r="C479" s="173"/>
      <c r="D479" s="174"/>
      <c r="E479" s="175" t="s">
        <v>127</v>
      </c>
      <c r="F479" s="176" t="s">
        <v>127</v>
      </c>
      <c r="G479" s="177" t="str">
        <f>IFERROR(__xludf.DUMMYFUNCTION("""COMPUTED_VALUE"""),"")</f>
        <v/>
      </c>
      <c r="H479" s="178" t="s">
        <v>127</v>
      </c>
      <c r="I479" s="159"/>
      <c r="J479" s="159"/>
      <c r="K479" s="159"/>
      <c r="M479" s="159"/>
      <c r="O479" s="157"/>
    </row>
    <row r="480">
      <c r="A480" s="172" t="s">
        <v>127</v>
      </c>
      <c r="B480" s="159"/>
      <c r="C480" s="173"/>
      <c r="D480" s="174"/>
      <c r="E480" s="175" t="s">
        <v>127</v>
      </c>
      <c r="F480" s="176" t="s">
        <v>127</v>
      </c>
      <c r="G480" s="177" t="str">
        <f>IFERROR(__xludf.DUMMYFUNCTION("""COMPUTED_VALUE"""),"")</f>
        <v/>
      </c>
      <c r="H480" s="178" t="s">
        <v>127</v>
      </c>
      <c r="I480" s="159"/>
      <c r="J480" s="159"/>
      <c r="K480" s="159"/>
      <c r="M480" s="159"/>
      <c r="O480" s="157"/>
    </row>
    <row r="481">
      <c r="A481" s="172" t="s">
        <v>127</v>
      </c>
      <c r="B481" s="159"/>
      <c r="C481" s="173"/>
      <c r="D481" s="174"/>
      <c r="E481" s="175" t="s">
        <v>127</v>
      </c>
      <c r="F481" s="176" t="s">
        <v>127</v>
      </c>
      <c r="G481" s="177" t="str">
        <f>IFERROR(__xludf.DUMMYFUNCTION("""COMPUTED_VALUE"""),"")</f>
        <v/>
      </c>
      <c r="H481" s="178" t="s">
        <v>127</v>
      </c>
      <c r="I481" s="159"/>
      <c r="J481" s="159"/>
      <c r="K481" s="159"/>
      <c r="M481" s="159"/>
      <c r="O481" s="157"/>
    </row>
    <row r="482">
      <c r="A482" s="172" t="s">
        <v>127</v>
      </c>
      <c r="B482" s="159"/>
      <c r="C482" s="173"/>
      <c r="D482" s="174"/>
      <c r="E482" s="175" t="s">
        <v>127</v>
      </c>
      <c r="F482" s="176" t="s">
        <v>127</v>
      </c>
      <c r="G482" s="177" t="str">
        <f>IFERROR(__xludf.DUMMYFUNCTION("""COMPUTED_VALUE"""),"")</f>
        <v/>
      </c>
      <c r="H482" s="178" t="s">
        <v>127</v>
      </c>
      <c r="I482" s="159"/>
      <c r="J482" s="159"/>
      <c r="K482" s="159"/>
      <c r="M482" s="159"/>
      <c r="O482" s="157"/>
    </row>
    <row r="483">
      <c r="A483" s="172" t="s">
        <v>127</v>
      </c>
      <c r="B483" s="159"/>
      <c r="C483" s="173"/>
      <c r="D483" s="174"/>
      <c r="E483" s="175" t="s">
        <v>127</v>
      </c>
      <c r="F483" s="176" t="s">
        <v>127</v>
      </c>
      <c r="G483" s="177" t="str">
        <f>IFERROR(__xludf.DUMMYFUNCTION("""COMPUTED_VALUE"""),"")</f>
        <v/>
      </c>
      <c r="H483" s="178" t="s">
        <v>127</v>
      </c>
      <c r="I483" s="159"/>
      <c r="J483" s="159"/>
      <c r="K483" s="159"/>
      <c r="M483" s="159"/>
      <c r="O483" s="157"/>
    </row>
    <row r="484">
      <c r="A484" s="172" t="s">
        <v>127</v>
      </c>
      <c r="B484" s="159"/>
      <c r="C484" s="173"/>
      <c r="D484" s="174"/>
      <c r="E484" s="175" t="s">
        <v>127</v>
      </c>
      <c r="F484" s="176" t="s">
        <v>127</v>
      </c>
      <c r="G484" s="177" t="str">
        <f>IFERROR(__xludf.DUMMYFUNCTION("""COMPUTED_VALUE"""),"")</f>
        <v/>
      </c>
      <c r="H484" s="178" t="s">
        <v>127</v>
      </c>
      <c r="I484" s="159"/>
      <c r="J484" s="159"/>
      <c r="K484" s="159"/>
      <c r="M484" s="159"/>
      <c r="O484" s="157"/>
    </row>
    <row r="485">
      <c r="A485" s="172" t="s">
        <v>127</v>
      </c>
      <c r="B485" s="159"/>
      <c r="C485" s="173"/>
      <c r="D485" s="174"/>
      <c r="E485" s="175" t="s">
        <v>127</v>
      </c>
      <c r="F485" s="176" t="s">
        <v>127</v>
      </c>
      <c r="G485" s="177" t="str">
        <f>IFERROR(__xludf.DUMMYFUNCTION("""COMPUTED_VALUE"""),"")</f>
        <v/>
      </c>
      <c r="H485" s="178" t="s">
        <v>127</v>
      </c>
      <c r="I485" s="159"/>
      <c r="J485" s="159"/>
      <c r="K485" s="159"/>
      <c r="M485" s="159"/>
      <c r="O485" s="157"/>
    </row>
    <row r="486">
      <c r="A486" s="172" t="s">
        <v>127</v>
      </c>
      <c r="B486" s="159"/>
      <c r="C486" s="173"/>
      <c r="D486" s="174"/>
      <c r="E486" s="175" t="s">
        <v>127</v>
      </c>
      <c r="F486" s="176" t="s">
        <v>127</v>
      </c>
      <c r="G486" s="177" t="str">
        <f>IFERROR(__xludf.DUMMYFUNCTION("""COMPUTED_VALUE"""),"")</f>
        <v/>
      </c>
      <c r="H486" s="178" t="s">
        <v>127</v>
      </c>
      <c r="I486" s="159"/>
      <c r="J486" s="159"/>
      <c r="K486" s="159"/>
      <c r="M486" s="159"/>
      <c r="O486" s="157"/>
    </row>
    <row r="487">
      <c r="A487" s="172" t="s">
        <v>127</v>
      </c>
      <c r="B487" s="159"/>
      <c r="C487" s="173"/>
      <c r="D487" s="174"/>
      <c r="E487" s="175" t="s">
        <v>127</v>
      </c>
      <c r="F487" s="176" t="s">
        <v>127</v>
      </c>
      <c r="G487" s="177" t="str">
        <f>IFERROR(__xludf.DUMMYFUNCTION("""COMPUTED_VALUE"""),"")</f>
        <v/>
      </c>
      <c r="H487" s="178" t="s">
        <v>127</v>
      </c>
      <c r="I487" s="159"/>
      <c r="J487" s="159"/>
      <c r="K487" s="159"/>
      <c r="M487" s="159"/>
      <c r="O487" s="157"/>
    </row>
    <row r="488">
      <c r="A488" s="172" t="s">
        <v>127</v>
      </c>
      <c r="B488" s="159"/>
      <c r="C488" s="173"/>
      <c r="D488" s="174"/>
      <c r="E488" s="175" t="s">
        <v>127</v>
      </c>
      <c r="F488" s="176" t="s">
        <v>127</v>
      </c>
      <c r="G488" s="177" t="str">
        <f>IFERROR(__xludf.DUMMYFUNCTION("""COMPUTED_VALUE"""),"")</f>
        <v/>
      </c>
      <c r="H488" s="178" t="s">
        <v>127</v>
      </c>
      <c r="I488" s="159"/>
      <c r="J488" s="159"/>
      <c r="K488" s="159"/>
      <c r="M488" s="159"/>
      <c r="O488" s="157"/>
    </row>
    <row r="489">
      <c r="A489" s="172" t="s">
        <v>127</v>
      </c>
      <c r="B489" s="159"/>
      <c r="C489" s="173"/>
      <c r="D489" s="174"/>
      <c r="E489" s="175" t="s">
        <v>127</v>
      </c>
      <c r="F489" s="176" t="s">
        <v>127</v>
      </c>
      <c r="G489" s="177" t="str">
        <f>IFERROR(__xludf.DUMMYFUNCTION("""COMPUTED_VALUE"""),"")</f>
        <v/>
      </c>
      <c r="H489" s="178" t="s">
        <v>127</v>
      </c>
      <c r="I489" s="159"/>
      <c r="J489" s="159"/>
      <c r="K489" s="159"/>
      <c r="M489" s="159"/>
      <c r="O489" s="157"/>
    </row>
    <row r="490">
      <c r="A490" s="172" t="s">
        <v>127</v>
      </c>
      <c r="B490" s="159"/>
      <c r="C490" s="173"/>
      <c r="D490" s="174"/>
      <c r="E490" s="175" t="s">
        <v>127</v>
      </c>
      <c r="F490" s="176" t="s">
        <v>127</v>
      </c>
      <c r="G490" s="177" t="str">
        <f>IFERROR(__xludf.DUMMYFUNCTION("""COMPUTED_VALUE"""),"")</f>
        <v/>
      </c>
      <c r="H490" s="178" t="s">
        <v>127</v>
      </c>
      <c r="I490" s="159"/>
      <c r="J490" s="159"/>
      <c r="K490" s="159"/>
      <c r="M490" s="159"/>
      <c r="O490" s="157"/>
    </row>
    <row r="491">
      <c r="A491" s="172" t="s">
        <v>127</v>
      </c>
      <c r="B491" s="159"/>
      <c r="C491" s="173"/>
      <c r="D491" s="174"/>
      <c r="E491" s="175" t="s">
        <v>127</v>
      </c>
      <c r="F491" s="176" t="s">
        <v>127</v>
      </c>
      <c r="G491" s="177" t="str">
        <f>IFERROR(__xludf.DUMMYFUNCTION("""COMPUTED_VALUE"""),"")</f>
        <v/>
      </c>
      <c r="H491" s="178" t="s">
        <v>127</v>
      </c>
      <c r="I491" s="159"/>
      <c r="J491" s="159"/>
      <c r="K491" s="159"/>
      <c r="M491" s="159"/>
      <c r="O491" s="157"/>
    </row>
    <row r="492">
      <c r="A492" s="172" t="s">
        <v>127</v>
      </c>
      <c r="B492" s="159"/>
      <c r="C492" s="173"/>
      <c r="D492" s="174"/>
      <c r="E492" s="175" t="s">
        <v>127</v>
      </c>
      <c r="F492" s="176" t="s">
        <v>127</v>
      </c>
      <c r="G492" s="177" t="str">
        <f>IFERROR(__xludf.DUMMYFUNCTION("""COMPUTED_VALUE"""),"")</f>
        <v/>
      </c>
      <c r="H492" s="178" t="s">
        <v>127</v>
      </c>
      <c r="I492" s="159"/>
      <c r="J492" s="159"/>
      <c r="K492" s="159"/>
      <c r="M492" s="159"/>
      <c r="O492" s="157"/>
    </row>
    <row r="493">
      <c r="A493" s="172" t="s">
        <v>127</v>
      </c>
      <c r="B493" s="159"/>
      <c r="C493" s="173"/>
      <c r="D493" s="174"/>
      <c r="E493" s="175" t="s">
        <v>127</v>
      </c>
      <c r="F493" s="176" t="s">
        <v>127</v>
      </c>
      <c r="G493" s="177" t="str">
        <f>IFERROR(__xludf.DUMMYFUNCTION("""COMPUTED_VALUE"""),"")</f>
        <v/>
      </c>
      <c r="H493" s="178" t="s">
        <v>127</v>
      </c>
      <c r="I493" s="159"/>
      <c r="J493" s="159"/>
      <c r="K493" s="159"/>
      <c r="M493" s="159"/>
      <c r="O493" s="157"/>
    </row>
    <row r="494">
      <c r="A494" s="172" t="s">
        <v>127</v>
      </c>
      <c r="B494" s="159"/>
      <c r="C494" s="173"/>
      <c r="D494" s="174"/>
      <c r="E494" s="175" t="s">
        <v>127</v>
      </c>
      <c r="F494" s="176" t="s">
        <v>127</v>
      </c>
      <c r="G494" s="177" t="str">
        <f>IFERROR(__xludf.DUMMYFUNCTION("""COMPUTED_VALUE"""),"")</f>
        <v/>
      </c>
      <c r="H494" s="178" t="s">
        <v>127</v>
      </c>
      <c r="I494" s="159"/>
      <c r="J494" s="159"/>
      <c r="K494" s="159"/>
      <c r="M494" s="159"/>
      <c r="O494" s="157"/>
    </row>
    <row r="495">
      <c r="A495" s="172" t="s">
        <v>127</v>
      </c>
      <c r="B495" s="159"/>
      <c r="C495" s="173"/>
      <c r="D495" s="174"/>
      <c r="E495" s="175" t="s">
        <v>127</v>
      </c>
      <c r="F495" s="176" t="s">
        <v>127</v>
      </c>
      <c r="G495" s="177" t="str">
        <f>IFERROR(__xludf.DUMMYFUNCTION("""COMPUTED_VALUE"""),"")</f>
        <v/>
      </c>
      <c r="H495" s="178" t="s">
        <v>127</v>
      </c>
      <c r="I495" s="159"/>
      <c r="J495" s="159"/>
      <c r="K495" s="159"/>
      <c r="M495" s="159"/>
      <c r="O495" s="157"/>
    </row>
    <row r="496">
      <c r="A496" s="172" t="s">
        <v>127</v>
      </c>
      <c r="B496" s="159"/>
      <c r="C496" s="173"/>
      <c r="D496" s="174"/>
      <c r="E496" s="175" t="s">
        <v>127</v>
      </c>
      <c r="F496" s="176" t="s">
        <v>127</v>
      </c>
      <c r="G496" s="177" t="str">
        <f>IFERROR(__xludf.DUMMYFUNCTION("""COMPUTED_VALUE"""),"")</f>
        <v/>
      </c>
      <c r="H496" s="178" t="s">
        <v>127</v>
      </c>
      <c r="I496" s="159"/>
      <c r="J496" s="159"/>
      <c r="K496" s="159"/>
      <c r="M496" s="159"/>
      <c r="O496" s="157"/>
    </row>
    <row r="497">
      <c r="A497" s="172" t="s">
        <v>127</v>
      </c>
      <c r="B497" s="159"/>
      <c r="C497" s="173"/>
      <c r="D497" s="174"/>
      <c r="E497" s="175" t="s">
        <v>127</v>
      </c>
      <c r="F497" s="176" t="s">
        <v>127</v>
      </c>
      <c r="G497" s="177" t="str">
        <f>IFERROR(__xludf.DUMMYFUNCTION("""COMPUTED_VALUE"""),"")</f>
        <v/>
      </c>
      <c r="H497" s="178" t="s">
        <v>127</v>
      </c>
      <c r="I497" s="159"/>
      <c r="J497" s="159"/>
      <c r="K497" s="159"/>
      <c r="M497" s="159"/>
      <c r="O497" s="157"/>
    </row>
    <row r="498">
      <c r="A498" s="172" t="s">
        <v>127</v>
      </c>
      <c r="B498" s="159"/>
      <c r="C498" s="173"/>
      <c r="D498" s="174"/>
      <c r="E498" s="175" t="s">
        <v>127</v>
      </c>
      <c r="F498" s="176" t="s">
        <v>127</v>
      </c>
      <c r="G498" s="177" t="str">
        <f>IFERROR(__xludf.DUMMYFUNCTION("""COMPUTED_VALUE"""),"")</f>
        <v/>
      </c>
      <c r="H498" s="178" t="s">
        <v>127</v>
      </c>
      <c r="I498" s="159"/>
      <c r="J498" s="159"/>
      <c r="K498" s="159"/>
      <c r="M498" s="159"/>
      <c r="O498" s="157"/>
    </row>
    <row r="499">
      <c r="A499" s="172" t="s">
        <v>127</v>
      </c>
      <c r="B499" s="159"/>
      <c r="C499" s="173"/>
      <c r="D499" s="174"/>
      <c r="E499" s="175" t="s">
        <v>127</v>
      </c>
      <c r="F499" s="176" t="s">
        <v>127</v>
      </c>
      <c r="G499" s="177" t="str">
        <f>IFERROR(__xludf.DUMMYFUNCTION("""COMPUTED_VALUE"""),"")</f>
        <v/>
      </c>
      <c r="H499" s="178" t="s">
        <v>127</v>
      </c>
      <c r="I499" s="159"/>
      <c r="J499" s="159"/>
      <c r="K499" s="159"/>
      <c r="M499" s="159"/>
      <c r="O499" s="157"/>
    </row>
    <row r="500">
      <c r="A500" s="172" t="s">
        <v>127</v>
      </c>
      <c r="B500" s="159"/>
      <c r="C500" s="173"/>
      <c r="D500" s="174"/>
      <c r="E500" s="175" t="s">
        <v>127</v>
      </c>
      <c r="F500" s="176" t="s">
        <v>127</v>
      </c>
      <c r="G500" s="177" t="str">
        <f>IFERROR(__xludf.DUMMYFUNCTION("""COMPUTED_VALUE"""),"")</f>
        <v/>
      </c>
      <c r="H500" s="178" t="s">
        <v>127</v>
      </c>
      <c r="I500" s="159"/>
      <c r="J500" s="159"/>
      <c r="K500" s="159"/>
      <c r="M500" s="159"/>
      <c r="O500" s="157"/>
    </row>
    <row r="501">
      <c r="A501" s="172" t="s">
        <v>127</v>
      </c>
      <c r="B501" s="159"/>
      <c r="C501" s="173"/>
      <c r="D501" s="174"/>
      <c r="E501" s="175" t="s">
        <v>127</v>
      </c>
      <c r="F501" s="176" t="s">
        <v>127</v>
      </c>
      <c r="G501" s="177" t="str">
        <f>IFERROR(__xludf.DUMMYFUNCTION("""COMPUTED_VALUE"""),"")</f>
        <v/>
      </c>
      <c r="H501" s="178" t="s">
        <v>127</v>
      </c>
      <c r="I501" s="159"/>
      <c r="J501" s="159"/>
      <c r="K501" s="159"/>
      <c r="M501" s="159"/>
      <c r="O501" s="157"/>
    </row>
    <row r="502">
      <c r="A502" s="172" t="s">
        <v>127</v>
      </c>
      <c r="B502" s="159"/>
      <c r="C502" s="173"/>
      <c r="D502" s="174"/>
      <c r="E502" s="175" t="s">
        <v>127</v>
      </c>
      <c r="F502" s="176" t="s">
        <v>127</v>
      </c>
      <c r="G502" s="177" t="str">
        <f>IFERROR(__xludf.DUMMYFUNCTION("""COMPUTED_VALUE"""),"")</f>
        <v/>
      </c>
      <c r="H502" s="178" t="s">
        <v>127</v>
      </c>
      <c r="I502" s="159"/>
      <c r="J502" s="159"/>
      <c r="K502" s="159"/>
      <c r="M502" s="159"/>
      <c r="O502" s="157"/>
    </row>
    <row r="503">
      <c r="A503" s="172" t="s">
        <v>127</v>
      </c>
      <c r="B503" s="159"/>
      <c r="C503" s="173"/>
      <c r="D503" s="174"/>
      <c r="E503" s="175" t="s">
        <v>127</v>
      </c>
      <c r="F503" s="176" t="s">
        <v>127</v>
      </c>
      <c r="G503" s="177" t="str">
        <f>IFERROR(__xludf.DUMMYFUNCTION("""COMPUTED_VALUE"""),"")</f>
        <v/>
      </c>
      <c r="H503" s="178" t="s">
        <v>127</v>
      </c>
      <c r="I503" s="159"/>
      <c r="J503" s="159"/>
      <c r="K503" s="159"/>
      <c r="M503" s="159"/>
      <c r="O503" s="157"/>
    </row>
    <row r="504">
      <c r="A504" s="172" t="s">
        <v>127</v>
      </c>
      <c r="B504" s="159"/>
      <c r="C504" s="173"/>
      <c r="D504" s="174"/>
      <c r="E504" s="175" t="s">
        <v>127</v>
      </c>
      <c r="F504" s="176" t="s">
        <v>127</v>
      </c>
      <c r="G504" s="177" t="str">
        <f>IFERROR(__xludf.DUMMYFUNCTION("""COMPUTED_VALUE"""),"")</f>
        <v/>
      </c>
      <c r="H504" s="178" t="s">
        <v>127</v>
      </c>
      <c r="I504" s="159"/>
      <c r="J504" s="159"/>
      <c r="K504" s="159"/>
      <c r="M504" s="159"/>
      <c r="O504" s="157"/>
    </row>
    <row r="505">
      <c r="A505" s="172" t="s">
        <v>127</v>
      </c>
      <c r="B505" s="159"/>
      <c r="C505" s="173"/>
      <c r="D505" s="174"/>
      <c r="E505" s="175" t="s">
        <v>127</v>
      </c>
      <c r="F505" s="176" t="s">
        <v>127</v>
      </c>
      <c r="G505" s="177" t="str">
        <f>IFERROR(__xludf.DUMMYFUNCTION("""COMPUTED_VALUE"""),"")</f>
        <v/>
      </c>
      <c r="H505" s="178" t="s">
        <v>127</v>
      </c>
      <c r="I505" s="159"/>
      <c r="J505" s="159"/>
      <c r="K505" s="159"/>
      <c r="M505" s="159"/>
      <c r="O505" s="157"/>
    </row>
    <row r="506">
      <c r="A506" s="172" t="s">
        <v>127</v>
      </c>
      <c r="B506" s="159"/>
      <c r="C506" s="173"/>
      <c r="D506" s="174"/>
      <c r="E506" s="175" t="s">
        <v>127</v>
      </c>
      <c r="F506" s="176" t="s">
        <v>127</v>
      </c>
      <c r="G506" s="177" t="str">
        <f>IFERROR(__xludf.DUMMYFUNCTION("""COMPUTED_VALUE"""),"")</f>
        <v/>
      </c>
      <c r="H506" s="178" t="s">
        <v>127</v>
      </c>
      <c r="I506" s="159"/>
      <c r="J506" s="159"/>
      <c r="K506" s="159"/>
      <c r="M506" s="159"/>
      <c r="O506" s="157"/>
    </row>
    <row r="507">
      <c r="A507" s="172" t="s">
        <v>127</v>
      </c>
      <c r="B507" s="159"/>
      <c r="C507" s="173"/>
      <c r="D507" s="174"/>
      <c r="E507" s="175" t="s">
        <v>127</v>
      </c>
      <c r="F507" s="176" t="s">
        <v>127</v>
      </c>
      <c r="G507" s="177" t="str">
        <f>IFERROR(__xludf.DUMMYFUNCTION("""COMPUTED_VALUE"""),"")</f>
        <v/>
      </c>
      <c r="H507" s="178" t="s">
        <v>127</v>
      </c>
      <c r="I507" s="159"/>
      <c r="J507" s="159"/>
      <c r="K507" s="159"/>
      <c r="M507" s="159"/>
      <c r="O507" s="157"/>
    </row>
    <row r="508">
      <c r="A508" s="172" t="s">
        <v>127</v>
      </c>
      <c r="B508" s="159"/>
      <c r="C508" s="173"/>
      <c r="D508" s="174"/>
      <c r="E508" s="175" t="s">
        <v>127</v>
      </c>
      <c r="F508" s="176" t="s">
        <v>127</v>
      </c>
      <c r="G508" s="177" t="str">
        <f>IFERROR(__xludf.DUMMYFUNCTION("""COMPUTED_VALUE"""),"")</f>
        <v/>
      </c>
      <c r="H508" s="178" t="s">
        <v>127</v>
      </c>
      <c r="I508" s="159"/>
      <c r="J508" s="159"/>
      <c r="K508" s="159"/>
      <c r="M508" s="159"/>
      <c r="O508" s="157"/>
    </row>
    <row r="509">
      <c r="A509" s="172" t="s">
        <v>127</v>
      </c>
      <c r="B509" s="159"/>
      <c r="C509" s="173"/>
      <c r="D509" s="174"/>
      <c r="E509" s="175" t="s">
        <v>127</v>
      </c>
      <c r="F509" s="176" t="s">
        <v>127</v>
      </c>
      <c r="G509" s="177" t="str">
        <f>IFERROR(__xludf.DUMMYFUNCTION("""COMPUTED_VALUE"""),"")</f>
        <v/>
      </c>
      <c r="H509" s="178" t="s">
        <v>127</v>
      </c>
      <c r="I509" s="159"/>
      <c r="J509" s="159"/>
      <c r="K509" s="159"/>
      <c r="M509" s="159"/>
      <c r="O509" s="157"/>
    </row>
    <row r="510">
      <c r="A510" s="172" t="s">
        <v>127</v>
      </c>
      <c r="B510" s="159"/>
      <c r="C510" s="173"/>
      <c r="D510" s="174"/>
      <c r="E510" s="175" t="s">
        <v>127</v>
      </c>
      <c r="F510" s="176" t="s">
        <v>127</v>
      </c>
      <c r="G510" s="177" t="str">
        <f>IFERROR(__xludf.DUMMYFUNCTION("""COMPUTED_VALUE"""),"")</f>
        <v/>
      </c>
      <c r="H510" s="178" t="s">
        <v>127</v>
      </c>
      <c r="I510" s="159"/>
      <c r="J510" s="159"/>
      <c r="K510" s="159"/>
      <c r="M510" s="159"/>
      <c r="O510" s="157"/>
    </row>
    <row r="511">
      <c r="A511" s="172" t="s">
        <v>127</v>
      </c>
      <c r="B511" s="159"/>
      <c r="C511" s="173"/>
      <c r="D511" s="174"/>
      <c r="E511" s="175" t="s">
        <v>127</v>
      </c>
      <c r="F511" s="176" t="s">
        <v>127</v>
      </c>
      <c r="G511" s="177" t="str">
        <f>IFERROR(__xludf.DUMMYFUNCTION("""COMPUTED_VALUE"""),"")</f>
        <v/>
      </c>
      <c r="H511" s="178" t="s">
        <v>127</v>
      </c>
      <c r="I511" s="159"/>
      <c r="J511" s="159"/>
      <c r="K511" s="159"/>
      <c r="M511" s="159"/>
      <c r="O511" s="157"/>
    </row>
    <row r="512">
      <c r="A512" s="172" t="s">
        <v>127</v>
      </c>
      <c r="B512" s="159"/>
      <c r="C512" s="173"/>
      <c r="D512" s="174"/>
      <c r="E512" s="175" t="s">
        <v>127</v>
      </c>
      <c r="F512" s="176" t="s">
        <v>127</v>
      </c>
      <c r="G512" s="177" t="str">
        <f>IFERROR(__xludf.DUMMYFUNCTION("""COMPUTED_VALUE"""),"")</f>
        <v/>
      </c>
      <c r="H512" s="178" t="s">
        <v>127</v>
      </c>
      <c r="I512" s="159"/>
      <c r="J512" s="159"/>
      <c r="K512" s="159"/>
      <c r="M512" s="159"/>
      <c r="O512" s="157"/>
    </row>
    <row r="513">
      <c r="A513" s="172" t="s">
        <v>127</v>
      </c>
      <c r="B513" s="159"/>
      <c r="C513" s="173"/>
      <c r="D513" s="174"/>
      <c r="E513" s="175" t="s">
        <v>127</v>
      </c>
      <c r="F513" s="176" t="s">
        <v>127</v>
      </c>
      <c r="G513" s="177" t="str">
        <f>IFERROR(__xludf.DUMMYFUNCTION("""COMPUTED_VALUE"""),"")</f>
        <v/>
      </c>
      <c r="H513" s="178" t="s">
        <v>127</v>
      </c>
      <c r="I513" s="159"/>
      <c r="J513" s="159"/>
      <c r="K513" s="159"/>
      <c r="M513" s="159"/>
      <c r="O513" s="157"/>
    </row>
    <row r="514">
      <c r="A514" s="172" t="s">
        <v>127</v>
      </c>
      <c r="B514" s="159"/>
      <c r="C514" s="173"/>
      <c r="D514" s="174"/>
      <c r="E514" s="175" t="s">
        <v>127</v>
      </c>
      <c r="F514" s="176" t="s">
        <v>127</v>
      </c>
      <c r="G514" s="177" t="str">
        <f>IFERROR(__xludf.DUMMYFUNCTION("""COMPUTED_VALUE"""),"")</f>
        <v/>
      </c>
      <c r="H514" s="178" t="s">
        <v>127</v>
      </c>
      <c r="I514" s="159"/>
      <c r="J514" s="159"/>
      <c r="K514" s="159"/>
      <c r="M514" s="159"/>
      <c r="O514" s="157"/>
    </row>
    <row r="515">
      <c r="A515" s="172" t="s">
        <v>127</v>
      </c>
      <c r="B515" s="159"/>
      <c r="C515" s="173"/>
      <c r="D515" s="174"/>
      <c r="E515" s="175" t="s">
        <v>127</v>
      </c>
      <c r="F515" s="176" t="s">
        <v>127</v>
      </c>
      <c r="G515" s="177" t="str">
        <f>IFERROR(__xludf.DUMMYFUNCTION("""COMPUTED_VALUE"""),"")</f>
        <v/>
      </c>
      <c r="H515" s="178" t="s">
        <v>127</v>
      </c>
      <c r="I515" s="159"/>
      <c r="J515" s="159"/>
      <c r="K515" s="159"/>
      <c r="M515" s="159"/>
      <c r="O515" s="157"/>
    </row>
    <row r="516">
      <c r="A516" s="172" t="s">
        <v>127</v>
      </c>
      <c r="B516" s="159"/>
      <c r="C516" s="173"/>
      <c r="D516" s="174"/>
      <c r="E516" s="175" t="s">
        <v>127</v>
      </c>
      <c r="F516" s="176" t="s">
        <v>127</v>
      </c>
      <c r="G516" s="177" t="str">
        <f>IFERROR(__xludf.DUMMYFUNCTION("""COMPUTED_VALUE"""),"")</f>
        <v/>
      </c>
      <c r="H516" s="178" t="s">
        <v>127</v>
      </c>
      <c r="I516" s="159"/>
      <c r="J516" s="159"/>
      <c r="K516" s="159"/>
      <c r="M516" s="159"/>
      <c r="O516" s="157"/>
    </row>
    <row r="517">
      <c r="A517" s="172" t="s">
        <v>127</v>
      </c>
      <c r="B517" s="159"/>
      <c r="C517" s="173"/>
      <c r="D517" s="174"/>
      <c r="E517" s="175" t="s">
        <v>127</v>
      </c>
      <c r="F517" s="176" t="s">
        <v>127</v>
      </c>
      <c r="G517" s="177" t="str">
        <f>IFERROR(__xludf.DUMMYFUNCTION("""COMPUTED_VALUE"""),"")</f>
        <v/>
      </c>
      <c r="H517" s="178" t="s">
        <v>127</v>
      </c>
      <c r="I517" s="159"/>
      <c r="J517" s="159"/>
      <c r="K517" s="159"/>
      <c r="M517" s="159"/>
      <c r="O517" s="157"/>
    </row>
    <row r="518">
      <c r="A518" s="172" t="s">
        <v>127</v>
      </c>
      <c r="B518" s="159"/>
      <c r="C518" s="173"/>
      <c r="D518" s="174"/>
      <c r="E518" s="175" t="s">
        <v>127</v>
      </c>
      <c r="F518" s="176" t="s">
        <v>127</v>
      </c>
      <c r="G518" s="177" t="str">
        <f>IFERROR(__xludf.DUMMYFUNCTION("""COMPUTED_VALUE"""),"")</f>
        <v/>
      </c>
      <c r="H518" s="178" t="s">
        <v>127</v>
      </c>
      <c r="I518" s="159"/>
      <c r="J518" s="159"/>
      <c r="K518" s="159"/>
      <c r="M518" s="159"/>
      <c r="O518" s="157"/>
    </row>
    <row r="519">
      <c r="A519" s="172" t="s">
        <v>127</v>
      </c>
      <c r="B519" s="159"/>
      <c r="C519" s="173"/>
      <c r="D519" s="174"/>
      <c r="E519" s="175" t="s">
        <v>127</v>
      </c>
      <c r="F519" s="176" t="s">
        <v>127</v>
      </c>
      <c r="G519" s="177" t="str">
        <f>IFERROR(__xludf.DUMMYFUNCTION("""COMPUTED_VALUE"""),"")</f>
        <v/>
      </c>
      <c r="H519" s="178" t="s">
        <v>127</v>
      </c>
      <c r="I519" s="159"/>
      <c r="J519" s="159"/>
      <c r="K519" s="159"/>
      <c r="M519" s="159"/>
      <c r="O519" s="157"/>
    </row>
    <row r="520">
      <c r="A520" s="172" t="s">
        <v>127</v>
      </c>
      <c r="B520" s="159"/>
      <c r="C520" s="173"/>
      <c r="D520" s="174"/>
      <c r="E520" s="175" t="s">
        <v>127</v>
      </c>
      <c r="F520" s="176" t="s">
        <v>127</v>
      </c>
      <c r="G520" s="177" t="str">
        <f>IFERROR(__xludf.DUMMYFUNCTION("""COMPUTED_VALUE"""),"")</f>
        <v/>
      </c>
      <c r="H520" s="178" t="s">
        <v>127</v>
      </c>
      <c r="I520" s="159"/>
      <c r="J520" s="159"/>
      <c r="K520" s="159"/>
      <c r="M520" s="159"/>
      <c r="O520" s="157"/>
    </row>
    <row r="521">
      <c r="A521" s="172" t="s">
        <v>127</v>
      </c>
      <c r="B521" s="159"/>
      <c r="C521" s="173"/>
      <c r="D521" s="174"/>
      <c r="E521" s="175" t="s">
        <v>127</v>
      </c>
      <c r="F521" s="176" t="s">
        <v>127</v>
      </c>
      <c r="G521" s="177" t="str">
        <f>IFERROR(__xludf.DUMMYFUNCTION("""COMPUTED_VALUE"""),"")</f>
        <v/>
      </c>
      <c r="H521" s="178" t="s">
        <v>127</v>
      </c>
      <c r="I521" s="159"/>
      <c r="J521" s="159"/>
      <c r="K521" s="159"/>
      <c r="M521" s="159"/>
      <c r="O521" s="157"/>
    </row>
    <row r="522">
      <c r="A522" s="172" t="s">
        <v>127</v>
      </c>
      <c r="B522" s="159"/>
      <c r="C522" s="173"/>
      <c r="D522" s="174"/>
      <c r="E522" s="175" t="s">
        <v>127</v>
      </c>
      <c r="F522" s="176" t="s">
        <v>127</v>
      </c>
      <c r="G522" s="177" t="str">
        <f>IFERROR(__xludf.DUMMYFUNCTION("""COMPUTED_VALUE"""),"")</f>
        <v/>
      </c>
      <c r="H522" s="178" t="s">
        <v>127</v>
      </c>
      <c r="I522" s="159"/>
      <c r="J522" s="159"/>
      <c r="K522" s="159"/>
      <c r="M522" s="159"/>
      <c r="O522" s="157"/>
    </row>
    <row r="523">
      <c r="A523" s="172" t="s">
        <v>127</v>
      </c>
      <c r="B523" s="159"/>
      <c r="C523" s="173"/>
      <c r="D523" s="174"/>
      <c r="E523" s="175" t="s">
        <v>127</v>
      </c>
      <c r="F523" s="176" t="s">
        <v>127</v>
      </c>
      <c r="G523" s="177" t="str">
        <f>IFERROR(__xludf.DUMMYFUNCTION("""COMPUTED_VALUE"""),"")</f>
        <v/>
      </c>
      <c r="H523" s="178" t="s">
        <v>127</v>
      </c>
      <c r="I523" s="159"/>
      <c r="J523" s="159"/>
      <c r="K523" s="159"/>
      <c r="M523" s="159"/>
      <c r="O523" s="157"/>
    </row>
    <row r="524">
      <c r="A524" s="172" t="s">
        <v>127</v>
      </c>
      <c r="B524" s="159"/>
      <c r="C524" s="173"/>
      <c r="D524" s="174"/>
      <c r="E524" s="175" t="s">
        <v>127</v>
      </c>
      <c r="F524" s="176" t="s">
        <v>127</v>
      </c>
      <c r="G524" s="177" t="str">
        <f>IFERROR(__xludf.DUMMYFUNCTION("""COMPUTED_VALUE"""),"")</f>
        <v/>
      </c>
      <c r="H524" s="178" t="s">
        <v>127</v>
      </c>
      <c r="I524" s="159"/>
      <c r="J524" s="159"/>
      <c r="K524" s="159"/>
      <c r="M524" s="159"/>
      <c r="O524" s="157"/>
    </row>
    <row r="525">
      <c r="A525" s="172" t="s">
        <v>127</v>
      </c>
      <c r="B525" s="159"/>
      <c r="C525" s="173"/>
      <c r="D525" s="174"/>
      <c r="E525" s="175" t="s">
        <v>127</v>
      </c>
      <c r="F525" s="176" t="s">
        <v>127</v>
      </c>
      <c r="G525" s="177" t="str">
        <f>IFERROR(__xludf.DUMMYFUNCTION("""COMPUTED_VALUE"""),"")</f>
        <v/>
      </c>
      <c r="H525" s="178" t="s">
        <v>127</v>
      </c>
      <c r="I525" s="159"/>
      <c r="J525" s="159"/>
      <c r="K525" s="159"/>
      <c r="M525" s="159"/>
      <c r="O525" s="157"/>
    </row>
    <row r="526">
      <c r="A526" s="172" t="s">
        <v>127</v>
      </c>
      <c r="B526" s="159"/>
      <c r="C526" s="173"/>
      <c r="D526" s="174"/>
      <c r="E526" s="175" t="s">
        <v>127</v>
      </c>
      <c r="F526" s="176" t="s">
        <v>127</v>
      </c>
      <c r="G526" s="177" t="str">
        <f>IFERROR(__xludf.DUMMYFUNCTION("""COMPUTED_VALUE"""),"")</f>
        <v/>
      </c>
      <c r="H526" s="178" t="s">
        <v>127</v>
      </c>
      <c r="I526" s="159"/>
      <c r="J526" s="159"/>
      <c r="K526" s="159"/>
      <c r="M526" s="159"/>
      <c r="O526" s="157"/>
    </row>
    <row r="527">
      <c r="A527" s="172" t="s">
        <v>127</v>
      </c>
      <c r="B527" s="159"/>
      <c r="C527" s="173"/>
      <c r="D527" s="174"/>
      <c r="E527" s="175" t="s">
        <v>127</v>
      </c>
      <c r="F527" s="176" t="s">
        <v>127</v>
      </c>
      <c r="G527" s="177" t="str">
        <f>IFERROR(__xludf.DUMMYFUNCTION("""COMPUTED_VALUE"""),"")</f>
        <v/>
      </c>
      <c r="H527" s="178" t="s">
        <v>127</v>
      </c>
      <c r="I527" s="159"/>
      <c r="J527" s="159"/>
      <c r="K527" s="159"/>
      <c r="M527" s="159"/>
      <c r="O527" s="157"/>
    </row>
    <row r="528">
      <c r="A528" s="172" t="s">
        <v>127</v>
      </c>
      <c r="B528" s="159"/>
      <c r="C528" s="173"/>
      <c r="D528" s="174"/>
      <c r="E528" s="175" t="s">
        <v>127</v>
      </c>
      <c r="F528" s="176" t="s">
        <v>127</v>
      </c>
      <c r="G528" s="177" t="str">
        <f>IFERROR(__xludf.DUMMYFUNCTION("""COMPUTED_VALUE"""),"")</f>
        <v/>
      </c>
      <c r="H528" s="178" t="s">
        <v>127</v>
      </c>
      <c r="I528" s="159"/>
      <c r="J528" s="159"/>
      <c r="K528" s="159"/>
      <c r="M528" s="159"/>
      <c r="O528" s="157"/>
    </row>
    <row r="529">
      <c r="A529" s="172" t="s">
        <v>127</v>
      </c>
      <c r="B529" s="159"/>
      <c r="C529" s="173"/>
      <c r="D529" s="174"/>
      <c r="E529" s="175" t="s">
        <v>127</v>
      </c>
      <c r="F529" s="176" t="s">
        <v>127</v>
      </c>
      <c r="G529" s="177" t="str">
        <f>IFERROR(__xludf.DUMMYFUNCTION("""COMPUTED_VALUE"""),"")</f>
        <v/>
      </c>
      <c r="H529" s="178" t="s">
        <v>127</v>
      </c>
      <c r="I529" s="159"/>
      <c r="J529" s="159"/>
      <c r="K529" s="159"/>
      <c r="M529" s="159"/>
      <c r="O529" s="157"/>
    </row>
    <row r="530">
      <c r="A530" s="172" t="s">
        <v>127</v>
      </c>
      <c r="B530" s="159"/>
      <c r="C530" s="173"/>
      <c r="D530" s="174"/>
      <c r="E530" s="175" t="s">
        <v>127</v>
      </c>
      <c r="F530" s="176" t="s">
        <v>127</v>
      </c>
      <c r="G530" s="177" t="str">
        <f>IFERROR(__xludf.DUMMYFUNCTION("""COMPUTED_VALUE"""),"")</f>
        <v/>
      </c>
      <c r="H530" s="178" t="s">
        <v>127</v>
      </c>
      <c r="I530" s="159"/>
      <c r="J530" s="159"/>
      <c r="K530" s="159"/>
      <c r="M530" s="159"/>
      <c r="O530" s="157"/>
    </row>
    <row r="531">
      <c r="A531" s="172" t="s">
        <v>127</v>
      </c>
      <c r="B531" s="159"/>
      <c r="C531" s="173"/>
      <c r="D531" s="174"/>
      <c r="E531" s="175" t="s">
        <v>127</v>
      </c>
      <c r="F531" s="176" t="s">
        <v>127</v>
      </c>
      <c r="G531" s="177" t="str">
        <f>IFERROR(__xludf.DUMMYFUNCTION("""COMPUTED_VALUE"""),"")</f>
        <v/>
      </c>
      <c r="H531" s="178" t="s">
        <v>127</v>
      </c>
      <c r="I531" s="159"/>
      <c r="J531" s="159"/>
      <c r="K531" s="159"/>
      <c r="M531" s="159"/>
      <c r="O531" s="157"/>
    </row>
    <row r="532">
      <c r="A532" s="172" t="s">
        <v>127</v>
      </c>
      <c r="B532" s="159"/>
      <c r="C532" s="173"/>
      <c r="D532" s="174"/>
      <c r="E532" s="175" t="s">
        <v>127</v>
      </c>
      <c r="F532" s="176" t="s">
        <v>127</v>
      </c>
      <c r="G532" s="177" t="str">
        <f>IFERROR(__xludf.DUMMYFUNCTION("""COMPUTED_VALUE"""),"")</f>
        <v/>
      </c>
      <c r="H532" s="178" t="s">
        <v>127</v>
      </c>
      <c r="I532" s="159"/>
      <c r="J532" s="159"/>
      <c r="K532" s="159"/>
      <c r="M532" s="159"/>
      <c r="O532" s="157"/>
    </row>
    <row r="533">
      <c r="A533" s="172" t="s">
        <v>127</v>
      </c>
      <c r="B533" s="159"/>
      <c r="C533" s="173"/>
      <c r="D533" s="174"/>
      <c r="E533" s="175" t="s">
        <v>127</v>
      </c>
      <c r="F533" s="176" t="s">
        <v>127</v>
      </c>
      <c r="G533" s="177" t="str">
        <f>IFERROR(__xludf.DUMMYFUNCTION("""COMPUTED_VALUE"""),"")</f>
        <v/>
      </c>
      <c r="H533" s="178" t="s">
        <v>127</v>
      </c>
      <c r="I533" s="159"/>
      <c r="J533" s="159"/>
      <c r="K533" s="159"/>
      <c r="M533" s="159"/>
      <c r="O533" s="157"/>
    </row>
    <row r="534">
      <c r="A534" s="172" t="s">
        <v>127</v>
      </c>
      <c r="B534" s="159"/>
      <c r="C534" s="173"/>
      <c r="D534" s="174"/>
      <c r="E534" s="175" t="s">
        <v>127</v>
      </c>
      <c r="F534" s="176" t="s">
        <v>127</v>
      </c>
      <c r="G534" s="177" t="str">
        <f>IFERROR(__xludf.DUMMYFUNCTION("""COMPUTED_VALUE"""),"")</f>
        <v/>
      </c>
      <c r="H534" s="178" t="s">
        <v>127</v>
      </c>
      <c r="I534" s="159"/>
      <c r="J534" s="159"/>
      <c r="K534" s="159"/>
      <c r="M534" s="159"/>
      <c r="O534" s="157"/>
    </row>
    <row r="535">
      <c r="A535" s="172" t="s">
        <v>127</v>
      </c>
      <c r="B535" s="159"/>
      <c r="C535" s="173"/>
      <c r="D535" s="174"/>
      <c r="E535" s="175" t="s">
        <v>127</v>
      </c>
      <c r="F535" s="176" t="s">
        <v>127</v>
      </c>
      <c r="G535" s="177" t="str">
        <f>IFERROR(__xludf.DUMMYFUNCTION("""COMPUTED_VALUE"""),"")</f>
        <v/>
      </c>
      <c r="H535" s="178" t="s">
        <v>127</v>
      </c>
      <c r="I535" s="159"/>
      <c r="J535" s="159"/>
      <c r="K535" s="159"/>
      <c r="M535" s="159"/>
      <c r="O535" s="157"/>
    </row>
    <row r="536">
      <c r="A536" s="172" t="s">
        <v>127</v>
      </c>
      <c r="B536" s="159"/>
      <c r="C536" s="173"/>
      <c r="D536" s="174"/>
      <c r="E536" s="175" t="s">
        <v>127</v>
      </c>
      <c r="F536" s="176" t="s">
        <v>127</v>
      </c>
      <c r="G536" s="177" t="str">
        <f>IFERROR(__xludf.DUMMYFUNCTION("""COMPUTED_VALUE"""),"")</f>
        <v/>
      </c>
      <c r="H536" s="178" t="s">
        <v>127</v>
      </c>
      <c r="I536" s="159"/>
      <c r="J536" s="159"/>
      <c r="K536" s="159"/>
      <c r="M536" s="159"/>
      <c r="O536" s="157"/>
    </row>
    <row r="537">
      <c r="A537" s="172" t="s">
        <v>127</v>
      </c>
      <c r="B537" s="159"/>
      <c r="C537" s="173"/>
      <c r="D537" s="174"/>
      <c r="E537" s="175" t="s">
        <v>127</v>
      </c>
      <c r="F537" s="176" t="s">
        <v>127</v>
      </c>
      <c r="G537" s="177" t="str">
        <f>IFERROR(__xludf.DUMMYFUNCTION("""COMPUTED_VALUE"""),"")</f>
        <v/>
      </c>
      <c r="H537" s="178" t="s">
        <v>127</v>
      </c>
      <c r="I537" s="159"/>
      <c r="J537" s="159"/>
      <c r="K537" s="159"/>
      <c r="M537" s="159"/>
      <c r="O537" s="157"/>
    </row>
    <row r="538">
      <c r="A538" s="172" t="s">
        <v>127</v>
      </c>
      <c r="B538" s="159"/>
      <c r="C538" s="173"/>
      <c r="D538" s="174"/>
      <c r="E538" s="175" t="s">
        <v>127</v>
      </c>
      <c r="F538" s="176" t="s">
        <v>127</v>
      </c>
      <c r="G538" s="177" t="str">
        <f>IFERROR(__xludf.DUMMYFUNCTION("""COMPUTED_VALUE"""),"")</f>
        <v/>
      </c>
      <c r="H538" s="178" t="s">
        <v>127</v>
      </c>
      <c r="I538" s="159"/>
      <c r="J538" s="159"/>
      <c r="K538" s="159"/>
      <c r="M538" s="159"/>
      <c r="O538" s="157"/>
    </row>
    <row r="539">
      <c r="A539" s="172" t="s">
        <v>127</v>
      </c>
      <c r="B539" s="159"/>
      <c r="C539" s="173"/>
      <c r="D539" s="174"/>
      <c r="E539" s="175" t="s">
        <v>127</v>
      </c>
      <c r="F539" s="176" t="s">
        <v>127</v>
      </c>
      <c r="G539" s="177" t="str">
        <f>IFERROR(__xludf.DUMMYFUNCTION("""COMPUTED_VALUE"""),"")</f>
        <v/>
      </c>
      <c r="H539" s="178" t="s">
        <v>127</v>
      </c>
      <c r="I539" s="159"/>
      <c r="J539" s="159"/>
      <c r="K539" s="159"/>
      <c r="M539" s="159"/>
      <c r="O539" s="157"/>
    </row>
    <row r="540">
      <c r="A540" s="172" t="s">
        <v>127</v>
      </c>
      <c r="B540" s="159"/>
      <c r="C540" s="173"/>
      <c r="D540" s="174"/>
      <c r="E540" s="175" t="s">
        <v>127</v>
      </c>
      <c r="F540" s="176" t="s">
        <v>127</v>
      </c>
      <c r="G540" s="177" t="str">
        <f>IFERROR(__xludf.DUMMYFUNCTION("""COMPUTED_VALUE"""),"")</f>
        <v/>
      </c>
      <c r="H540" s="178" t="s">
        <v>127</v>
      </c>
      <c r="I540" s="159"/>
      <c r="J540" s="159"/>
      <c r="K540" s="159"/>
      <c r="M540" s="159"/>
      <c r="O540" s="157"/>
    </row>
    <row r="541">
      <c r="A541" s="172" t="s">
        <v>127</v>
      </c>
      <c r="B541" s="159"/>
      <c r="C541" s="173"/>
      <c r="D541" s="174"/>
      <c r="E541" s="175" t="s">
        <v>127</v>
      </c>
      <c r="F541" s="176" t="s">
        <v>127</v>
      </c>
      <c r="G541" s="177" t="str">
        <f>IFERROR(__xludf.DUMMYFUNCTION("""COMPUTED_VALUE"""),"")</f>
        <v/>
      </c>
      <c r="H541" s="178" t="s">
        <v>127</v>
      </c>
      <c r="I541" s="159"/>
      <c r="J541" s="159"/>
      <c r="K541" s="159"/>
      <c r="M541" s="159"/>
      <c r="O541" s="157"/>
    </row>
    <row r="542">
      <c r="A542" s="172" t="s">
        <v>127</v>
      </c>
      <c r="B542" s="159"/>
      <c r="C542" s="173"/>
      <c r="D542" s="174"/>
      <c r="E542" s="175" t="s">
        <v>127</v>
      </c>
      <c r="F542" s="176" t="s">
        <v>127</v>
      </c>
      <c r="G542" s="177" t="str">
        <f>IFERROR(__xludf.DUMMYFUNCTION("""COMPUTED_VALUE"""),"")</f>
        <v/>
      </c>
      <c r="H542" s="178" t="s">
        <v>127</v>
      </c>
      <c r="I542" s="159"/>
      <c r="J542" s="159"/>
      <c r="K542" s="159"/>
      <c r="M542" s="159"/>
      <c r="O542" s="157"/>
    </row>
    <row r="543">
      <c r="A543" s="172" t="s">
        <v>127</v>
      </c>
      <c r="B543" s="159"/>
      <c r="C543" s="173"/>
      <c r="D543" s="174"/>
      <c r="E543" s="175" t="s">
        <v>127</v>
      </c>
      <c r="F543" s="176" t="s">
        <v>127</v>
      </c>
      <c r="G543" s="177" t="str">
        <f>IFERROR(__xludf.DUMMYFUNCTION("""COMPUTED_VALUE"""),"")</f>
        <v/>
      </c>
      <c r="H543" s="178" t="s">
        <v>127</v>
      </c>
      <c r="I543" s="159"/>
      <c r="J543" s="159"/>
      <c r="K543" s="159"/>
      <c r="M543" s="159"/>
      <c r="O543" s="157"/>
    </row>
    <row r="544">
      <c r="A544" s="172" t="s">
        <v>127</v>
      </c>
      <c r="B544" s="159"/>
      <c r="C544" s="173"/>
      <c r="D544" s="174"/>
      <c r="E544" s="175" t="s">
        <v>127</v>
      </c>
      <c r="F544" s="176" t="s">
        <v>127</v>
      </c>
      <c r="G544" s="177" t="str">
        <f>IFERROR(__xludf.DUMMYFUNCTION("""COMPUTED_VALUE"""),"")</f>
        <v/>
      </c>
      <c r="H544" s="178" t="s">
        <v>127</v>
      </c>
      <c r="I544" s="159"/>
      <c r="J544" s="159"/>
      <c r="K544" s="159"/>
      <c r="M544" s="159"/>
      <c r="O544" s="157"/>
    </row>
    <row r="545">
      <c r="A545" s="172" t="s">
        <v>127</v>
      </c>
      <c r="B545" s="159"/>
      <c r="C545" s="173"/>
      <c r="D545" s="174"/>
      <c r="E545" s="175" t="s">
        <v>127</v>
      </c>
      <c r="F545" s="176" t="s">
        <v>127</v>
      </c>
      <c r="G545" s="177" t="str">
        <f>IFERROR(__xludf.DUMMYFUNCTION("""COMPUTED_VALUE"""),"")</f>
        <v/>
      </c>
      <c r="H545" s="178" t="s">
        <v>127</v>
      </c>
      <c r="I545" s="159"/>
      <c r="J545" s="159"/>
      <c r="K545" s="159"/>
      <c r="M545" s="159"/>
      <c r="O545" s="157"/>
    </row>
    <row r="546">
      <c r="A546" s="172" t="s">
        <v>127</v>
      </c>
      <c r="B546" s="159"/>
      <c r="C546" s="173"/>
      <c r="D546" s="174"/>
      <c r="E546" s="175" t="s">
        <v>127</v>
      </c>
      <c r="F546" s="176" t="s">
        <v>127</v>
      </c>
      <c r="G546" s="177" t="str">
        <f>IFERROR(__xludf.DUMMYFUNCTION("""COMPUTED_VALUE"""),"")</f>
        <v/>
      </c>
      <c r="H546" s="178" t="s">
        <v>127</v>
      </c>
      <c r="I546" s="159"/>
      <c r="J546" s="159"/>
      <c r="K546" s="159"/>
      <c r="M546" s="159"/>
      <c r="O546" s="157"/>
    </row>
    <row r="547">
      <c r="A547" s="172" t="s">
        <v>127</v>
      </c>
      <c r="B547" s="159"/>
      <c r="C547" s="173"/>
      <c r="D547" s="174"/>
      <c r="E547" s="175" t="s">
        <v>127</v>
      </c>
      <c r="F547" s="176" t="s">
        <v>127</v>
      </c>
      <c r="G547" s="177" t="str">
        <f>IFERROR(__xludf.DUMMYFUNCTION("""COMPUTED_VALUE"""),"")</f>
        <v/>
      </c>
      <c r="H547" s="178" t="s">
        <v>127</v>
      </c>
      <c r="I547" s="159"/>
      <c r="J547" s="159"/>
      <c r="K547" s="159"/>
      <c r="M547" s="159"/>
      <c r="O547" s="157"/>
    </row>
    <row r="548">
      <c r="A548" s="172" t="s">
        <v>127</v>
      </c>
      <c r="B548" s="159"/>
      <c r="C548" s="173"/>
      <c r="D548" s="174"/>
      <c r="E548" s="175" t="s">
        <v>127</v>
      </c>
      <c r="F548" s="176" t="s">
        <v>127</v>
      </c>
      <c r="G548" s="177" t="str">
        <f>IFERROR(__xludf.DUMMYFUNCTION("""COMPUTED_VALUE"""),"")</f>
        <v/>
      </c>
      <c r="H548" s="178" t="s">
        <v>127</v>
      </c>
      <c r="I548" s="159"/>
      <c r="J548" s="159"/>
      <c r="K548" s="159"/>
      <c r="M548" s="159"/>
      <c r="O548" s="157"/>
    </row>
    <row r="549">
      <c r="A549" s="172" t="s">
        <v>127</v>
      </c>
      <c r="B549" s="159"/>
      <c r="C549" s="173"/>
      <c r="D549" s="174"/>
      <c r="E549" s="175" t="s">
        <v>127</v>
      </c>
      <c r="F549" s="176" t="s">
        <v>127</v>
      </c>
      <c r="G549" s="177" t="str">
        <f>IFERROR(__xludf.DUMMYFUNCTION("""COMPUTED_VALUE"""),"")</f>
        <v/>
      </c>
      <c r="H549" s="178" t="s">
        <v>127</v>
      </c>
      <c r="I549" s="159"/>
      <c r="J549" s="159"/>
      <c r="K549" s="159"/>
      <c r="M549" s="159"/>
      <c r="O549" s="157"/>
    </row>
    <row r="550">
      <c r="A550" s="172" t="s">
        <v>127</v>
      </c>
      <c r="B550" s="159"/>
      <c r="C550" s="173"/>
      <c r="D550" s="174"/>
      <c r="E550" s="175" t="s">
        <v>127</v>
      </c>
      <c r="F550" s="176" t="s">
        <v>127</v>
      </c>
      <c r="G550" s="177" t="str">
        <f>IFERROR(__xludf.DUMMYFUNCTION("""COMPUTED_VALUE"""),"")</f>
        <v/>
      </c>
      <c r="H550" s="178" t="s">
        <v>127</v>
      </c>
      <c r="I550" s="159"/>
      <c r="J550" s="159"/>
      <c r="K550" s="159"/>
      <c r="M550" s="159"/>
      <c r="O550" s="157"/>
    </row>
    <row r="551">
      <c r="A551" s="172" t="s">
        <v>127</v>
      </c>
      <c r="B551" s="159"/>
      <c r="C551" s="173"/>
      <c r="D551" s="174"/>
      <c r="E551" s="175" t="s">
        <v>127</v>
      </c>
      <c r="F551" s="176" t="s">
        <v>127</v>
      </c>
      <c r="G551" s="177" t="str">
        <f>IFERROR(__xludf.DUMMYFUNCTION("""COMPUTED_VALUE"""),"")</f>
        <v/>
      </c>
      <c r="H551" s="178" t="s">
        <v>127</v>
      </c>
      <c r="I551" s="159"/>
      <c r="J551" s="159"/>
      <c r="K551" s="159"/>
      <c r="M551" s="159"/>
      <c r="O551" s="157"/>
    </row>
    <row r="552">
      <c r="A552" s="172" t="s">
        <v>127</v>
      </c>
      <c r="B552" s="159"/>
      <c r="C552" s="173"/>
      <c r="D552" s="174"/>
      <c r="E552" s="175" t="s">
        <v>127</v>
      </c>
      <c r="F552" s="176" t="s">
        <v>127</v>
      </c>
      <c r="G552" s="177" t="str">
        <f>IFERROR(__xludf.DUMMYFUNCTION("""COMPUTED_VALUE"""),"")</f>
        <v/>
      </c>
      <c r="H552" s="178" t="s">
        <v>127</v>
      </c>
      <c r="I552" s="159"/>
      <c r="J552" s="159"/>
      <c r="K552" s="159"/>
      <c r="M552" s="159"/>
      <c r="O552" s="157"/>
    </row>
    <row r="553">
      <c r="A553" s="172" t="s">
        <v>127</v>
      </c>
      <c r="B553" s="159"/>
      <c r="C553" s="173"/>
      <c r="D553" s="174"/>
      <c r="E553" s="175" t="s">
        <v>127</v>
      </c>
      <c r="F553" s="176" t="s">
        <v>127</v>
      </c>
      <c r="G553" s="177" t="str">
        <f>IFERROR(__xludf.DUMMYFUNCTION("""COMPUTED_VALUE"""),"")</f>
        <v/>
      </c>
      <c r="H553" s="178" t="s">
        <v>127</v>
      </c>
      <c r="I553" s="159"/>
      <c r="J553" s="159"/>
      <c r="K553" s="159"/>
      <c r="M553" s="159"/>
      <c r="O553" s="157"/>
    </row>
    <row r="554">
      <c r="A554" s="172" t="s">
        <v>127</v>
      </c>
      <c r="B554" s="159"/>
      <c r="C554" s="173"/>
      <c r="D554" s="174"/>
      <c r="E554" s="175" t="s">
        <v>127</v>
      </c>
      <c r="F554" s="176" t="s">
        <v>127</v>
      </c>
      <c r="G554" s="177" t="str">
        <f>IFERROR(__xludf.DUMMYFUNCTION("""COMPUTED_VALUE"""),"")</f>
        <v/>
      </c>
      <c r="H554" s="178" t="s">
        <v>127</v>
      </c>
      <c r="I554" s="159"/>
      <c r="J554" s="159"/>
      <c r="K554" s="159"/>
      <c r="M554" s="159"/>
      <c r="O554" s="157"/>
    </row>
    <row r="555">
      <c r="A555" s="172" t="s">
        <v>127</v>
      </c>
      <c r="B555" s="159"/>
      <c r="C555" s="173"/>
      <c r="D555" s="174"/>
      <c r="E555" s="175" t="s">
        <v>127</v>
      </c>
      <c r="F555" s="176" t="s">
        <v>127</v>
      </c>
      <c r="G555" s="177" t="str">
        <f>IFERROR(__xludf.DUMMYFUNCTION("""COMPUTED_VALUE"""),"")</f>
        <v/>
      </c>
      <c r="H555" s="178" t="s">
        <v>127</v>
      </c>
      <c r="I555" s="159"/>
      <c r="J555" s="159"/>
      <c r="K555" s="159"/>
      <c r="M555" s="159"/>
      <c r="O555" s="157"/>
    </row>
    <row r="556">
      <c r="A556" s="172" t="s">
        <v>127</v>
      </c>
      <c r="B556" s="159"/>
      <c r="C556" s="173"/>
      <c r="D556" s="174"/>
      <c r="E556" s="175" t="s">
        <v>127</v>
      </c>
      <c r="F556" s="176" t="s">
        <v>127</v>
      </c>
      <c r="G556" s="177" t="str">
        <f>IFERROR(__xludf.DUMMYFUNCTION("""COMPUTED_VALUE"""),"")</f>
        <v/>
      </c>
      <c r="H556" s="178" t="s">
        <v>127</v>
      </c>
      <c r="I556" s="159"/>
      <c r="J556" s="159"/>
      <c r="K556" s="159"/>
      <c r="M556" s="159"/>
      <c r="O556" s="157"/>
    </row>
    <row r="557">
      <c r="A557" s="172" t="s">
        <v>127</v>
      </c>
      <c r="B557" s="159"/>
      <c r="C557" s="173"/>
      <c r="D557" s="174"/>
      <c r="E557" s="175" t="s">
        <v>127</v>
      </c>
      <c r="F557" s="176" t="s">
        <v>127</v>
      </c>
      <c r="G557" s="177" t="str">
        <f>IFERROR(__xludf.DUMMYFUNCTION("""COMPUTED_VALUE"""),"")</f>
        <v/>
      </c>
      <c r="H557" s="178" t="s">
        <v>127</v>
      </c>
      <c r="I557" s="159"/>
      <c r="J557" s="159"/>
      <c r="K557" s="159"/>
      <c r="M557" s="159"/>
      <c r="O557" s="157"/>
    </row>
    <row r="558">
      <c r="A558" s="172" t="s">
        <v>127</v>
      </c>
      <c r="B558" s="159"/>
      <c r="C558" s="173"/>
      <c r="D558" s="174"/>
      <c r="E558" s="175" t="s">
        <v>127</v>
      </c>
      <c r="F558" s="176" t="s">
        <v>127</v>
      </c>
      <c r="G558" s="177" t="str">
        <f>IFERROR(__xludf.DUMMYFUNCTION("""COMPUTED_VALUE"""),"")</f>
        <v/>
      </c>
      <c r="H558" s="178" t="s">
        <v>127</v>
      </c>
      <c r="I558" s="159"/>
      <c r="J558" s="159"/>
      <c r="K558" s="159"/>
      <c r="M558" s="159"/>
      <c r="O558" s="157"/>
    </row>
    <row r="559">
      <c r="A559" s="172" t="s">
        <v>127</v>
      </c>
      <c r="B559" s="159"/>
      <c r="C559" s="173"/>
      <c r="D559" s="174"/>
      <c r="E559" s="175" t="s">
        <v>127</v>
      </c>
      <c r="F559" s="176" t="s">
        <v>127</v>
      </c>
      <c r="G559" s="177" t="str">
        <f>IFERROR(__xludf.DUMMYFUNCTION("""COMPUTED_VALUE"""),"")</f>
        <v/>
      </c>
      <c r="H559" s="178" t="s">
        <v>127</v>
      </c>
      <c r="I559" s="159"/>
      <c r="J559" s="159"/>
      <c r="K559" s="159"/>
      <c r="M559" s="159"/>
      <c r="O559" s="157"/>
    </row>
    <row r="560">
      <c r="A560" s="172" t="s">
        <v>127</v>
      </c>
      <c r="B560" s="159"/>
      <c r="C560" s="173"/>
      <c r="D560" s="174"/>
      <c r="E560" s="175" t="s">
        <v>127</v>
      </c>
      <c r="F560" s="176" t="s">
        <v>127</v>
      </c>
      <c r="G560" s="177" t="str">
        <f>IFERROR(__xludf.DUMMYFUNCTION("""COMPUTED_VALUE"""),"")</f>
        <v/>
      </c>
      <c r="H560" s="178" t="s">
        <v>127</v>
      </c>
      <c r="I560" s="159"/>
      <c r="J560" s="159"/>
      <c r="K560" s="159"/>
      <c r="M560" s="159"/>
      <c r="O560" s="157"/>
    </row>
    <row r="561">
      <c r="A561" s="172" t="s">
        <v>127</v>
      </c>
      <c r="B561" s="159"/>
      <c r="C561" s="173"/>
      <c r="D561" s="174"/>
      <c r="E561" s="175" t="s">
        <v>127</v>
      </c>
      <c r="F561" s="176" t="s">
        <v>127</v>
      </c>
      <c r="G561" s="177" t="str">
        <f>IFERROR(__xludf.DUMMYFUNCTION("""COMPUTED_VALUE"""),"")</f>
        <v/>
      </c>
      <c r="H561" s="178" t="s">
        <v>127</v>
      </c>
      <c r="I561" s="159"/>
      <c r="J561" s="159"/>
      <c r="K561" s="159"/>
      <c r="M561" s="159"/>
      <c r="O561" s="157"/>
    </row>
    <row r="562">
      <c r="A562" s="172" t="s">
        <v>127</v>
      </c>
      <c r="B562" s="159"/>
      <c r="C562" s="173"/>
      <c r="D562" s="174"/>
      <c r="E562" s="175" t="s">
        <v>127</v>
      </c>
      <c r="F562" s="176" t="s">
        <v>127</v>
      </c>
      <c r="G562" s="177" t="str">
        <f>IFERROR(__xludf.DUMMYFUNCTION("""COMPUTED_VALUE"""),"")</f>
        <v/>
      </c>
      <c r="H562" s="178" t="s">
        <v>127</v>
      </c>
      <c r="I562" s="159"/>
      <c r="J562" s="159"/>
      <c r="K562" s="159"/>
      <c r="M562" s="159"/>
      <c r="O562" s="157"/>
    </row>
    <row r="563">
      <c r="A563" s="172" t="s">
        <v>127</v>
      </c>
      <c r="B563" s="159"/>
      <c r="C563" s="173"/>
      <c r="D563" s="174"/>
      <c r="E563" s="175" t="s">
        <v>127</v>
      </c>
      <c r="F563" s="176" t="s">
        <v>127</v>
      </c>
      <c r="G563" s="177" t="str">
        <f>IFERROR(__xludf.DUMMYFUNCTION("""COMPUTED_VALUE"""),"")</f>
        <v/>
      </c>
      <c r="H563" s="178" t="s">
        <v>127</v>
      </c>
      <c r="I563" s="159"/>
      <c r="J563" s="159"/>
      <c r="K563" s="159"/>
      <c r="M563" s="159"/>
      <c r="O563" s="157"/>
    </row>
    <row r="564">
      <c r="A564" s="172" t="s">
        <v>127</v>
      </c>
      <c r="B564" s="159"/>
      <c r="C564" s="173"/>
      <c r="D564" s="174"/>
      <c r="E564" s="175" t="s">
        <v>127</v>
      </c>
      <c r="F564" s="176" t="s">
        <v>127</v>
      </c>
      <c r="G564" s="177" t="str">
        <f>IFERROR(__xludf.DUMMYFUNCTION("""COMPUTED_VALUE"""),"")</f>
        <v/>
      </c>
      <c r="H564" s="178" t="s">
        <v>127</v>
      </c>
      <c r="I564" s="159"/>
      <c r="J564" s="159"/>
      <c r="K564" s="159"/>
      <c r="M564" s="159"/>
      <c r="O564" s="157"/>
    </row>
    <row r="565">
      <c r="A565" s="172" t="s">
        <v>127</v>
      </c>
      <c r="B565" s="159"/>
      <c r="C565" s="173"/>
      <c r="D565" s="174"/>
      <c r="E565" s="175" t="s">
        <v>127</v>
      </c>
      <c r="F565" s="176" t="s">
        <v>127</v>
      </c>
      <c r="G565" s="177" t="str">
        <f>IFERROR(__xludf.DUMMYFUNCTION("""COMPUTED_VALUE"""),"")</f>
        <v/>
      </c>
      <c r="H565" s="178" t="s">
        <v>127</v>
      </c>
      <c r="I565" s="159"/>
      <c r="J565" s="159"/>
      <c r="K565" s="159"/>
      <c r="M565" s="159"/>
      <c r="O565" s="157"/>
    </row>
    <row r="566">
      <c r="A566" s="172" t="s">
        <v>127</v>
      </c>
      <c r="B566" s="159"/>
      <c r="C566" s="173"/>
      <c r="D566" s="174"/>
      <c r="E566" s="175" t="s">
        <v>127</v>
      </c>
      <c r="F566" s="176" t="s">
        <v>127</v>
      </c>
      <c r="G566" s="177" t="str">
        <f>IFERROR(__xludf.DUMMYFUNCTION("""COMPUTED_VALUE"""),"")</f>
        <v/>
      </c>
      <c r="H566" s="178" t="s">
        <v>127</v>
      </c>
      <c r="I566" s="159"/>
      <c r="J566" s="159"/>
      <c r="K566" s="159"/>
      <c r="M566" s="159"/>
      <c r="O566" s="157"/>
    </row>
    <row r="567">
      <c r="A567" s="172" t="s">
        <v>127</v>
      </c>
      <c r="B567" s="159"/>
      <c r="C567" s="173"/>
      <c r="D567" s="174"/>
      <c r="E567" s="175" t="s">
        <v>127</v>
      </c>
      <c r="F567" s="176" t="s">
        <v>127</v>
      </c>
      <c r="G567" s="177" t="str">
        <f>IFERROR(__xludf.DUMMYFUNCTION("""COMPUTED_VALUE"""),"")</f>
        <v/>
      </c>
      <c r="H567" s="178" t="s">
        <v>127</v>
      </c>
      <c r="I567" s="159"/>
      <c r="J567" s="159"/>
      <c r="K567" s="159"/>
      <c r="M567" s="159"/>
      <c r="O567" s="157"/>
    </row>
    <row r="568">
      <c r="A568" s="172" t="s">
        <v>127</v>
      </c>
      <c r="B568" s="159"/>
      <c r="C568" s="173"/>
      <c r="D568" s="174"/>
      <c r="E568" s="175" t="s">
        <v>127</v>
      </c>
      <c r="F568" s="176" t="s">
        <v>127</v>
      </c>
      <c r="G568" s="177" t="str">
        <f>IFERROR(__xludf.DUMMYFUNCTION("""COMPUTED_VALUE"""),"")</f>
        <v/>
      </c>
      <c r="H568" s="178" t="s">
        <v>127</v>
      </c>
      <c r="I568" s="159"/>
      <c r="J568" s="159"/>
      <c r="K568" s="159"/>
      <c r="M568" s="159"/>
      <c r="O568" s="157"/>
    </row>
    <row r="569">
      <c r="A569" s="172" t="s">
        <v>127</v>
      </c>
      <c r="B569" s="159"/>
      <c r="C569" s="173"/>
      <c r="D569" s="174"/>
      <c r="E569" s="175" t="s">
        <v>127</v>
      </c>
      <c r="F569" s="176" t="s">
        <v>127</v>
      </c>
      <c r="G569" s="177" t="str">
        <f>IFERROR(__xludf.DUMMYFUNCTION("""COMPUTED_VALUE"""),"")</f>
        <v/>
      </c>
      <c r="H569" s="178" t="s">
        <v>127</v>
      </c>
      <c r="I569" s="159"/>
      <c r="J569" s="159"/>
      <c r="K569" s="159"/>
      <c r="M569" s="159"/>
      <c r="O569" s="157"/>
    </row>
    <row r="570">
      <c r="A570" s="172" t="s">
        <v>127</v>
      </c>
      <c r="B570" s="159"/>
      <c r="C570" s="173"/>
      <c r="D570" s="174"/>
      <c r="E570" s="175" t="s">
        <v>127</v>
      </c>
      <c r="F570" s="176" t="s">
        <v>127</v>
      </c>
      <c r="G570" s="177" t="str">
        <f>IFERROR(__xludf.DUMMYFUNCTION("""COMPUTED_VALUE"""),"")</f>
        <v/>
      </c>
      <c r="H570" s="178" t="s">
        <v>127</v>
      </c>
      <c r="I570" s="159"/>
      <c r="J570" s="159"/>
      <c r="K570" s="159"/>
      <c r="M570" s="159"/>
      <c r="O570" s="157"/>
    </row>
    <row r="571">
      <c r="A571" s="172" t="s">
        <v>127</v>
      </c>
      <c r="B571" s="159"/>
      <c r="C571" s="173"/>
      <c r="D571" s="174"/>
      <c r="E571" s="175" t="s">
        <v>127</v>
      </c>
      <c r="F571" s="176" t="s">
        <v>127</v>
      </c>
      <c r="G571" s="177" t="str">
        <f>IFERROR(__xludf.DUMMYFUNCTION("""COMPUTED_VALUE"""),"")</f>
        <v/>
      </c>
      <c r="H571" s="178" t="s">
        <v>127</v>
      </c>
      <c r="I571" s="159"/>
      <c r="J571" s="159"/>
      <c r="K571" s="159"/>
      <c r="M571" s="159"/>
      <c r="O571" s="157"/>
    </row>
    <row r="572">
      <c r="A572" s="172" t="s">
        <v>127</v>
      </c>
      <c r="B572" s="159"/>
      <c r="C572" s="173"/>
      <c r="D572" s="174"/>
      <c r="E572" s="175" t="s">
        <v>127</v>
      </c>
      <c r="F572" s="176" t="s">
        <v>127</v>
      </c>
      <c r="G572" s="177" t="str">
        <f>IFERROR(__xludf.DUMMYFUNCTION("""COMPUTED_VALUE"""),"")</f>
        <v/>
      </c>
      <c r="H572" s="178" t="s">
        <v>127</v>
      </c>
      <c r="I572" s="159"/>
      <c r="J572" s="159"/>
      <c r="K572" s="159"/>
      <c r="M572" s="159"/>
      <c r="O572" s="157"/>
    </row>
    <row r="573">
      <c r="A573" s="172" t="s">
        <v>127</v>
      </c>
      <c r="B573" s="159"/>
      <c r="C573" s="173"/>
      <c r="D573" s="174"/>
      <c r="E573" s="175" t="s">
        <v>127</v>
      </c>
      <c r="F573" s="176" t="s">
        <v>127</v>
      </c>
      <c r="G573" s="177" t="str">
        <f>IFERROR(__xludf.DUMMYFUNCTION("""COMPUTED_VALUE"""),"")</f>
        <v/>
      </c>
      <c r="H573" s="178" t="s">
        <v>127</v>
      </c>
      <c r="I573" s="159"/>
      <c r="J573" s="159"/>
      <c r="K573" s="159"/>
      <c r="M573" s="159"/>
      <c r="O573" s="157"/>
    </row>
    <row r="574">
      <c r="A574" s="172" t="s">
        <v>127</v>
      </c>
      <c r="B574" s="159"/>
      <c r="C574" s="173"/>
      <c r="D574" s="174"/>
      <c r="E574" s="175" t="s">
        <v>127</v>
      </c>
      <c r="F574" s="176" t="s">
        <v>127</v>
      </c>
      <c r="G574" s="177" t="str">
        <f>IFERROR(__xludf.DUMMYFUNCTION("""COMPUTED_VALUE"""),"")</f>
        <v/>
      </c>
      <c r="H574" s="178" t="s">
        <v>127</v>
      </c>
      <c r="I574" s="159"/>
      <c r="J574" s="159"/>
      <c r="K574" s="159"/>
      <c r="M574" s="159"/>
      <c r="O574" s="157"/>
    </row>
    <row r="575">
      <c r="A575" s="172" t="s">
        <v>127</v>
      </c>
      <c r="B575" s="159"/>
      <c r="C575" s="173"/>
      <c r="D575" s="174"/>
      <c r="E575" s="175" t="s">
        <v>127</v>
      </c>
      <c r="F575" s="176" t="s">
        <v>127</v>
      </c>
      <c r="G575" s="177" t="str">
        <f>IFERROR(__xludf.DUMMYFUNCTION("""COMPUTED_VALUE"""),"")</f>
        <v/>
      </c>
      <c r="H575" s="178" t="s">
        <v>127</v>
      </c>
      <c r="I575" s="159"/>
      <c r="J575" s="159"/>
      <c r="K575" s="159"/>
      <c r="M575" s="159"/>
      <c r="O575" s="157"/>
    </row>
    <row r="576">
      <c r="A576" s="172" t="s">
        <v>127</v>
      </c>
      <c r="B576" s="159"/>
      <c r="C576" s="173"/>
      <c r="D576" s="174"/>
      <c r="E576" s="175" t="s">
        <v>127</v>
      </c>
      <c r="F576" s="176" t="s">
        <v>127</v>
      </c>
      <c r="G576" s="177" t="str">
        <f>IFERROR(__xludf.DUMMYFUNCTION("""COMPUTED_VALUE"""),"")</f>
        <v/>
      </c>
      <c r="H576" s="178" t="s">
        <v>127</v>
      </c>
      <c r="I576" s="159"/>
      <c r="J576" s="159"/>
      <c r="K576" s="159"/>
      <c r="M576" s="159"/>
      <c r="O576" s="157"/>
    </row>
    <row r="577">
      <c r="A577" s="172" t="s">
        <v>127</v>
      </c>
      <c r="B577" s="159"/>
      <c r="C577" s="173"/>
      <c r="D577" s="174"/>
      <c r="E577" s="175" t="s">
        <v>127</v>
      </c>
      <c r="F577" s="176" t="s">
        <v>127</v>
      </c>
      <c r="G577" s="177" t="str">
        <f>IFERROR(__xludf.DUMMYFUNCTION("""COMPUTED_VALUE"""),"")</f>
        <v/>
      </c>
      <c r="H577" s="178" t="s">
        <v>127</v>
      </c>
      <c r="I577" s="159"/>
      <c r="J577" s="159"/>
      <c r="K577" s="159"/>
      <c r="M577" s="159"/>
      <c r="O577" s="157"/>
    </row>
    <row r="578">
      <c r="A578" s="172" t="s">
        <v>127</v>
      </c>
      <c r="B578" s="159"/>
      <c r="C578" s="173"/>
      <c r="D578" s="174"/>
      <c r="E578" s="175" t="s">
        <v>127</v>
      </c>
      <c r="F578" s="176" t="s">
        <v>127</v>
      </c>
      <c r="G578" s="177" t="str">
        <f>IFERROR(__xludf.DUMMYFUNCTION("""COMPUTED_VALUE"""),"")</f>
        <v/>
      </c>
      <c r="H578" s="178" t="s">
        <v>127</v>
      </c>
      <c r="I578" s="159"/>
      <c r="J578" s="159"/>
      <c r="K578" s="159"/>
      <c r="M578" s="159"/>
      <c r="O578" s="157"/>
    </row>
    <row r="579">
      <c r="A579" s="172" t="s">
        <v>127</v>
      </c>
      <c r="B579" s="159"/>
      <c r="C579" s="173"/>
      <c r="D579" s="174"/>
      <c r="E579" s="175" t="s">
        <v>127</v>
      </c>
      <c r="F579" s="176" t="s">
        <v>127</v>
      </c>
      <c r="G579" s="177" t="str">
        <f>IFERROR(__xludf.DUMMYFUNCTION("""COMPUTED_VALUE"""),"")</f>
        <v/>
      </c>
      <c r="H579" s="178" t="s">
        <v>127</v>
      </c>
      <c r="I579" s="159"/>
      <c r="J579" s="159"/>
      <c r="K579" s="159"/>
      <c r="M579" s="159"/>
      <c r="O579" s="157"/>
    </row>
    <row r="580">
      <c r="A580" s="172" t="s">
        <v>127</v>
      </c>
      <c r="B580" s="159"/>
      <c r="C580" s="173"/>
      <c r="D580" s="174"/>
      <c r="E580" s="175" t="s">
        <v>127</v>
      </c>
      <c r="F580" s="176" t="s">
        <v>127</v>
      </c>
      <c r="G580" s="177" t="str">
        <f>IFERROR(__xludf.DUMMYFUNCTION("""COMPUTED_VALUE"""),"")</f>
        <v/>
      </c>
      <c r="H580" s="178" t="s">
        <v>127</v>
      </c>
      <c r="I580" s="159"/>
      <c r="J580" s="159"/>
      <c r="K580" s="159"/>
      <c r="M580" s="159"/>
      <c r="O580" s="157"/>
    </row>
    <row r="581">
      <c r="A581" s="172" t="s">
        <v>127</v>
      </c>
      <c r="B581" s="159"/>
      <c r="C581" s="173"/>
      <c r="D581" s="174"/>
      <c r="E581" s="175" t="s">
        <v>127</v>
      </c>
      <c r="F581" s="176" t="s">
        <v>127</v>
      </c>
      <c r="G581" s="177" t="str">
        <f>IFERROR(__xludf.DUMMYFUNCTION("""COMPUTED_VALUE"""),"")</f>
        <v/>
      </c>
      <c r="H581" s="178" t="s">
        <v>127</v>
      </c>
      <c r="I581" s="159"/>
      <c r="J581" s="159"/>
      <c r="K581" s="159"/>
      <c r="M581" s="159"/>
      <c r="O581" s="157"/>
    </row>
    <row r="582">
      <c r="A582" s="172" t="s">
        <v>127</v>
      </c>
      <c r="B582" s="159"/>
      <c r="C582" s="173"/>
      <c r="D582" s="174"/>
      <c r="E582" s="175" t="s">
        <v>127</v>
      </c>
      <c r="F582" s="176" t="s">
        <v>127</v>
      </c>
      <c r="G582" s="177" t="str">
        <f>IFERROR(__xludf.DUMMYFUNCTION("""COMPUTED_VALUE"""),"")</f>
        <v/>
      </c>
      <c r="H582" s="178" t="s">
        <v>127</v>
      </c>
      <c r="I582" s="159"/>
      <c r="J582" s="159"/>
      <c r="K582" s="159"/>
      <c r="M582" s="159"/>
      <c r="O582" s="157"/>
    </row>
    <row r="583">
      <c r="A583" s="172" t="s">
        <v>127</v>
      </c>
      <c r="B583" s="159"/>
      <c r="C583" s="173"/>
      <c r="D583" s="174"/>
      <c r="E583" s="175" t="s">
        <v>127</v>
      </c>
      <c r="F583" s="176" t="s">
        <v>127</v>
      </c>
      <c r="G583" s="177" t="str">
        <f>IFERROR(__xludf.DUMMYFUNCTION("""COMPUTED_VALUE"""),"")</f>
        <v/>
      </c>
      <c r="H583" s="178" t="s">
        <v>127</v>
      </c>
      <c r="I583" s="159"/>
      <c r="J583" s="159"/>
      <c r="K583" s="159"/>
      <c r="M583" s="159"/>
      <c r="O583" s="157"/>
    </row>
    <row r="584">
      <c r="A584" s="172" t="s">
        <v>127</v>
      </c>
      <c r="B584" s="159"/>
      <c r="C584" s="173"/>
      <c r="D584" s="174"/>
      <c r="E584" s="175" t="s">
        <v>127</v>
      </c>
      <c r="F584" s="176" t="s">
        <v>127</v>
      </c>
      <c r="G584" s="177" t="str">
        <f>IFERROR(__xludf.DUMMYFUNCTION("""COMPUTED_VALUE"""),"")</f>
        <v/>
      </c>
      <c r="H584" s="178" t="s">
        <v>127</v>
      </c>
      <c r="I584" s="159"/>
      <c r="J584" s="159"/>
      <c r="K584" s="159"/>
      <c r="M584" s="159"/>
      <c r="O584" s="157"/>
    </row>
    <row r="585">
      <c r="A585" s="172" t="s">
        <v>127</v>
      </c>
      <c r="B585" s="159"/>
      <c r="C585" s="173"/>
      <c r="D585" s="174"/>
      <c r="E585" s="175" t="s">
        <v>127</v>
      </c>
      <c r="F585" s="176" t="s">
        <v>127</v>
      </c>
      <c r="G585" s="177" t="str">
        <f>IFERROR(__xludf.DUMMYFUNCTION("""COMPUTED_VALUE"""),"")</f>
        <v/>
      </c>
      <c r="H585" s="178" t="s">
        <v>127</v>
      </c>
      <c r="I585" s="159"/>
      <c r="J585" s="159"/>
      <c r="K585" s="159"/>
      <c r="M585" s="159"/>
      <c r="O585" s="157"/>
    </row>
    <row r="586">
      <c r="A586" s="172" t="s">
        <v>127</v>
      </c>
      <c r="B586" s="159"/>
      <c r="C586" s="173"/>
      <c r="D586" s="174"/>
      <c r="E586" s="175" t="s">
        <v>127</v>
      </c>
      <c r="F586" s="176" t="s">
        <v>127</v>
      </c>
      <c r="G586" s="177" t="str">
        <f>IFERROR(__xludf.DUMMYFUNCTION("""COMPUTED_VALUE"""),"")</f>
        <v/>
      </c>
      <c r="H586" s="178" t="s">
        <v>127</v>
      </c>
      <c r="I586" s="159"/>
      <c r="J586" s="159"/>
      <c r="K586" s="159"/>
      <c r="M586" s="159"/>
      <c r="O586" s="157"/>
    </row>
    <row r="587">
      <c r="A587" s="172" t="s">
        <v>127</v>
      </c>
      <c r="B587" s="159"/>
      <c r="C587" s="173"/>
      <c r="D587" s="174"/>
      <c r="E587" s="175" t="s">
        <v>127</v>
      </c>
      <c r="F587" s="176" t="s">
        <v>127</v>
      </c>
      <c r="G587" s="177" t="str">
        <f>IFERROR(__xludf.DUMMYFUNCTION("""COMPUTED_VALUE"""),"")</f>
        <v/>
      </c>
      <c r="H587" s="178" t="s">
        <v>127</v>
      </c>
      <c r="I587" s="159"/>
      <c r="J587" s="159"/>
      <c r="K587" s="159"/>
      <c r="M587" s="159"/>
      <c r="O587" s="157"/>
    </row>
    <row r="588">
      <c r="A588" s="172" t="s">
        <v>127</v>
      </c>
      <c r="B588" s="159"/>
      <c r="C588" s="173"/>
      <c r="D588" s="174"/>
      <c r="E588" s="175" t="s">
        <v>127</v>
      </c>
      <c r="F588" s="176" t="s">
        <v>127</v>
      </c>
      <c r="G588" s="177" t="str">
        <f>IFERROR(__xludf.DUMMYFUNCTION("""COMPUTED_VALUE"""),"")</f>
        <v/>
      </c>
      <c r="H588" s="178" t="s">
        <v>127</v>
      </c>
      <c r="I588" s="159"/>
      <c r="J588" s="159"/>
      <c r="K588" s="159"/>
      <c r="M588" s="159"/>
      <c r="O588" s="157"/>
    </row>
    <row r="589">
      <c r="A589" s="172" t="s">
        <v>127</v>
      </c>
      <c r="B589" s="159"/>
      <c r="C589" s="173"/>
      <c r="D589" s="174"/>
      <c r="E589" s="175" t="s">
        <v>127</v>
      </c>
      <c r="F589" s="176" t="s">
        <v>127</v>
      </c>
      <c r="G589" s="177" t="str">
        <f>IFERROR(__xludf.DUMMYFUNCTION("""COMPUTED_VALUE"""),"")</f>
        <v/>
      </c>
      <c r="H589" s="178" t="s">
        <v>127</v>
      </c>
      <c r="I589" s="159"/>
      <c r="J589" s="159"/>
      <c r="K589" s="159"/>
      <c r="M589" s="159"/>
      <c r="O589" s="157"/>
    </row>
    <row r="590">
      <c r="A590" s="172" t="s">
        <v>127</v>
      </c>
      <c r="B590" s="159"/>
      <c r="C590" s="173"/>
      <c r="D590" s="174"/>
      <c r="E590" s="175" t="s">
        <v>127</v>
      </c>
      <c r="F590" s="176" t="s">
        <v>127</v>
      </c>
      <c r="G590" s="177" t="str">
        <f>IFERROR(__xludf.DUMMYFUNCTION("""COMPUTED_VALUE"""),"")</f>
        <v/>
      </c>
      <c r="H590" s="178" t="s">
        <v>127</v>
      </c>
      <c r="I590" s="159"/>
      <c r="J590" s="159"/>
      <c r="K590" s="159"/>
      <c r="M590" s="159"/>
      <c r="O590" s="157"/>
    </row>
    <row r="591">
      <c r="A591" s="172" t="s">
        <v>127</v>
      </c>
      <c r="B591" s="159"/>
      <c r="C591" s="173"/>
      <c r="D591" s="174"/>
      <c r="E591" s="175" t="s">
        <v>127</v>
      </c>
      <c r="F591" s="176" t="s">
        <v>127</v>
      </c>
      <c r="G591" s="177" t="str">
        <f>IFERROR(__xludf.DUMMYFUNCTION("""COMPUTED_VALUE"""),"")</f>
        <v/>
      </c>
      <c r="H591" s="178" t="s">
        <v>127</v>
      </c>
      <c r="I591" s="159"/>
      <c r="J591" s="159"/>
      <c r="K591" s="159"/>
      <c r="M591" s="159"/>
      <c r="O591" s="157"/>
    </row>
    <row r="592">
      <c r="A592" s="172" t="s">
        <v>127</v>
      </c>
      <c r="B592" s="159"/>
      <c r="C592" s="173"/>
      <c r="D592" s="174"/>
      <c r="E592" s="175" t="s">
        <v>127</v>
      </c>
      <c r="F592" s="176" t="s">
        <v>127</v>
      </c>
      <c r="G592" s="177" t="str">
        <f>IFERROR(__xludf.DUMMYFUNCTION("""COMPUTED_VALUE"""),"")</f>
        <v/>
      </c>
      <c r="H592" s="178" t="s">
        <v>127</v>
      </c>
      <c r="I592" s="159"/>
      <c r="J592" s="159"/>
      <c r="K592" s="159"/>
      <c r="M592" s="159"/>
      <c r="O592" s="157"/>
    </row>
    <row r="593">
      <c r="A593" s="172" t="s">
        <v>127</v>
      </c>
      <c r="B593" s="159"/>
      <c r="C593" s="173"/>
      <c r="D593" s="174"/>
      <c r="E593" s="175" t="s">
        <v>127</v>
      </c>
      <c r="F593" s="176" t="s">
        <v>127</v>
      </c>
      <c r="G593" s="177" t="str">
        <f>IFERROR(__xludf.DUMMYFUNCTION("""COMPUTED_VALUE"""),"")</f>
        <v/>
      </c>
      <c r="H593" s="178" t="s">
        <v>127</v>
      </c>
      <c r="I593" s="159"/>
      <c r="J593" s="159"/>
      <c r="K593" s="159"/>
      <c r="M593" s="159"/>
      <c r="O593" s="157"/>
    </row>
    <row r="594">
      <c r="A594" s="172" t="s">
        <v>127</v>
      </c>
      <c r="B594" s="159"/>
      <c r="C594" s="173"/>
      <c r="D594" s="174"/>
      <c r="E594" s="175" t="s">
        <v>127</v>
      </c>
      <c r="F594" s="176" t="s">
        <v>127</v>
      </c>
      <c r="G594" s="177" t="str">
        <f>IFERROR(__xludf.DUMMYFUNCTION("""COMPUTED_VALUE"""),"")</f>
        <v/>
      </c>
      <c r="H594" s="178" t="s">
        <v>127</v>
      </c>
      <c r="I594" s="159"/>
      <c r="J594" s="159"/>
      <c r="K594" s="159"/>
      <c r="M594" s="159"/>
      <c r="O594" s="157"/>
    </row>
    <row r="595">
      <c r="A595" s="172" t="s">
        <v>127</v>
      </c>
      <c r="B595" s="159"/>
      <c r="C595" s="173"/>
      <c r="D595" s="174"/>
      <c r="E595" s="175" t="s">
        <v>127</v>
      </c>
      <c r="F595" s="176" t="s">
        <v>127</v>
      </c>
      <c r="G595" s="177" t="str">
        <f>IFERROR(__xludf.DUMMYFUNCTION("""COMPUTED_VALUE"""),"")</f>
        <v/>
      </c>
      <c r="H595" s="178" t="s">
        <v>127</v>
      </c>
      <c r="I595" s="159"/>
      <c r="J595" s="159"/>
      <c r="K595" s="159"/>
      <c r="M595" s="159"/>
      <c r="O595" s="157"/>
    </row>
    <row r="596">
      <c r="A596" s="172" t="s">
        <v>127</v>
      </c>
      <c r="B596" s="159"/>
      <c r="C596" s="173"/>
      <c r="D596" s="174"/>
      <c r="E596" s="175" t="s">
        <v>127</v>
      </c>
      <c r="F596" s="176" t="s">
        <v>127</v>
      </c>
      <c r="G596" s="177" t="str">
        <f>IFERROR(__xludf.DUMMYFUNCTION("""COMPUTED_VALUE"""),"")</f>
        <v/>
      </c>
      <c r="H596" s="178" t="s">
        <v>127</v>
      </c>
      <c r="I596" s="159"/>
      <c r="J596" s="159"/>
      <c r="K596" s="159"/>
      <c r="M596" s="159"/>
      <c r="O596" s="157"/>
    </row>
    <row r="597">
      <c r="A597" s="172" t="s">
        <v>127</v>
      </c>
      <c r="B597" s="159"/>
      <c r="C597" s="173"/>
      <c r="D597" s="174"/>
      <c r="E597" s="175" t="s">
        <v>127</v>
      </c>
      <c r="F597" s="176" t="s">
        <v>127</v>
      </c>
      <c r="G597" s="177" t="str">
        <f>IFERROR(__xludf.DUMMYFUNCTION("""COMPUTED_VALUE"""),"")</f>
        <v/>
      </c>
      <c r="H597" s="178" t="s">
        <v>127</v>
      </c>
      <c r="I597" s="159"/>
      <c r="J597" s="159"/>
      <c r="K597" s="159"/>
      <c r="M597" s="159"/>
      <c r="O597" s="157"/>
    </row>
    <row r="598">
      <c r="A598" s="172" t="s">
        <v>127</v>
      </c>
      <c r="B598" s="159"/>
      <c r="C598" s="173"/>
      <c r="D598" s="174"/>
      <c r="E598" s="175" t="s">
        <v>127</v>
      </c>
      <c r="F598" s="176" t="s">
        <v>127</v>
      </c>
      <c r="G598" s="177" t="str">
        <f>IFERROR(__xludf.DUMMYFUNCTION("""COMPUTED_VALUE"""),"")</f>
        <v/>
      </c>
      <c r="H598" s="178" t="s">
        <v>127</v>
      </c>
      <c r="I598" s="159"/>
      <c r="J598" s="159"/>
      <c r="K598" s="159"/>
      <c r="M598" s="159"/>
      <c r="O598" s="157"/>
    </row>
    <row r="599">
      <c r="A599" s="172" t="s">
        <v>127</v>
      </c>
      <c r="B599" s="159"/>
      <c r="C599" s="173"/>
      <c r="D599" s="174"/>
      <c r="E599" s="175" t="s">
        <v>127</v>
      </c>
      <c r="F599" s="176" t="s">
        <v>127</v>
      </c>
      <c r="G599" s="177" t="str">
        <f>IFERROR(__xludf.DUMMYFUNCTION("""COMPUTED_VALUE"""),"")</f>
        <v/>
      </c>
      <c r="H599" s="178" t="s">
        <v>127</v>
      </c>
      <c r="I599" s="159"/>
      <c r="J599" s="159"/>
      <c r="K599" s="159"/>
      <c r="M599" s="159"/>
      <c r="O599" s="157"/>
    </row>
    <row r="600">
      <c r="A600" s="172" t="s">
        <v>127</v>
      </c>
      <c r="B600" s="159"/>
      <c r="C600" s="173"/>
      <c r="D600" s="174"/>
      <c r="E600" s="175" t="s">
        <v>127</v>
      </c>
      <c r="F600" s="176" t="s">
        <v>127</v>
      </c>
      <c r="G600" s="177" t="str">
        <f>IFERROR(__xludf.DUMMYFUNCTION("""COMPUTED_VALUE"""),"")</f>
        <v/>
      </c>
      <c r="H600" s="178" t="s">
        <v>127</v>
      </c>
      <c r="I600" s="159"/>
      <c r="J600" s="159"/>
      <c r="K600" s="159"/>
      <c r="M600" s="159"/>
      <c r="O600" s="157"/>
    </row>
    <row r="601">
      <c r="A601" s="172" t="s">
        <v>127</v>
      </c>
      <c r="B601" s="159"/>
      <c r="C601" s="173"/>
      <c r="D601" s="174"/>
      <c r="E601" s="175" t="s">
        <v>127</v>
      </c>
      <c r="F601" s="176" t="s">
        <v>127</v>
      </c>
      <c r="G601" s="177" t="str">
        <f>IFERROR(__xludf.DUMMYFUNCTION("""COMPUTED_VALUE"""),"")</f>
        <v/>
      </c>
      <c r="H601" s="178" t="s">
        <v>127</v>
      </c>
      <c r="I601" s="159"/>
      <c r="J601" s="159"/>
      <c r="K601" s="159"/>
      <c r="M601" s="159"/>
      <c r="O601" s="157"/>
    </row>
    <row r="602">
      <c r="A602" s="172" t="s">
        <v>127</v>
      </c>
      <c r="B602" s="159"/>
      <c r="C602" s="173"/>
      <c r="D602" s="174"/>
      <c r="E602" s="175" t="s">
        <v>127</v>
      </c>
      <c r="F602" s="176" t="s">
        <v>127</v>
      </c>
      <c r="G602" s="177" t="str">
        <f>IFERROR(__xludf.DUMMYFUNCTION("""COMPUTED_VALUE"""),"")</f>
        <v/>
      </c>
      <c r="H602" s="178" t="s">
        <v>127</v>
      </c>
      <c r="I602" s="159"/>
      <c r="J602" s="159"/>
      <c r="K602" s="159"/>
      <c r="M602" s="159"/>
      <c r="O602" s="157"/>
    </row>
    <row r="603">
      <c r="A603" s="172" t="s">
        <v>127</v>
      </c>
      <c r="B603" s="159"/>
      <c r="C603" s="173"/>
      <c r="D603" s="174"/>
      <c r="E603" s="175" t="s">
        <v>127</v>
      </c>
      <c r="F603" s="176" t="s">
        <v>127</v>
      </c>
      <c r="G603" s="177" t="str">
        <f>IFERROR(__xludf.DUMMYFUNCTION("""COMPUTED_VALUE"""),"")</f>
        <v/>
      </c>
      <c r="H603" s="178" t="s">
        <v>127</v>
      </c>
      <c r="I603" s="159"/>
      <c r="J603" s="159"/>
      <c r="K603" s="159"/>
      <c r="M603" s="159"/>
      <c r="O603" s="157"/>
    </row>
    <row r="604">
      <c r="A604" s="172" t="s">
        <v>127</v>
      </c>
      <c r="B604" s="159"/>
      <c r="C604" s="173"/>
      <c r="D604" s="174"/>
      <c r="E604" s="175" t="s">
        <v>127</v>
      </c>
      <c r="F604" s="176" t="s">
        <v>127</v>
      </c>
      <c r="G604" s="177" t="str">
        <f>IFERROR(__xludf.DUMMYFUNCTION("""COMPUTED_VALUE"""),"")</f>
        <v/>
      </c>
      <c r="H604" s="178" t="s">
        <v>127</v>
      </c>
      <c r="I604" s="159"/>
      <c r="J604" s="159"/>
      <c r="K604" s="159"/>
      <c r="M604" s="159"/>
      <c r="O604" s="157"/>
    </row>
    <row r="605">
      <c r="A605" s="172" t="s">
        <v>127</v>
      </c>
      <c r="B605" s="159"/>
      <c r="C605" s="173"/>
      <c r="D605" s="174"/>
      <c r="E605" s="175" t="s">
        <v>127</v>
      </c>
      <c r="F605" s="176" t="s">
        <v>127</v>
      </c>
      <c r="G605" s="177" t="str">
        <f>IFERROR(__xludf.DUMMYFUNCTION("""COMPUTED_VALUE"""),"")</f>
        <v/>
      </c>
      <c r="H605" s="178" t="s">
        <v>127</v>
      </c>
      <c r="I605" s="159"/>
      <c r="J605" s="159"/>
      <c r="K605" s="159"/>
      <c r="M605" s="159"/>
      <c r="O605" s="157"/>
    </row>
    <row r="606">
      <c r="A606" s="172" t="s">
        <v>127</v>
      </c>
      <c r="B606" s="159"/>
      <c r="C606" s="173"/>
      <c r="D606" s="174"/>
      <c r="E606" s="175" t="s">
        <v>127</v>
      </c>
      <c r="F606" s="176" t="s">
        <v>127</v>
      </c>
      <c r="G606" s="177" t="str">
        <f>IFERROR(__xludf.DUMMYFUNCTION("""COMPUTED_VALUE"""),"")</f>
        <v/>
      </c>
      <c r="H606" s="178" t="s">
        <v>127</v>
      </c>
      <c r="I606" s="159"/>
      <c r="J606" s="159"/>
      <c r="K606" s="159"/>
      <c r="M606" s="159"/>
      <c r="O606" s="157"/>
    </row>
    <row r="607">
      <c r="A607" s="172" t="s">
        <v>127</v>
      </c>
      <c r="B607" s="159"/>
      <c r="C607" s="173"/>
      <c r="D607" s="174"/>
      <c r="E607" s="175" t="s">
        <v>127</v>
      </c>
      <c r="F607" s="176" t="s">
        <v>127</v>
      </c>
      <c r="G607" s="177" t="str">
        <f>IFERROR(__xludf.DUMMYFUNCTION("""COMPUTED_VALUE"""),"")</f>
        <v/>
      </c>
      <c r="H607" s="178" t="s">
        <v>127</v>
      </c>
      <c r="I607" s="159"/>
      <c r="J607" s="159"/>
      <c r="K607" s="159"/>
      <c r="M607" s="159"/>
      <c r="O607" s="157"/>
    </row>
    <row r="608">
      <c r="A608" s="172" t="s">
        <v>127</v>
      </c>
      <c r="B608" s="159"/>
      <c r="C608" s="173"/>
      <c r="D608" s="174"/>
      <c r="E608" s="175" t="s">
        <v>127</v>
      </c>
      <c r="F608" s="176" t="s">
        <v>127</v>
      </c>
      <c r="G608" s="177" t="str">
        <f>IFERROR(__xludf.DUMMYFUNCTION("""COMPUTED_VALUE"""),"")</f>
        <v/>
      </c>
      <c r="H608" s="178" t="s">
        <v>127</v>
      </c>
      <c r="I608" s="159"/>
      <c r="J608" s="159"/>
      <c r="K608" s="159"/>
      <c r="M608" s="159"/>
      <c r="O608" s="157"/>
    </row>
    <row r="609">
      <c r="A609" s="172" t="s">
        <v>127</v>
      </c>
      <c r="B609" s="159"/>
      <c r="C609" s="173"/>
      <c r="D609" s="174"/>
      <c r="E609" s="175" t="s">
        <v>127</v>
      </c>
      <c r="F609" s="176" t="s">
        <v>127</v>
      </c>
      <c r="G609" s="177" t="str">
        <f>IFERROR(__xludf.DUMMYFUNCTION("""COMPUTED_VALUE"""),"")</f>
        <v/>
      </c>
      <c r="H609" s="178" t="s">
        <v>127</v>
      </c>
      <c r="I609" s="159"/>
      <c r="J609" s="159"/>
      <c r="K609" s="159"/>
      <c r="M609" s="159"/>
      <c r="O609" s="157"/>
    </row>
    <row r="610">
      <c r="A610" s="172" t="s">
        <v>127</v>
      </c>
      <c r="B610" s="159"/>
      <c r="C610" s="173"/>
      <c r="D610" s="174"/>
      <c r="E610" s="175" t="s">
        <v>127</v>
      </c>
      <c r="F610" s="176" t="s">
        <v>127</v>
      </c>
      <c r="G610" s="177" t="str">
        <f>IFERROR(__xludf.DUMMYFUNCTION("""COMPUTED_VALUE"""),"")</f>
        <v/>
      </c>
      <c r="H610" s="178" t="s">
        <v>127</v>
      </c>
      <c r="I610" s="159"/>
      <c r="J610" s="159"/>
      <c r="K610" s="159"/>
      <c r="M610" s="159"/>
      <c r="O610" s="157"/>
    </row>
    <row r="611">
      <c r="A611" s="172" t="s">
        <v>127</v>
      </c>
      <c r="B611" s="159"/>
      <c r="C611" s="173"/>
      <c r="D611" s="174"/>
      <c r="E611" s="175" t="s">
        <v>127</v>
      </c>
      <c r="F611" s="176" t="s">
        <v>127</v>
      </c>
      <c r="G611" s="177" t="str">
        <f>IFERROR(__xludf.DUMMYFUNCTION("""COMPUTED_VALUE"""),"")</f>
        <v/>
      </c>
      <c r="H611" s="178" t="s">
        <v>127</v>
      </c>
      <c r="I611" s="159"/>
      <c r="J611" s="159"/>
      <c r="K611" s="159"/>
      <c r="M611" s="159"/>
      <c r="O611" s="157"/>
    </row>
    <row r="612">
      <c r="A612" s="172" t="s">
        <v>127</v>
      </c>
      <c r="B612" s="159"/>
      <c r="C612" s="173"/>
      <c r="D612" s="174"/>
      <c r="E612" s="175" t="s">
        <v>127</v>
      </c>
      <c r="F612" s="176" t="s">
        <v>127</v>
      </c>
      <c r="G612" s="177" t="str">
        <f>IFERROR(__xludf.DUMMYFUNCTION("""COMPUTED_VALUE"""),"")</f>
        <v/>
      </c>
      <c r="H612" s="178" t="s">
        <v>127</v>
      </c>
      <c r="I612" s="159"/>
      <c r="J612" s="159"/>
      <c r="K612" s="159"/>
      <c r="M612" s="159"/>
      <c r="O612" s="157"/>
    </row>
    <row r="613">
      <c r="A613" s="172" t="s">
        <v>127</v>
      </c>
      <c r="B613" s="159"/>
      <c r="C613" s="173"/>
      <c r="D613" s="174"/>
      <c r="E613" s="175" t="s">
        <v>127</v>
      </c>
      <c r="F613" s="176" t="s">
        <v>127</v>
      </c>
      <c r="G613" s="177" t="str">
        <f>IFERROR(__xludf.DUMMYFUNCTION("""COMPUTED_VALUE"""),"")</f>
        <v/>
      </c>
      <c r="H613" s="178" t="s">
        <v>127</v>
      </c>
      <c r="I613" s="159"/>
      <c r="J613" s="159"/>
      <c r="K613" s="159"/>
      <c r="M613" s="159"/>
      <c r="O613" s="157"/>
    </row>
    <row r="614">
      <c r="A614" s="172" t="s">
        <v>127</v>
      </c>
      <c r="B614" s="159"/>
      <c r="C614" s="173"/>
      <c r="D614" s="174"/>
      <c r="E614" s="175" t="s">
        <v>127</v>
      </c>
      <c r="F614" s="176" t="s">
        <v>127</v>
      </c>
      <c r="G614" s="177" t="str">
        <f>IFERROR(__xludf.DUMMYFUNCTION("""COMPUTED_VALUE"""),"")</f>
        <v/>
      </c>
      <c r="H614" s="178" t="s">
        <v>127</v>
      </c>
      <c r="I614" s="159"/>
      <c r="J614" s="159"/>
      <c r="K614" s="159"/>
      <c r="M614" s="159"/>
      <c r="O614" s="157"/>
    </row>
    <row r="615">
      <c r="A615" s="172" t="s">
        <v>127</v>
      </c>
      <c r="B615" s="159"/>
      <c r="C615" s="173"/>
      <c r="D615" s="174"/>
      <c r="E615" s="175" t="s">
        <v>127</v>
      </c>
      <c r="F615" s="176" t="s">
        <v>127</v>
      </c>
      <c r="G615" s="177" t="str">
        <f>IFERROR(__xludf.DUMMYFUNCTION("""COMPUTED_VALUE"""),"")</f>
        <v/>
      </c>
      <c r="H615" s="178" t="s">
        <v>127</v>
      </c>
      <c r="I615" s="159"/>
      <c r="J615" s="159"/>
      <c r="K615" s="159"/>
      <c r="M615" s="159"/>
      <c r="O615" s="157"/>
    </row>
    <row r="616">
      <c r="A616" s="172" t="s">
        <v>127</v>
      </c>
      <c r="B616" s="159"/>
      <c r="C616" s="173"/>
      <c r="D616" s="174"/>
      <c r="E616" s="175" t="s">
        <v>127</v>
      </c>
      <c r="F616" s="176" t="s">
        <v>127</v>
      </c>
      <c r="G616" s="177" t="str">
        <f>IFERROR(__xludf.DUMMYFUNCTION("""COMPUTED_VALUE"""),"")</f>
        <v/>
      </c>
      <c r="H616" s="178" t="s">
        <v>127</v>
      </c>
      <c r="I616" s="159"/>
      <c r="J616" s="159"/>
      <c r="K616" s="159"/>
      <c r="M616" s="159"/>
      <c r="O616" s="157"/>
    </row>
    <row r="617">
      <c r="A617" s="172" t="s">
        <v>127</v>
      </c>
      <c r="B617" s="159"/>
      <c r="C617" s="173"/>
      <c r="D617" s="174"/>
      <c r="E617" s="175" t="s">
        <v>127</v>
      </c>
      <c r="F617" s="176" t="s">
        <v>127</v>
      </c>
      <c r="G617" s="177" t="str">
        <f>IFERROR(__xludf.DUMMYFUNCTION("""COMPUTED_VALUE"""),"")</f>
        <v/>
      </c>
      <c r="H617" s="178" t="s">
        <v>127</v>
      </c>
      <c r="I617" s="159"/>
      <c r="J617" s="159"/>
      <c r="K617" s="159"/>
      <c r="M617" s="159"/>
      <c r="O617" s="157"/>
    </row>
    <row r="618">
      <c r="A618" s="172" t="s">
        <v>127</v>
      </c>
      <c r="B618" s="159"/>
      <c r="C618" s="173"/>
      <c r="D618" s="174"/>
      <c r="E618" s="175" t="s">
        <v>127</v>
      </c>
      <c r="F618" s="176" t="s">
        <v>127</v>
      </c>
      <c r="G618" s="177" t="str">
        <f>IFERROR(__xludf.DUMMYFUNCTION("""COMPUTED_VALUE"""),"")</f>
        <v/>
      </c>
      <c r="H618" s="178" t="s">
        <v>127</v>
      </c>
      <c r="I618" s="159"/>
      <c r="J618" s="159"/>
      <c r="K618" s="159"/>
      <c r="M618" s="159"/>
      <c r="O618" s="157"/>
    </row>
    <row r="619">
      <c r="A619" s="172" t="s">
        <v>127</v>
      </c>
      <c r="B619" s="159"/>
      <c r="C619" s="173"/>
      <c r="D619" s="174"/>
      <c r="E619" s="175" t="s">
        <v>127</v>
      </c>
      <c r="F619" s="176" t="s">
        <v>127</v>
      </c>
      <c r="G619" s="177" t="str">
        <f>IFERROR(__xludf.DUMMYFUNCTION("""COMPUTED_VALUE"""),"")</f>
        <v/>
      </c>
      <c r="H619" s="178" t="s">
        <v>127</v>
      </c>
      <c r="I619" s="159"/>
      <c r="J619" s="159"/>
      <c r="K619" s="159"/>
      <c r="M619" s="159"/>
      <c r="O619" s="157"/>
    </row>
    <row r="620">
      <c r="A620" s="172" t="s">
        <v>127</v>
      </c>
      <c r="B620" s="159"/>
      <c r="C620" s="173"/>
      <c r="D620" s="174"/>
      <c r="E620" s="175" t="s">
        <v>127</v>
      </c>
      <c r="F620" s="176" t="s">
        <v>127</v>
      </c>
      <c r="G620" s="177" t="str">
        <f>IFERROR(__xludf.DUMMYFUNCTION("""COMPUTED_VALUE"""),"")</f>
        <v/>
      </c>
      <c r="H620" s="178" t="s">
        <v>127</v>
      </c>
      <c r="I620" s="159"/>
      <c r="J620" s="159"/>
      <c r="K620" s="159"/>
      <c r="M620" s="159"/>
      <c r="O620" s="157"/>
    </row>
    <row r="621">
      <c r="A621" s="172" t="s">
        <v>127</v>
      </c>
      <c r="B621" s="159"/>
      <c r="C621" s="173"/>
      <c r="D621" s="174"/>
      <c r="E621" s="175" t="s">
        <v>127</v>
      </c>
      <c r="F621" s="176" t="s">
        <v>127</v>
      </c>
      <c r="G621" s="177" t="str">
        <f>IFERROR(__xludf.DUMMYFUNCTION("""COMPUTED_VALUE"""),"")</f>
        <v/>
      </c>
      <c r="H621" s="178" t="s">
        <v>127</v>
      </c>
      <c r="I621" s="159"/>
      <c r="J621" s="159"/>
      <c r="K621" s="159"/>
      <c r="M621" s="159"/>
      <c r="O621" s="157"/>
    </row>
    <row r="622">
      <c r="A622" s="172" t="s">
        <v>127</v>
      </c>
      <c r="B622" s="159"/>
      <c r="C622" s="173"/>
      <c r="D622" s="174"/>
      <c r="E622" s="175" t="s">
        <v>127</v>
      </c>
      <c r="F622" s="176" t="s">
        <v>127</v>
      </c>
      <c r="G622" s="177" t="str">
        <f>IFERROR(__xludf.DUMMYFUNCTION("""COMPUTED_VALUE"""),"")</f>
        <v/>
      </c>
      <c r="H622" s="178" t="s">
        <v>127</v>
      </c>
      <c r="I622" s="159"/>
      <c r="J622" s="159"/>
      <c r="K622" s="159"/>
      <c r="M622" s="159"/>
      <c r="O622" s="157"/>
    </row>
    <row r="623">
      <c r="A623" s="172" t="s">
        <v>127</v>
      </c>
      <c r="B623" s="159"/>
      <c r="C623" s="173"/>
      <c r="D623" s="174"/>
      <c r="E623" s="175" t="s">
        <v>127</v>
      </c>
      <c r="F623" s="176" t="s">
        <v>127</v>
      </c>
      <c r="G623" s="177" t="str">
        <f>IFERROR(__xludf.DUMMYFUNCTION("""COMPUTED_VALUE"""),"")</f>
        <v/>
      </c>
      <c r="H623" s="178" t="s">
        <v>127</v>
      </c>
      <c r="I623" s="159"/>
      <c r="J623" s="159"/>
      <c r="K623" s="159"/>
      <c r="M623" s="159"/>
      <c r="O623" s="157"/>
    </row>
    <row r="624">
      <c r="A624" s="172" t="s">
        <v>127</v>
      </c>
      <c r="B624" s="159"/>
      <c r="C624" s="173"/>
      <c r="D624" s="174"/>
      <c r="E624" s="175" t="s">
        <v>127</v>
      </c>
      <c r="F624" s="176" t="s">
        <v>127</v>
      </c>
      <c r="G624" s="177" t="str">
        <f>IFERROR(__xludf.DUMMYFUNCTION("""COMPUTED_VALUE"""),"")</f>
        <v/>
      </c>
      <c r="H624" s="178" t="s">
        <v>127</v>
      </c>
      <c r="I624" s="159"/>
      <c r="J624" s="159"/>
      <c r="K624" s="159"/>
      <c r="M624" s="159"/>
      <c r="O624" s="157"/>
    </row>
    <row r="625">
      <c r="A625" s="172" t="s">
        <v>127</v>
      </c>
      <c r="B625" s="159"/>
      <c r="C625" s="173"/>
      <c r="D625" s="174"/>
      <c r="E625" s="175" t="s">
        <v>127</v>
      </c>
      <c r="F625" s="176" t="s">
        <v>127</v>
      </c>
      <c r="G625" s="177" t="str">
        <f>IFERROR(__xludf.DUMMYFUNCTION("""COMPUTED_VALUE"""),"")</f>
        <v/>
      </c>
      <c r="H625" s="178" t="s">
        <v>127</v>
      </c>
      <c r="I625" s="159"/>
      <c r="J625" s="159"/>
      <c r="K625" s="159"/>
      <c r="M625" s="159"/>
      <c r="O625" s="157"/>
    </row>
    <row r="626">
      <c r="A626" s="172" t="s">
        <v>127</v>
      </c>
      <c r="B626" s="159"/>
      <c r="C626" s="173"/>
      <c r="D626" s="174"/>
      <c r="E626" s="175" t="s">
        <v>127</v>
      </c>
      <c r="F626" s="176" t="s">
        <v>127</v>
      </c>
      <c r="G626" s="177" t="str">
        <f>IFERROR(__xludf.DUMMYFUNCTION("""COMPUTED_VALUE"""),"")</f>
        <v/>
      </c>
      <c r="H626" s="178" t="s">
        <v>127</v>
      </c>
      <c r="I626" s="159"/>
      <c r="J626" s="159"/>
      <c r="K626" s="159"/>
      <c r="M626" s="159"/>
      <c r="O626" s="157"/>
    </row>
    <row r="627">
      <c r="A627" s="172" t="s">
        <v>127</v>
      </c>
      <c r="B627" s="159"/>
      <c r="C627" s="173"/>
      <c r="D627" s="174"/>
      <c r="E627" s="175" t="s">
        <v>127</v>
      </c>
      <c r="F627" s="176" t="s">
        <v>127</v>
      </c>
      <c r="G627" s="177" t="str">
        <f>IFERROR(__xludf.DUMMYFUNCTION("""COMPUTED_VALUE"""),"")</f>
        <v/>
      </c>
      <c r="H627" s="178" t="s">
        <v>127</v>
      </c>
      <c r="I627" s="159"/>
      <c r="J627" s="159"/>
      <c r="K627" s="159"/>
      <c r="M627" s="159"/>
      <c r="O627" s="157"/>
    </row>
    <row r="628">
      <c r="A628" s="172" t="s">
        <v>127</v>
      </c>
      <c r="B628" s="159"/>
      <c r="C628" s="173"/>
      <c r="D628" s="174"/>
      <c r="E628" s="175" t="s">
        <v>127</v>
      </c>
      <c r="F628" s="176" t="s">
        <v>127</v>
      </c>
      <c r="G628" s="177" t="str">
        <f>IFERROR(__xludf.DUMMYFUNCTION("""COMPUTED_VALUE"""),"")</f>
        <v/>
      </c>
      <c r="H628" s="178" t="s">
        <v>127</v>
      </c>
      <c r="I628" s="159"/>
      <c r="J628" s="159"/>
      <c r="K628" s="159"/>
      <c r="M628" s="159"/>
      <c r="O628" s="157"/>
    </row>
    <row r="629">
      <c r="A629" s="172" t="s">
        <v>127</v>
      </c>
      <c r="B629" s="159"/>
      <c r="C629" s="173"/>
      <c r="D629" s="174"/>
      <c r="E629" s="175" t="s">
        <v>127</v>
      </c>
      <c r="F629" s="176" t="s">
        <v>127</v>
      </c>
      <c r="G629" s="177" t="str">
        <f>IFERROR(__xludf.DUMMYFUNCTION("""COMPUTED_VALUE"""),"")</f>
        <v/>
      </c>
      <c r="H629" s="178" t="s">
        <v>127</v>
      </c>
      <c r="I629" s="159"/>
      <c r="J629" s="159"/>
      <c r="K629" s="159"/>
      <c r="M629" s="159"/>
      <c r="O629" s="157"/>
    </row>
    <row r="630">
      <c r="A630" s="172" t="s">
        <v>127</v>
      </c>
      <c r="B630" s="159"/>
      <c r="C630" s="173"/>
      <c r="D630" s="174"/>
      <c r="E630" s="175" t="s">
        <v>127</v>
      </c>
      <c r="F630" s="176" t="s">
        <v>127</v>
      </c>
      <c r="G630" s="177" t="str">
        <f>IFERROR(__xludf.DUMMYFUNCTION("""COMPUTED_VALUE"""),"")</f>
        <v/>
      </c>
      <c r="H630" s="178" t="s">
        <v>127</v>
      </c>
      <c r="I630" s="159"/>
      <c r="J630" s="159"/>
      <c r="K630" s="159"/>
      <c r="M630" s="159"/>
      <c r="O630" s="157"/>
    </row>
    <row r="631">
      <c r="A631" s="172" t="s">
        <v>127</v>
      </c>
      <c r="B631" s="159"/>
      <c r="C631" s="173"/>
      <c r="D631" s="174"/>
      <c r="E631" s="175" t="s">
        <v>127</v>
      </c>
      <c r="F631" s="176" t="s">
        <v>127</v>
      </c>
      <c r="G631" s="177" t="str">
        <f>IFERROR(__xludf.DUMMYFUNCTION("""COMPUTED_VALUE"""),"")</f>
        <v/>
      </c>
      <c r="H631" s="178" t="s">
        <v>127</v>
      </c>
      <c r="I631" s="159"/>
      <c r="J631" s="159"/>
      <c r="K631" s="159"/>
      <c r="M631" s="159"/>
      <c r="O631" s="157"/>
    </row>
    <row r="632">
      <c r="A632" s="172" t="s">
        <v>127</v>
      </c>
      <c r="B632" s="159"/>
      <c r="C632" s="173"/>
      <c r="D632" s="174"/>
      <c r="E632" s="175" t="s">
        <v>127</v>
      </c>
      <c r="F632" s="176" t="s">
        <v>127</v>
      </c>
      <c r="G632" s="177" t="str">
        <f>IFERROR(__xludf.DUMMYFUNCTION("""COMPUTED_VALUE"""),"")</f>
        <v/>
      </c>
      <c r="H632" s="178" t="s">
        <v>127</v>
      </c>
      <c r="I632" s="159"/>
      <c r="J632" s="159"/>
      <c r="K632" s="159"/>
      <c r="M632" s="159"/>
      <c r="O632" s="157"/>
    </row>
    <row r="633">
      <c r="A633" s="172" t="s">
        <v>127</v>
      </c>
      <c r="B633" s="159"/>
      <c r="C633" s="173"/>
      <c r="D633" s="174"/>
      <c r="E633" s="175" t="s">
        <v>127</v>
      </c>
      <c r="F633" s="176" t="s">
        <v>127</v>
      </c>
      <c r="G633" s="177" t="str">
        <f>IFERROR(__xludf.DUMMYFUNCTION("""COMPUTED_VALUE"""),"")</f>
        <v/>
      </c>
      <c r="H633" s="178" t="s">
        <v>127</v>
      </c>
      <c r="I633" s="159"/>
      <c r="J633" s="159"/>
      <c r="K633" s="159"/>
      <c r="M633" s="159"/>
      <c r="O633" s="157"/>
    </row>
    <row r="634">
      <c r="A634" s="172" t="s">
        <v>127</v>
      </c>
      <c r="B634" s="159"/>
      <c r="C634" s="173"/>
      <c r="D634" s="174"/>
      <c r="E634" s="175" t="s">
        <v>127</v>
      </c>
      <c r="F634" s="176" t="s">
        <v>127</v>
      </c>
      <c r="G634" s="177" t="str">
        <f>IFERROR(__xludf.DUMMYFUNCTION("""COMPUTED_VALUE"""),"")</f>
        <v/>
      </c>
      <c r="H634" s="178" t="s">
        <v>127</v>
      </c>
      <c r="I634" s="159"/>
      <c r="J634" s="159"/>
      <c r="K634" s="159"/>
      <c r="M634" s="159"/>
      <c r="O634" s="157"/>
    </row>
    <row r="635">
      <c r="A635" s="172" t="s">
        <v>127</v>
      </c>
      <c r="B635" s="159"/>
      <c r="C635" s="173"/>
      <c r="D635" s="174"/>
      <c r="E635" s="175" t="s">
        <v>127</v>
      </c>
      <c r="F635" s="176" t="s">
        <v>127</v>
      </c>
      <c r="G635" s="177" t="str">
        <f>IFERROR(__xludf.DUMMYFUNCTION("""COMPUTED_VALUE"""),"")</f>
        <v/>
      </c>
      <c r="H635" s="178" t="s">
        <v>127</v>
      </c>
      <c r="I635" s="159"/>
      <c r="J635" s="159"/>
      <c r="K635" s="159"/>
      <c r="M635" s="159"/>
      <c r="O635" s="157"/>
    </row>
    <row r="636">
      <c r="A636" s="172" t="s">
        <v>127</v>
      </c>
      <c r="B636" s="159"/>
      <c r="C636" s="173"/>
      <c r="D636" s="174"/>
      <c r="E636" s="175" t="s">
        <v>127</v>
      </c>
      <c r="F636" s="176" t="s">
        <v>127</v>
      </c>
      <c r="G636" s="177" t="str">
        <f>IFERROR(__xludf.DUMMYFUNCTION("""COMPUTED_VALUE"""),"")</f>
        <v/>
      </c>
      <c r="H636" s="178" t="s">
        <v>127</v>
      </c>
      <c r="I636" s="159"/>
      <c r="J636" s="159"/>
      <c r="K636" s="159"/>
      <c r="M636" s="159"/>
      <c r="O636" s="157"/>
    </row>
    <row r="637">
      <c r="A637" s="172" t="s">
        <v>127</v>
      </c>
      <c r="B637" s="159"/>
      <c r="C637" s="173"/>
      <c r="D637" s="174"/>
      <c r="E637" s="175" t="s">
        <v>127</v>
      </c>
      <c r="F637" s="176" t="s">
        <v>127</v>
      </c>
      <c r="G637" s="177" t="str">
        <f>IFERROR(__xludf.DUMMYFUNCTION("""COMPUTED_VALUE"""),"")</f>
        <v/>
      </c>
      <c r="H637" s="178" t="s">
        <v>127</v>
      </c>
      <c r="I637" s="159"/>
      <c r="J637" s="159"/>
      <c r="K637" s="159"/>
      <c r="M637" s="159"/>
      <c r="O637" s="157"/>
    </row>
    <row r="638">
      <c r="A638" s="172" t="s">
        <v>127</v>
      </c>
      <c r="B638" s="159"/>
      <c r="C638" s="173"/>
      <c r="D638" s="174"/>
      <c r="E638" s="175" t="s">
        <v>127</v>
      </c>
      <c r="F638" s="176" t="s">
        <v>127</v>
      </c>
      <c r="G638" s="177" t="str">
        <f>IFERROR(__xludf.DUMMYFUNCTION("""COMPUTED_VALUE"""),"")</f>
        <v/>
      </c>
      <c r="H638" s="178" t="s">
        <v>127</v>
      </c>
      <c r="I638" s="159"/>
      <c r="J638" s="159"/>
      <c r="K638" s="159"/>
      <c r="M638" s="159"/>
      <c r="O638" s="157"/>
    </row>
    <row r="639">
      <c r="A639" s="172" t="s">
        <v>127</v>
      </c>
      <c r="B639" s="159"/>
      <c r="C639" s="173"/>
      <c r="D639" s="174"/>
      <c r="E639" s="175" t="s">
        <v>127</v>
      </c>
      <c r="F639" s="176" t="s">
        <v>127</v>
      </c>
      <c r="G639" s="177" t="str">
        <f>IFERROR(__xludf.DUMMYFUNCTION("""COMPUTED_VALUE"""),"")</f>
        <v/>
      </c>
      <c r="H639" s="178" t="s">
        <v>127</v>
      </c>
      <c r="I639" s="159"/>
      <c r="J639" s="159"/>
      <c r="K639" s="159"/>
      <c r="M639" s="159"/>
      <c r="O639" s="157"/>
    </row>
    <row r="640">
      <c r="A640" s="172" t="s">
        <v>127</v>
      </c>
      <c r="B640" s="159"/>
      <c r="C640" s="173"/>
      <c r="D640" s="174"/>
      <c r="E640" s="175" t="s">
        <v>127</v>
      </c>
      <c r="F640" s="176" t="s">
        <v>127</v>
      </c>
      <c r="G640" s="177" t="str">
        <f>IFERROR(__xludf.DUMMYFUNCTION("""COMPUTED_VALUE"""),"")</f>
        <v/>
      </c>
      <c r="H640" s="178" t="s">
        <v>127</v>
      </c>
      <c r="I640" s="159"/>
      <c r="J640" s="159"/>
      <c r="K640" s="159"/>
      <c r="M640" s="159"/>
      <c r="O640" s="157"/>
    </row>
    <row r="641">
      <c r="A641" s="172" t="s">
        <v>127</v>
      </c>
      <c r="B641" s="159"/>
      <c r="C641" s="173"/>
      <c r="D641" s="174"/>
      <c r="E641" s="175" t="s">
        <v>127</v>
      </c>
      <c r="F641" s="176" t="s">
        <v>127</v>
      </c>
      <c r="G641" s="177" t="str">
        <f>IFERROR(__xludf.DUMMYFUNCTION("""COMPUTED_VALUE"""),"")</f>
        <v/>
      </c>
      <c r="H641" s="178" t="s">
        <v>127</v>
      </c>
      <c r="I641" s="159"/>
      <c r="J641" s="159"/>
      <c r="K641" s="159"/>
      <c r="M641" s="159"/>
      <c r="O641" s="157"/>
    </row>
    <row r="642">
      <c r="A642" s="172" t="s">
        <v>127</v>
      </c>
      <c r="B642" s="159"/>
      <c r="C642" s="173"/>
      <c r="D642" s="174"/>
      <c r="E642" s="175" t="s">
        <v>127</v>
      </c>
      <c r="F642" s="176" t="s">
        <v>127</v>
      </c>
      <c r="G642" s="177" t="str">
        <f>IFERROR(__xludf.DUMMYFUNCTION("""COMPUTED_VALUE"""),"")</f>
        <v/>
      </c>
      <c r="H642" s="178" t="s">
        <v>127</v>
      </c>
      <c r="I642" s="159"/>
      <c r="J642" s="159"/>
      <c r="K642" s="159"/>
      <c r="M642" s="159"/>
      <c r="O642" s="157"/>
    </row>
    <row r="643">
      <c r="A643" s="172" t="s">
        <v>127</v>
      </c>
      <c r="B643" s="159"/>
      <c r="C643" s="173"/>
      <c r="D643" s="174"/>
      <c r="E643" s="175" t="s">
        <v>127</v>
      </c>
      <c r="F643" s="176" t="s">
        <v>127</v>
      </c>
      <c r="G643" s="177" t="str">
        <f>IFERROR(__xludf.DUMMYFUNCTION("""COMPUTED_VALUE"""),"")</f>
        <v/>
      </c>
      <c r="H643" s="178" t="s">
        <v>127</v>
      </c>
      <c r="I643" s="159"/>
      <c r="J643" s="159"/>
      <c r="K643" s="159"/>
      <c r="M643" s="159"/>
      <c r="O643" s="157"/>
    </row>
    <row r="644">
      <c r="A644" s="172" t="s">
        <v>127</v>
      </c>
      <c r="B644" s="159"/>
      <c r="C644" s="173"/>
      <c r="D644" s="174"/>
      <c r="E644" s="175" t="s">
        <v>127</v>
      </c>
      <c r="F644" s="176" t="s">
        <v>127</v>
      </c>
      <c r="G644" s="177" t="str">
        <f>IFERROR(__xludf.DUMMYFUNCTION("""COMPUTED_VALUE"""),"")</f>
        <v/>
      </c>
      <c r="H644" s="178" t="s">
        <v>127</v>
      </c>
      <c r="I644" s="159"/>
      <c r="J644" s="159"/>
      <c r="K644" s="159"/>
      <c r="M644" s="159"/>
      <c r="O644" s="157"/>
    </row>
    <row r="645">
      <c r="A645" s="172" t="s">
        <v>127</v>
      </c>
      <c r="B645" s="159"/>
      <c r="C645" s="173"/>
      <c r="D645" s="174"/>
      <c r="E645" s="175" t="s">
        <v>127</v>
      </c>
      <c r="F645" s="176" t="s">
        <v>127</v>
      </c>
      <c r="G645" s="177" t="str">
        <f>IFERROR(__xludf.DUMMYFUNCTION("""COMPUTED_VALUE"""),"")</f>
        <v/>
      </c>
      <c r="H645" s="178" t="s">
        <v>127</v>
      </c>
      <c r="I645" s="159"/>
      <c r="J645" s="159"/>
      <c r="K645" s="159"/>
      <c r="M645" s="159"/>
      <c r="O645" s="157"/>
    </row>
    <row r="646">
      <c r="A646" s="172" t="s">
        <v>127</v>
      </c>
      <c r="B646" s="159"/>
      <c r="C646" s="173"/>
      <c r="D646" s="174"/>
      <c r="E646" s="175" t="s">
        <v>127</v>
      </c>
      <c r="F646" s="176" t="s">
        <v>127</v>
      </c>
      <c r="G646" s="177" t="str">
        <f>IFERROR(__xludf.DUMMYFUNCTION("""COMPUTED_VALUE"""),"")</f>
        <v/>
      </c>
      <c r="H646" s="178" t="s">
        <v>127</v>
      </c>
      <c r="I646" s="159"/>
      <c r="J646" s="159"/>
      <c r="K646" s="159"/>
      <c r="M646" s="159"/>
      <c r="O646" s="157"/>
    </row>
    <row r="647">
      <c r="A647" s="172" t="s">
        <v>127</v>
      </c>
      <c r="B647" s="159"/>
      <c r="C647" s="173"/>
      <c r="D647" s="174"/>
      <c r="E647" s="175" t="s">
        <v>127</v>
      </c>
      <c r="F647" s="176" t="s">
        <v>127</v>
      </c>
      <c r="G647" s="177" t="str">
        <f>IFERROR(__xludf.DUMMYFUNCTION("""COMPUTED_VALUE"""),"")</f>
        <v/>
      </c>
      <c r="H647" s="178" t="s">
        <v>127</v>
      </c>
      <c r="I647" s="159"/>
      <c r="J647" s="159"/>
      <c r="K647" s="159"/>
      <c r="M647" s="159"/>
      <c r="O647" s="157"/>
    </row>
    <row r="648">
      <c r="A648" s="172" t="s">
        <v>127</v>
      </c>
      <c r="B648" s="159"/>
      <c r="C648" s="173"/>
      <c r="D648" s="174"/>
      <c r="E648" s="175" t="s">
        <v>127</v>
      </c>
      <c r="F648" s="176" t="s">
        <v>127</v>
      </c>
      <c r="G648" s="177" t="str">
        <f>IFERROR(__xludf.DUMMYFUNCTION("""COMPUTED_VALUE"""),"")</f>
        <v/>
      </c>
      <c r="H648" s="178" t="s">
        <v>127</v>
      </c>
      <c r="I648" s="159"/>
      <c r="J648" s="159"/>
      <c r="K648" s="159"/>
      <c r="M648" s="159"/>
      <c r="O648" s="157"/>
    </row>
    <row r="649">
      <c r="A649" s="172" t="s">
        <v>127</v>
      </c>
      <c r="B649" s="159"/>
      <c r="C649" s="173"/>
      <c r="D649" s="174"/>
      <c r="E649" s="175" t="s">
        <v>127</v>
      </c>
      <c r="F649" s="176" t="s">
        <v>127</v>
      </c>
      <c r="G649" s="177" t="str">
        <f>IFERROR(__xludf.DUMMYFUNCTION("""COMPUTED_VALUE"""),"")</f>
        <v/>
      </c>
      <c r="H649" s="178" t="s">
        <v>127</v>
      </c>
      <c r="I649" s="159"/>
      <c r="J649" s="159"/>
      <c r="K649" s="159"/>
      <c r="M649" s="159"/>
      <c r="O649" s="157"/>
    </row>
    <row r="650">
      <c r="A650" s="172" t="s">
        <v>127</v>
      </c>
      <c r="B650" s="159"/>
      <c r="C650" s="173"/>
      <c r="D650" s="174"/>
      <c r="E650" s="175" t="s">
        <v>127</v>
      </c>
      <c r="F650" s="176" t="s">
        <v>127</v>
      </c>
      <c r="G650" s="177" t="str">
        <f>IFERROR(__xludf.DUMMYFUNCTION("""COMPUTED_VALUE"""),"")</f>
        <v/>
      </c>
      <c r="H650" s="178" t="s">
        <v>127</v>
      </c>
      <c r="I650" s="159"/>
      <c r="J650" s="159"/>
      <c r="K650" s="159"/>
      <c r="M650" s="159"/>
      <c r="O650" s="157"/>
    </row>
    <row r="651">
      <c r="A651" s="172" t="s">
        <v>127</v>
      </c>
      <c r="B651" s="159"/>
      <c r="C651" s="173"/>
      <c r="D651" s="174"/>
      <c r="E651" s="175" t="s">
        <v>127</v>
      </c>
      <c r="F651" s="176" t="s">
        <v>127</v>
      </c>
      <c r="G651" s="177" t="str">
        <f>IFERROR(__xludf.DUMMYFUNCTION("""COMPUTED_VALUE"""),"")</f>
        <v/>
      </c>
      <c r="H651" s="178" t="s">
        <v>127</v>
      </c>
      <c r="I651" s="159"/>
      <c r="J651" s="159"/>
      <c r="K651" s="159"/>
      <c r="M651" s="159"/>
      <c r="O651" s="157"/>
    </row>
    <row r="652">
      <c r="A652" s="172" t="s">
        <v>127</v>
      </c>
      <c r="B652" s="159"/>
      <c r="C652" s="173"/>
      <c r="D652" s="174"/>
      <c r="E652" s="175" t="s">
        <v>127</v>
      </c>
      <c r="F652" s="176" t="s">
        <v>127</v>
      </c>
      <c r="G652" s="177" t="str">
        <f>IFERROR(__xludf.DUMMYFUNCTION("""COMPUTED_VALUE"""),"")</f>
        <v/>
      </c>
      <c r="H652" s="178" t="s">
        <v>127</v>
      </c>
      <c r="I652" s="159"/>
      <c r="J652" s="159"/>
      <c r="K652" s="159"/>
      <c r="M652" s="159"/>
      <c r="O652" s="157"/>
    </row>
    <row r="653">
      <c r="A653" s="172" t="s">
        <v>127</v>
      </c>
      <c r="B653" s="159"/>
      <c r="C653" s="173"/>
      <c r="D653" s="174"/>
      <c r="E653" s="175" t="s">
        <v>127</v>
      </c>
      <c r="F653" s="176" t="s">
        <v>127</v>
      </c>
      <c r="G653" s="177" t="str">
        <f>IFERROR(__xludf.DUMMYFUNCTION("""COMPUTED_VALUE"""),"")</f>
        <v/>
      </c>
      <c r="H653" s="178" t="s">
        <v>127</v>
      </c>
      <c r="I653" s="159"/>
      <c r="J653" s="159"/>
      <c r="K653" s="159"/>
      <c r="M653" s="159"/>
      <c r="O653" s="157"/>
    </row>
    <row r="654">
      <c r="A654" s="172" t="s">
        <v>127</v>
      </c>
      <c r="B654" s="159"/>
      <c r="C654" s="173"/>
      <c r="D654" s="174"/>
      <c r="E654" s="175" t="s">
        <v>127</v>
      </c>
      <c r="F654" s="176" t="s">
        <v>127</v>
      </c>
      <c r="G654" s="177" t="str">
        <f>IFERROR(__xludf.DUMMYFUNCTION("""COMPUTED_VALUE"""),"")</f>
        <v/>
      </c>
      <c r="H654" s="178" t="s">
        <v>127</v>
      </c>
      <c r="I654" s="159"/>
      <c r="J654" s="159"/>
      <c r="K654" s="159"/>
      <c r="M654" s="159"/>
      <c r="O654" s="157"/>
    </row>
    <row r="655">
      <c r="A655" s="172" t="s">
        <v>127</v>
      </c>
      <c r="B655" s="179"/>
      <c r="C655" s="173"/>
      <c r="D655" s="174"/>
      <c r="E655" s="175" t="s">
        <v>127</v>
      </c>
      <c r="F655" s="176" t="s">
        <v>127</v>
      </c>
      <c r="G655" s="177" t="str">
        <f>IFERROR(__xludf.DUMMYFUNCTION("""COMPUTED_VALUE"""),"")</f>
        <v/>
      </c>
      <c r="H655" s="178" t="s">
        <v>127</v>
      </c>
      <c r="I655" s="159"/>
      <c r="J655" s="159"/>
      <c r="K655" s="159"/>
      <c r="M655" s="159"/>
      <c r="O655" s="157"/>
    </row>
    <row r="656">
      <c r="A656" s="172">
        <v>1.0</v>
      </c>
      <c r="B656" s="179" t="s">
        <v>589</v>
      </c>
      <c r="C656" s="173" t="str">
        <f>IF($J$2,0,K656)</f>
        <v/>
      </c>
      <c r="D656" s="174"/>
      <c r="E656" s="175" t="s">
        <v>127</v>
      </c>
      <c r="F656" s="176" t="s">
        <v>127</v>
      </c>
      <c r="G656" s="177">
        <f>IFERROR(__xludf.DUMMYFUNCTION("""COMPUTED_VALUE"""),2.916666666666667)</f>
        <v>2.916666667</v>
      </c>
      <c r="H656" s="178" t="s">
        <v>127</v>
      </c>
      <c r="I656" s="159"/>
      <c r="J656" s="159"/>
      <c r="K656" s="159"/>
      <c r="M656" s="159"/>
      <c r="O656" s="157"/>
    </row>
  </sheetData>
  <conditionalFormatting sqref="A2:H656">
    <cfRule type="expression" dxfId="1" priority="1">
      <formula>if($A2="",1,0)</formula>
    </cfRule>
  </conditionalFormatting>
  <hyperlinks>
    <hyperlink r:id="rId1" location="gid=1915915212" ref="L2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5.63"/>
    <col customWidth="1" min="2" max="2" width="37.13"/>
  </cols>
  <sheetData>
    <row r="1">
      <c r="A1" s="161" t="s">
        <v>24</v>
      </c>
      <c r="B1" s="161" t="s">
        <v>363</v>
      </c>
      <c r="C1" s="161" t="s">
        <v>574</v>
      </c>
      <c r="D1" s="161" t="s">
        <v>69</v>
      </c>
      <c r="E1" s="161" t="s">
        <v>575</v>
      </c>
      <c r="F1" s="161" t="s">
        <v>494</v>
      </c>
      <c r="G1" s="162" t="s">
        <v>576</v>
      </c>
      <c r="H1" s="163" t="s">
        <v>577</v>
      </c>
      <c r="I1" s="164" t="s">
        <v>578</v>
      </c>
      <c r="J1" s="165" t="s">
        <v>579</v>
      </c>
      <c r="K1" s="161" t="s">
        <v>580</v>
      </c>
      <c r="L1" s="164" t="s">
        <v>581</v>
      </c>
    </row>
    <row r="2">
      <c r="A2" s="145"/>
      <c r="B2" s="166" t="s">
        <v>585</v>
      </c>
      <c r="C2" s="167"/>
      <c r="D2" s="167"/>
      <c r="E2" s="158" t="str">
        <f t="shared" ref="E2:E83" si="1">if(C2="","",C2-D2)</f>
        <v/>
      </c>
      <c r="F2" s="168" t="str">
        <f t="shared" ref="F2:F59" si="2">if(C2="","",if(C2=0,0,D2/C2))</f>
        <v/>
      </c>
      <c r="G2" s="150" t="str">
        <f>IFERROR(__xludf.DUMMYFUNCTION("ARRAYFORMULA(IF(B2:B83="""","""",XLOOKUP(B2:B83,IMPORTRANGE(""https://docs.google.com/spreadsheets/d/1ko6CCKktgrjGkfGuxk3OAEYDbRWH0rKIl76dQUiBZqs/edit?pli=1&amp;gid=8978616#gid=8978616"",""Variable Survey!B:B""),IMPORTRANGE(""https://docs.google.com/spreadshe"&amp;"ets/d/1ko6CCKktgrjGkfGuxk3OAEYDbRWH0rKIl76dQUiBZqs/edit?pli=1&amp;gid=8978616#gid=8978616"",""Variable Survey!E:E""),"""")))"),"")</f>
        <v/>
      </c>
      <c r="H2" s="151" t="str">
        <f t="array" ref="H2:H83">IF(C2:C83="","",(D2:D83*G2:G83)/SUMPRODUCT(C2:C83,G2:G83))</f>
        <v/>
      </c>
      <c r="I2" s="152">
        <f>sum(H2:H83)</f>
        <v>0.9247607378</v>
      </c>
      <c r="J2" s="153" t="b">
        <v>0</v>
      </c>
      <c r="K2" s="158"/>
      <c r="L2" s="169"/>
      <c r="O2" s="157"/>
    </row>
    <row r="3">
      <c r="A3" s="170">
        <v>1.0</v>
      </c>
      <c r="B3" s="156" t="s">
        <v>586</v>
      </c>
      <c r="C3" s="147">
        <f>COUNTIFS('VR - CA'!I3:I72,"4")+COUNTIFS('VR - CA'!I3:I72,"Level 4")+COUNTIFS('VR - CA'!I3:I72,"Level4")+COUNTIFS('VR - CA'!I3:I72,"Lv 4")+COUNTIFS('VR - CA'!I3:I72,"Lv4")</f>
        <v>2</v>
      </c>
      <c r="D3" s="147">
        <f>COUNTIFS('VR - CA'!I3:I72,"4",'VR - CA'!L3:L72,"Done")+COUNTIFS('VR - CA'!I3:I72,"Level 4",'VR - CA'!L3:L72,"Done")+COUNTIFS('VR - CA'!I3:I72,"Level4",'VR - CA'!L3:L72,"Done")+COUNTIFS('VR - CA'!I3:I72,"Lv 4",'VR - CA'!L3:L72,"Done")+COUNTIFS('VR - CA'!I3:I72,"Lv4",'VR - CA'!L3:L72,"Done")</f>
        <v>2</v>
      </c>
      <c r="E3" s="148">
        <f t="shared" si="1"/>
        <v>0</v>
      </c>
      <c r="F3" s="149">
        <f t="shared" si="2"/>
        <v>1</v>
      </c>
      <c r="G3" s="150">
        <f>IFERROR(__xludf.DUMMYFUNCTION("""COMPUTED_VALUE"""),2.0)</f>
        <v>2</v>
      </c>
      <c r="H3" s="151">
        <v>0.014760217429356747</v>
      </c>
      <c r="I3" s="159"/>
      <c r="J3" s="159"/>
      <c r="K3" s="158"/>
      <c r="O3" s="157"/>
    </row>
    <row r="4">
      <c r="A4" s="170">
        <v>2.0</v>
      </c>
      <c r="B4" s="156" t="s">
        <v>587</v>
      </c>
      <c r="C4" s="147">
        <f>COUNTIFS('VR - CA'!I3:I72,"3")+COUNTIFS('VR - CA'!I3:I72,"Level 3")+COUNTIFS('VR - CA'!I3:I72,"Level3")+COUNTIFS('VR - CA'!I3:I72,"Lv 3")+COUNTIFS('VR - CA'!I3:I72,"Lv3")</f>
        <v>30</v>
      </c>
      <c r="D4" s="147">
        <f>COUNTIFS('VR - CA'!I3:I72,"3",'VR - CA'!L3:L72,"Done")+COUNTIFS('VR - CA'!I3:I72,"Level 3",'VR - CA'!L3:L72,"Done")+COUNTIFS('VR - CA'!I3:I72,"Level3",'VR - CA'!L3:L72,"Done")+COUNTIFS('VR - CA'!I3:I72,"Lv 3",'VR - CA'!L3:L72,"Done")+COUNTIFS('VR - CA'!I3:I72,"Lv3",'VR - CA'!L3:L72,"Done")</f>
        <v>30</v>
      </c>
      <c r="E4" s="148">
        <f t="shared" si="1"/>
        <v>0</v>
      </c>
      <c r="F4" s="149">
        <f t="shared" si="2"/>
        <v>1</v>
      </c>
      <c r="G4" s="150">
        <f>IFERROR(__xludf.DUMMYFUNCTION("""COMPUTED_VALUE"""),1.1666666666666667)</f>
        <v>1.166666667</v>
      </c>
      <c r="H4" s="151">
        <v>0.12915190250687153</v>
      </c>
      <c r="I4" s="159"/>
      <c r="J4" s="159"/>
      <c r="K4" s="158"/>
      <c r="O4" s="157"/>
    </row>
    <row r="5">
      <c r="A5" s="170">
        <v>3.0</v>
      </c>
      <c r="B5" s="156" t="s">
        <v>588</v>
      </c>
      <c r="C5" s="147">
        <f>COUNTIFS('VR - CA'!I3:I72,"2")+COUNTIFS('VR - CA'!I3:I72,"Level 2")+COUNTIFS('VR - CA'!I3:I72,"Level2")+COUNTIFS('VR - CA'!I3:I72,"Lv 2")+COUNTIFS('VR - CA'!I3:I72,"Lv2")</f>
        <v>0</v>
      </c>
      <c r="D5" s="147">
        <f>COUNTIFS('VR - CA'!I3:I72,"2",'VR - CA'!L3:L72,"Done")+COUNTIFS('VR - CA'!I3:I72,"Level 2",'VR - CA'!L3:L72,"Done")+COUNTIFS('VR - CA'!I3:I72,"Level2",'VR - CA'!L3:L72,"Done")+COUNTIFS('VR - CA'!I3:I72,"Lv 2",'VR - CA'!L3:L72,"Done")+COUNTIFS('VR - CA'!I3:I72,"Lv2",'VR - CA'!L3:L72,"Done")</f>
        <v>0</v>
      </c>
      <c r="E5" s="148">
        <f t="shared" si="1"/>
        <v>0</v>
      </c>
      <c r="F5" s="149">
        <f t="shared" si="2"/>
        <v>0</v>
      </c>
      <c r="G5" s="150">
        <f>IFERROR(__xludf.DUMMYFUNCTION("""COMPUTED_VALUE"""),0.8974358974358975)</f>
        <v>0.8974358974</v>
      </c>
      <c r="H5" s="151">
        <v>0.0</v>
      </c>
      <c r="I5" s="159"/>
      <c r="J5" s="159"/>
      <c r="K5" s="158"/>
      <c r="O5" s="157"/>
    </row>
    <row r="6">
      <c r="A6" s="170">
        <v>4.0</v>
      </c>
      <c r="B6" s="156" t="s">
        <v>589</v>
      </c>
      <c r="C6" s="147">
        <f>COUNTIFS('VR - CA'!AK3:AK72,"4")+COUNTIFS('VR - CA'!AK3:AK72,"Level 4")+COUNTIFS('VR - CA'!AK3:AK72,"Level4")+COUNTIFS('VR - CA'!AK3:AK72,"Lv 4")+COUNTIFS('VR - CA'!AK3:AK72,"Lv4")</f>
        <v>13</v>
      </c>
      <c r="D6" s="147">
        <f>COUNTIFS('VR - CA'!AK3:AK72,"4",'VR - CA'!AN3:AN72,"Done")+COUNTIFS('VR - CA'!AK3:AK72,"Level 4",'VR - CA'!AN3:AN72,"Done")+COUNTIFS('VR - CA'!AK3:AK72,"Level4",'VR - CA'!AN3:AN72,"Done")+COUNTIFS('VR - CA'!AK3:AK72,"Lv 4",'VR - CA'!AN3:AN72,"Done")+COUNTIFS('VR - CA'!AK3:AK72,"Lv4",'VR - CA'!AN3:AN72,"Done")</f>
        <v>13</v>
      </c>
      <c r="E6" s="148">
        <f t="shared" si="1"/>
        <v>0</v>
      </c>
      <c r="F6" s="149">
        <f t="shared" si="2"/>
        <v>1</v>
      </c>
      <c r="G6" s="150">
        <f>IFERROR(__xludf.DUMMYFUNCTION("""COMPUTED_VALUE"""),2.916666666666667)</f>
        <v>2.916666667</v>
      </c>
      <c r="H6" s="151">
        <v>0.13991456104911085</v>
      </c>
      <c r="I6" s="159"/>
      <c r="J6" s="159"/>
      <c r="K6" s="158"/>
      <c r="O6" s="157"/>
    </row>
    <row r="7">
      <c r="A7" s="170">
        <v>5.0</v>
      </c>
      <c r="B7" s="156" t="s">
        <v>590</v>
      </c>
      <c r="C7" s="147">
        <f>COUNTIFS('VR - CA'!AK3:AK72,"3")+COUNTIFS('VR - CA'!AK3:AK72,"Level 3")+COUNTIFS('VR - CA'!AK3:AK72,"Level3")+COUNTIFS('VR - CA'!AK3:AK72,"Lv 3")+COUNTIFS('VR - CA'!AK3:AK72,"Lv3")</f>
        <v>12</v>
      </c>
      <c r="D7" s="147">
        <f>COUNTIFS('VR - CA'!AK3:AK72,"3",'VR - CA'!AN3:AN72,"Done")+COUNTIFS('VR - CA'!AK3:AK72,"Level 3",'VR - CA'!AN3:AN72,"Done")+COUNTIFS('VR - CA'!AK3:AK72,"Level3",'VR - CA'!AN3:AN72,"Done")+COUNTIFS('VR - CA'!AK3:AK72,"Lv 3",'VR - CA'!AN3:AN72,"Done")+COUNTIFS('VR - CA'!AK3:AK72,"Lv3",'VR - CA'!AN3:AN72,"Done")</f>
        <v>12</v>
      </c>
      <c r="E7" s="148">
        <f t="shared" si="1"/>
        <v>0</v>
      </c>
      <c r="F7" s="149">
        <f t="shared" si="2"/>
        <v>1</v>
      </c>
      <c r="G7" s="150">
        <f>IFERROR(__xludf.DUMMYFUNCTION("""COMPUTED_VALUE"""),2.0)</f>
        <v>2</v>
      </c>
      <c r="H7" s="151">
        <v>0.08856130457614048</v>
      </c>
      <c r="I7" s="159"/>
      <c r="J7" s="159"/>
      <c r="K7" s="158"/>
      <c r="O7" s="157"/>
    </row>
    <row r="8">
      <c r="A8" s="170"/>
      <c r="B8" s="166" t="s">
        <v>591</v>
      </c>
      <c r="C8" s="147"/>
      <c r="D8" s="147"/>
      <c r="E8" s="148" t="str">
        <f t="shared" si="1"/>
        <v/>
      </c>
      <c r="F8" s="149" t="str">
        <f t="shared" si="2"/>
        <v/>
      </c>
      <c r="G8" s="150" t="str">
        <f>IFERROR(__xludf.DUMMYFUNCTION("""COMPUTED_VALUE"""),"")</f>
        <v/>
      </c>
      <c r="H8" s="151" t="s">
        <v>127</v>
      </c>
      <c r="I8" s="159"/>
      <c r="J8" s="159"/>
      <c r="K8" s="158"/>
      <c r="O8" s="157"/>
    </row>
    <row r="9">
      <c r="A9" s="170">
        <v>1.0</v>
      </c>
      <c r="B9" s="156" t="s">
        <v>592</v>
      </c>
      <c r="C9" s="147">
        <f>COUNTIFS('VR - 3D - Product'!K3:K167,"1")+COUNTIFS('VR - 3D - Product'!K3:K167,"Level 1")+COUNTIFS('VR - 3D - Product'!K3:K167,"Level1")+COUNTIFS('VR - 3D - Product'!K3:K167,"Lv 1")+COUNTIFS('VR - 3D - Product'!K3:K167,"Lv1")</f>
        <v>83</v>
      </c>
      <c r="D9" s="147">
        <f>COUNTIFS('VR - 3D - Product'!K3:K167,"1",'VR - 3D - Product'!N3:N167,"Done")+COUNTIFS('VR - 3D - Product'!K3:K167,"Level 1",'VR - 3D - Product'!N3:N167,"Done")+COUNTIFS('VR - 3D - Product'!K3:K167,"Level1",'VR - 3D - Product'!N3:N167,"Done")+COUNTIFS('VR - 3D - Product'!K3:K167,"Lv 1",'VR - 3D - Product'!N3:N167,"Done")+COUNTIFS('VR - 3D - Product'!K3:K167,"Lv1",'VR - 3D - Product'!N3:N167,"Done")</f>
        <v>75</v>
      </c>
      <c r="E9" s="148">
        <f t="shared" si="1"/>
        <v>8</v>
      </c>
      <c r="F9" s="149">
        <f t="shared" si="2"/>
        <v>0.9036144578</v>
      </c>
      <c r="G9" s="150">
        <f>IFERROR(__xludf.DUMMYFUNCTION("""COMPUTED_VALUE"""),0.9333333333333333)</f>
        <v>0.9333333333</v>
      </c>
      <c r="H9" s="151">
        <v>0.25830380501374306</v>
      </c>
      <c r="I9" s="159"/>
      <c r="J9" s="159"/>
      <c r="K9" s="158"/>
      <c r="O9" s="157"/>
    </row>
    <row r="10">
      <c r="A10" s="156">
        <v>2.0</v>
      </c>
      <c r="B10" s="156" t="s">
        <v>508</v>
      </c>
      <c r="C10" s="147">
        <f>COUNTIFS('VR - 3D - Product'!AL3:AL167,"1")+COUNTIFS('VR - 3D - Product'!AL3:AL167,"Level 1")+COUNTIFS('VR - 3D - Product'!AL3:AL167,"Level1")+COUNTIFS('VR - 3D - Product'!AL3:AL167,"Lv 1")+COUNTIFS('VR - 3D - Product'!AL3:AL167,"Lv1")</f>
        <v>86</v>
      </c>
      <c r="D10" s="147">
        <f>COUNTIFS('VR - 3D - Product'!AL3:AL167,"1",'VR - 3D - Product'!AO3:AO167,"Done")+COUNTIFS('VR - 3D - Product'!AL3:AL167,"Level 1",'VR - 3D - Product'!AO3:AO167,"Done")+COUNTIFS('VR - 3D - Product'!AL3:AL167,"Level1",'VR - 3D - Product'!AO3:AO167,"Done")+COUNTIFS('VR - 3D - Product'!AL3:AL167,"Lv 1",'VR - 3D - Product'!AO3:AO167,"Done")+COUNTIFS('VR - 3D - Product'!AL3:AL167,"Lv1",'VR - 3D - Product'!AO3:AO167,"Done")</f>
        <v>74</v>
      </c>
      <c r="E10" s="158">
        <f t="shared" si="1"/>
        <v>12</v>
      </c>
      <c r="F10" s="168">
        <f t="shared" si="2"/>
        <v>0.8604651163</v>
      </c>
      <c r="G10" s="150">
        <f>IFERROR(__xludf.DUMMYFUNCTION("""COMPUTED_VALUE"""),1.0769230769230769)</f>
        <v>1.076923077</v>
      </c>
      <c r="H10" s="151">
        <v>0.2940689472464152</v>
      </c>
      <c r="I10" s="159"/>
      <c r="J10" s="159"/>
      <c r="K10" s="158"/>
      <c r="O10" s="157"/>
    </row>
    <row r="11">
      <c r="A11" s="170"/>
      <c r="B11" s="156"/>
      <c r="C11" s="147"/>
      <c r="D11" s="147"/>
      <c r="E11" s="148" t="str">
        <f t="shared" si="1"/>
        <v/>
      </c>
      <c r="F11" s="149" t="str">
        <f t="shared" si="2"/>
        <v/>
      </c>
      <c r="G11" s="150" t="str">
        <f>IFERROR(__xludf.DUMMYFUNCTION("""COMPUTED_VALUE"""),"")</f>
        <v/>
      </c>
      <c r="H11" s="151" t="s">
        <v>127</v>
      </c>
      <c r="I11" s="159"/>
      <c r="J11" s="159"/>
      <c r="K11" s="158"/>
      <c r="O11" s="157"/>
    </row>
    <row r="12">
      <c r="A12" s="170"/>
      <c r="B12" s="166"/>
      <c r="C12" s="147"/>
      <c r="D12" s="147"/>
      <c r="E12" s="148" t="str">
        <f t="shared" si="1"/>
        <v/>
      </c>
      <c r="F12" s="149" t="str">
        <f t="shared" si="2"/>
        <v/>
      </c>
      <c r="G12" s="160" t="str">
        <f>IFERROR(__xludf.DUMMYFUNCTION("""COMPUTED_VALUE"""),"")</f>
        <v/>
      </c>
      <c r="H12" s="151" t="s">
        <v>127</v>
      </c>
      <c r="I12" s="159"/>
      <c r="J12" s="159"/>
      <c r="K12" s="158"/>
      <c r="O12" s="157"/>
    </row>
    <row r="13">
      <c r="A13" s="156"/>
      <c r="B13" s="156"/>
      <c r="C13" s="147"/>
      <c r="D13" s="147"/>
      <c r="E13" s="158" t="str">
        <f t="shared" si="1"/>
        <v/>
      </c>
      <c r="F13" s="168" t="str">
        <f t="shared" si="2"/>
        <v/>
      </c>
      <c r="G13" s="160" t="str">
        <f>IFERROR(__xludf.DUMMYFUNCTION("""COMPUTED_VALUE"""),"")</f>
        <v/>
      </c>
      <c r="H13" s="151" t="s">
        <v>127</v>
      </c>
      <c r="I13" s="159"/>
      <c r="J13" s="159"/>
      <c r="K13" s="158"/>
      <c r="O13" s="157"/>
    </row>
    <row r="14">
      <c r="A14" s="170"/>
      <c r="B14" s="156"/>
      <c r="C14" s="147"/>
      <c r="D14" s="147"/>
      <c r="E14" s="148" t="str">
        <f t="shared" si="1"/>
        <v/>
      </c>
      <c r="F14" s="149" t="str">
        <f t="shared" si="2"/>
        <v/>
      </c>
      <c r="G14" s="160" t="str">
        <f>IFERROR(__xludf.DUMMYFUNCTION("""COMPUTED_VALUE"""),"")</f>
        <v/>
      </c>
      <c r="H14" s="151" t="s">
        <v>127</v>
      </c>
      <c r="I14" s="159"/>
      <c r="J14" s="159"/>
      <c r="K14" s="158"/>
      <c r="O14" s="157"/>
    </row>
    <row r="15">
      <c r="A15" s="170"/>
      <c r="B15" s="156"/>
      <c r="C15" s="147"/>
      <c r="D15" s="147"/>
      <c r="E15" s="148" t="str">
        <f t="shared" si="1"/>
        <v/>
      </c>
      <c r="F15" s="149" t="str">
        <f t="shared" si="2"/>
        <v/>
      </c>
      <c r="G15" s="160" t="str">
        <f>IFERROR(__xludf.DUMMYFUNCTION("""COMPUTED_VALUE"""),"")</f>
        <v/>
      </c>
      <c r="H15" s="151" t="s">
        <v>127</v>
      </c>
      <c r="I15" s="159"/>
      <c r="J15" s="159"/>
      <c r="K15" s="158"/>
      <c r="O15" s="157"/>
    </row>
    <row r="16">
      <c r="A16" s="156"/>
      <c r="B16" s="156"/>
      <c r="C16" s="147"/>
      <c r="D16" s="147"/>
      <c r="E16" s="158" t="str">
        <f t="shared" si="1"/>
        <v/>
      </c>
      <c r="F16" s="168" t="str">
        <f t="shared" si="2"/>
        <v/>
      </c>
      <c r="G16" s="160" t="str">
        <f>IFERROR(__xludf.DUMMYFUNCTION("""COMPUTED_VALUE"""),"")</f>
        <v/>
      </c>
      <c r="H16" s="151" t="s">
        <v>127</v>
      </c>
      <c r="I16" s="159"/>
      <c r="J16" s="159"/>
      <c r="K16" s="158"/>
      <c r="O16" s="157"/>
    </row>
    <row r="17">
      <c r="A17" s="156"/>
      <c r="B17" s="156"/>
      <c r="C17" s="147"/>
      <c r="D17" s="147"/>
      <c r="E17" s="158" t="str">
        <f t="shared" si="1"/>
        <v/>
      </c>
      <c r="F17" s="168" t="str">
        <f t="shared" si="2"/>
        <v/>
      </c>
      <c r="G17" s="160" t="str">
        <f>IFERROR(__xludf.DUMMYFUNCTION("""COMPUTED_VALUE"""),"")</f>
        <v/>
      </c>
      <c r="H17" s="151" t="s">
        <v>127</v>
      </c>
      <c r="I17" s="159"/>
      <c r="J17" s="159"/>
      <c r="K17" s="158"/>
      <c r="O17" s="157"/>
    </row>
    <row r="18">
      <c r="A18" s="156"/>
      <c r="B18" s="156"/>
      <c r="C18" s="147"/>
      <c r="D18" s="147"/>
      <c r="E18" s="158" t="str">
        <f t="shared" si="1"/>
        <v/>
      </c>
      <c r="F18" s="168" t="str">
        <f t="shared" si="2"/>
        <v/>
      </c>
      <c r="G18" s="160" t="str">
        <f>IFERROR(__xludf.DUMMYFUNCTION("""COMPUTED_VALUE"""),"")</f>
        <v/>
      </c>
      <c r="H18" s="151" t="s">
        <v>127</v>
      </c>
      <c r="I18" s="159"/>
      <c r="J18" s="159"/>
      <c r="K18" s="158"/>
      <c r="O18" s="157"/>
    </row>
    <row r="19">
      <c r="A19" s="156"/>
      <c r="B19" s="156"/>
      <c r="C19" s="147"/>
      <c r="D19" s="147"/>
      <c r="E19" s="158" t="str">
        <f t="shared" si="1"/>
        <v/>
      </c>
      <c r="F19" s="168" t="str">
        <f t="shared" si="2"/>
        <v/>
      </c>
      <c r="G19" s="160" t="str">
        <f>IFERROR(__xludf.DUMMYFUNCTION("""COMPUTED_VALUE"""),"")</f>
        <v/>
      </c>
      <c r="H19" s="151" t="s">
        <v>127</v>
      </c>
      <c r="I19" s="159"/>
      <c r="J19" s="159"/>
      <c r="K19" s="158"/>
      <c r="O19" s="157"/>
    </row>
    <row r="20">
      <c r="A20" s="156"/>
      <c r="B20" s="156"/>
      <c r="C20" s="147"/>
      <c r="D20" s="147"/>
      <c r="E20" s="158" t="str">
        <f t="shared" si="1"/>
        <v/>
      </c>
      <c r="F20" s="168" t="str">
        <f t="shared" si="2"/>
        <v/>
      </c>
      <c r="G20" s="160" t="str">
        <f>IFERROR(__xludf.DUMMYFUNCTION("""COMPUTED_VALUE"""),"")</f>
        <v/>
      </c>
      <c r="H20" s="151" t="s">
        <v>127</v>
      </c>
      <c r="I20" s="159"/>
      <c r="J20" s="159"/>
      <c r="K20" s="158"/>
      <c r="O20" s="157"/>
    </row>
    <row r="21">
      <c r="A21" s="156"/>
      <c r="B21" s="156"/>
      <c r="C21" s="147"/>
      <c r="D21" s="147"/>
      <c r="E21" s="158" t="str">
        <f t="shared" si="1"/>
        <v/>
      </c>
      <c r="F21" s="168" t="str">
        <f t="shared" si="2"/>
        <v/>
      </c>
      <c r="G21" s="160" t="str">
        <f>IFERROR(__xludf.DUMMYFUNCTION("""COMPUTED_VALUE"""),"")</f>
        <v/>
      </c>
      <c r="H21" s="151" t="s">
        <v>127</v>
      </c>
      <c r="I21" s="159"/>
      <c r="J21" s="159"/>
      <c r="K21" s="158"/>
      <c r="O21" s="157"/>
    </row>
    <row r="22">
      <c r="A22" s="156"/>
      <c r="B22" s="156"/>
      <c r="C22" s="147"/>
      <c r="D22" s="147"/>
      <c r="E22" s="158" t="str">
        <f t="shared" si="1"/>
        <v/>
      </c>
      <c r="F22" s="168" t="str">
        <f t="shared" si="2"/>
        <v/>
      </c>
      <c r="G22" s="160" t="str">
        <f>IFERROR(__xludf.DUMMYFUNCTION("""COMPUTED_VALUE"""),"")</f>
        <v/>
      </c>
      <c r="H22" s="151" t="s">
        <v>127</v>
      </c>
      <c r="I22" s="159"/>
      <c r="J22" s="159"/>
      <c r="K22" s="158"/>
      <c r="O22" s="157"/>
    </row>
    <row r="23">
      <c r="A23" s="156"/>
      <c r="B23" s="156"/>
      <c r="C23" s="147"/>
      <c r="D23" s="147"/>
      <c r="E23" s="158" t="str">
        <f t="shared" si="1"/>
        <v/>
      </c>
      <c r="F23" s="168" t="str">
        <f t="shared" si="2"/>
        <v/>
      </c>
      <c r="G23" s="160" t="str">
        <f>IFERROR(__xludf.DUMMYFUNCTION("""COMPUTED_VALUE"""),"")</f>
        <v/>
      </c>
      <c r="H23" s="151" t="s">
        <v>127</v>
      </c>
      <c r="I23" s="159"/>
      <c r="J23" s="159"/>
      <c r="K23" s="158"/>
      <c r="O23" s="157"/>
    </row>
    <row r="24">
      <c r="A24" s="156"/>
      <c r="B24" s="156"/>
      <c r="C24" s="147"/>
      <c r="D24" s="147"/>
      <c r="E24" s="158" t="str">
        <f t="shared" si="1"/>
        <v/>
      </c>
      <c r="F24" s="168" t="str">
        <f t="shared" si="2"/>
        <v/>
      </c>
      <c r="G24" s="160" t="str">
        <f>IFERROR(__xludf.DUMMYFUNCTION("""COMPUTED_VALUE"""),"")</f>
        <v/>
      </c>
      <c r="H24" s="151" t="s">
        <v>127</v>
      </c>
      <c r="I24" s="159"/>
      <c r="J24" s="159"/>
      <c r="K24" s="158"/>
      <c r="O24" s="157"/>
    </row>
    <row r="25">
      <c r="A25" s="156"/>
      <c r="B25" s="156"/>
      <c r="C25" s="147"/>
      <c r="D25" s="147"/>
      <c r="E25" s="158" t="str">
        <f t="shared" si="1"/>
        <v/>
      </c>
      <c r="F25" s="168" t="str">
        <f t="shared" si="2"/>
        <v/>
      </c>
      <c r="G25" s="160" t="str">
        <f>IFERROR(__xludf.DUMMYFUNCTION("""COMPUTED_VALUE"""),"")</f>
        <v/>
      </c>
      <c r="H25" s="151" t="s">
        <v>127</v>
      </c>
      <c r="I25" s="159"/>
      <c r="J25" s="159"/>
      <c r="K25" s="158"/>
      <c r="O25" s="157"/>
    </row>
    <row r="26">
      <c r="A26" s="156"/>
      <c r="B26" s="156"/>
      <c r="C26" s="147"/>
      <c r="D26" s="147"/>
      <c r="E26" s="158" t="str">
        <f t="shared" si="1"/>
        <v/>
      </c>
      <c r="F26" s="168" t="str">
        <f t="shared" si="2"/>
        <v/>
      </c>
      <c r="G26" s="160" t="str">
        <f>IFERROR(__xludf.DUMMYFUNCTION("""COMPUTED_VALUE"""),"")</f>
        <v/>
      </c>
      <c r="H26" s="151" t="s">
        <v>127</v>
      </c>
      <c r="I26" s="159"/>
      <c r="J26" s="159"/>
      <c r="K26" s="158"/>
      <c r="O26" s="157"/>
    </row>
    <row r="27">
      <c r="A27" s="156"/>
      <c r="B27" s="156"/>
      <c r="C27" s="147"/>
      <c r="D27" s="147"/>
      <c r="E27" s="158" t="str">
        <f t="shared" si="1"/>
        <v/>
      </c>
      <c r="F27" s="168" t="str">
        <f t="shared" si="2"/>
        <v/>
      </c>
      <c r="G27" s="160" t="str">
        <f>IFERROR(__xludf.DUMMYFUNCTION("""COMPUTED_VALUE"""),"")</f>
        <v/>
      </c>
      <c r="H27" s="151" t="s">
        <v>127</v>
      </c>
      <c r="I27" s="159"/>
      <c r="J27" s="159"/>
      <c r="K27" s="158"/>
      <c r="O27" s="157"/>
    </row>
    <row r="28">
      <c r="A28" s="145"/>
      <c r="B28" s="145"/>
      <c r="C28" s="167"/>
      <c r="D28" s="167"/>
      <c r="E28" s="158" t="str">
        <f t="shared" si="1"/>
        <v/>
      </c>
      <c r="F28" s="168" t="str">
        <f t="shared" si="2"/>
        <v/>
      </c>
      <c r="G28" s="160" t="str">
        <f>IFERROR(__xludf.DUMMYFUNCTION("""COMPUTED_VALUE"""),"")</f>
        <v/>
      </c>
      <c r="H28" s="151" t="s">
        <v>127</v>
      </c>
      <c r="I28" s="159"/>
      <c r="J28" s="159"/>
      <c r="K28" s="158"/>
      <c r="O28" s="157"/>
    </row>
    <row r="29">
      <c r="A29" s="145"/>
      <c r="B29" s="145"/>
      <c r="C29" s="167"/>
      <c r="D29" s="167"/>
      <c r="E29" s="158" t="str">
        <f t="shared" si="1"/>
        <v/>
      </c>
      <c r="F29" s="168" t="str">
        <f t="shared" si="2"/>
        <v/>
      </c>
      <c r="G29" s="160" t="str">
        <f>IFERROR(__xludf.DUMMYFUNCTION("""COMPUTED_VALUE"""),"")</f>
        <v/>
      </c>
      <c r="H29" s="151" t="s">
        <v>127</v>
      </c>
      <c r="I29" s="159"/>
      <c r="J29" s="159"/>
      <c r="K29" s="158"/>
      <c r="O29" s="157"/>
    </row>
    <row r="30">
      <c r="A30" s="145"/>
      <c r="B30" s="145"/>
      <c r="C30" s="167"/>
      <c r="D30" s="167"/>
      <c r="E30" s="158" t="str">
        <f t="shared" si="1"/>
        <v/>
      </c>
      <c r="F30" s="168" t="str">
        <f t="shared" si="2"/>
        <v/>
      </c>
      <c r="G30" s="160" t="str">
        <f>IFERROR(__xludf.DUMMYFUNCTION("""COMPUTED_VALUE"""),"")</f>
        <v/>
      </c>
      <c r="H30" s="151" t="s">
        <v>127</v>
      </c>
      <c r="I30" s="159"/>
      <c r="J30" s="159"/>
      <c r="K30" s="158"/>
      <c r="O30" s="157"/>
    </row>
    <row r="31">
      <c r="A31" s="145"/>
      <c r="B31" s="145"/>
      <c r="C31" s="167"/>
      <c r="D31" s="167"/>
      <c r="E31" s="158" t="str">
        <f t="shared" si="1"/>
        <v/>
      </c>
      <c r="F31" s="168" t="str">
        <f t="shared" si="2"/>
        <v/>
      </c>
      <c r="G31" s="160" t="str">
        <f>IFERROR(__xludf.DUMMYFUNCTION("""COMPUTED_VALUE"""),"")</f>
        <v/>
      </c>
      <c r="H31" s="151" t="s">
        <v>127</v>
      </c>
      <c r="I31" s="159"/>
      <c r="J31" s="159"/>
      <c r="K31" s="158"/>
      <c r="O31" s="157"/>
    </row>
    <row r="32">
      <c r="A32" s="145"/>
      <c r="B32" s="145"/>
      <c r="C32" s="167"/>
      <c r="D32" s="167"/>
      <c r="E32" s="158" t="str">
        <f t="shared" si="1"/>
        <v/>
      </c>
      <c r="F32" s="168" t="str">
        <f t="shared" si="2"/>
        <v/>
      </c>
      <c r="G32" s="160" t="str">
        <f>IFERROR(__xludf.DUMMYFUNCTION("""COMPUTED_VALUE"""),"")</f>
        <v/>
      </c>
      <c r="H32" s="151" t="s">
        <v>127</v>
      </c>
      <c r="I32" s="159"/>
      <c r="J32" s="159"/>
      <c r="K32" s="158"/>
      <c r="O32" s="157"/>
    </row>
    <row r="33">
      <c r="A33" s="145"/>
      <c r="B33" s="145"/>
      <c r="C33" s="167"/>
      <c r="D33" s="167"/>
      <c r="E33" s="158" t="str">
        <f t="shared" si="1"/>
        <v/>
      </c>
      <c r="F33" s="168" t="str">
        <f t="shared" si="2"/>
        <v/>
      </c>
      <c r="G33" s="160" t="str">
        <f>IFERROR(__xludf.DUMMYFUNCTION("""COMPUTED_VALUE"""),"")</f>
        <v/>
      </c>
      <c r="H33" s="151" t="s">
        <v>127</v>
      </c>
      <c r="I33" s="159"/>
      <c r="J33" s="159"/>
      <c r="K33" s="158"/>
      <c r="O33" s="157"/>
    </row>
    <row r="34">
      <c r="A34" s="145"/>
      <c r="B34" s="145"/>
      <c r="C34" s="167"/>
      <c r="D34" s="167"/>
      <c r="E34" s="158" t="str">
        <f t="shared" si="1"/>
        <v/>
      </c>
      <c r="F34" s="168" t="str">
        <f t="shared" si="2"/>
        <v/>
      </c>
      <c r="G34" s="160" t="str">
        <f>IFERROR(__xludf.DUMMYFUNCTION("""COMPUTED_VALUE"""),"")</f>
        <v/>
      </c>
      <c r="H34" s="151" t="s">
        <v>127</v>
      </c>
      <c r="I34" s="159"/>
      <c r="J34" s="159"/>
      <c r="K34" s="158"/>
      <c r="O34" s="157"/>
    </row>
    <row r="35">
      <c r="A35" s="145"/>
      <c r="B35" s="145"/>
      <c r="C35" s="167"/>
      <c r="D35" s="167"/>
      <c r="E35" s="158" t="str">
        <f t="shared" si="1"/>
        <v/>
      </c>
      <c r="F35" s="168" t="str">
        <f t="shared" si="2"/>
        <v/>
      </c>
      <c r="G35" s="160" t="str">
        <f>IFERROR(__xludf.DUMMYFUNCTION("""COMPUTED_VALUE"""),"")</f>
        <v/>
      </c>
      <c r="H35" s="151" t="s">
        <v>127</v>
      </c>
      <c r="I35" s="159"/>
      <c r="J35" s="159"/>
      <c r="K35" s="158"/>
      <c r="O35" s="157"/>
    </row>
    <row r="36">
      <c r="A36" s="145"/>
      <c r="B36" s="145"/>
      <c r="C36" s="167"/>
      <c r="D36" s="167"/>
      <c r="E36" s="158" t="str">
        <f t="shared" si="1"/>
        <v/>
      </c>
      <c r="F36" s="168" t="str">
        <f t="shared" si="2"/>
        <v/>
      </c>
      <c r="G36" s="160" t="str">
        <f>IFERROR(__xludf.DUMMYFUNCTION("""COMPUTED_VALUE"""),"")</f>
        <v/>
      </c>
      <c r="H36" s="151" t="s">
        <v>127</v>
      </c>
      <c r="I36" s="159"/>
      <c r="J36" s="159"/>
      <c r="K36" s="158"/>
      <c r="O36" s="157"/>
    </row>
    <row r="37">
      <c r="A37" s="145"/>
      <c r="B37" s="145"/>
      <c r="C37" s="167"/>
      <c r="D37" s="167"/>
      <c r="E37" s="158" t="str">
        <f t="shared" si="1"/>
        <v/>
      </c>
      <c r="F37" s="168" t="str">
        <f t="shared" si="2"/>
        <v/>
      </c>
      <c r="G37" s="160" t="str">
        <f>IFERROR(__xludf.DUMMYFUNCTION("""COMPUTED_VALUE"""),"")</f>
        <v/>
      </c>
      <c r="H37" s="151" t="s">
        <v>127</v>
      </c>
      <c r="I37" s="159"/>
      <c r="J37" s="159"/>
      <c r="K37" s="158"/>
      <c r="O37" s="157"/>
    </row>
    <row r="38">
      <c r="A38" s="145"/>
      <c r="B38" s="145"/>
      <c r="C38" s="167"/>
      <c r="D38" s="167"/>
      <c r="E38" s="158" t="str">
        <f t="shared" si="1"/>
        <v/>
      </c>
      <c r="F38" s="168" t="str">
        <f t="shared" si="2"/>
        <v/>
      </c>
      <c r="G38" s="160" t="str">
        <f>IFERROR(__xludf.DUMMYFUNCTION("""COMPUTED_VALUE"""),"")</f>
        <v/>
      </c>
      <c r="H38" s="151" t="s">
        <v>127</v>
      </c>
      <c r="I38" s="159"/>
      <c r="J38" s="159"/>
      <c r="K38" s="158"/>
      <c r="O38" s="157"/>
    </row>
    <row r="39">
      <c r="A39" s="145"/>
      <c r="B39" s="145"/>
      <c r="C39" s="167"/>
      <c r="D39" s="167"/>
      <c r="E39" s="158" t="str">
        <f t="shared" si="1"/>
        <v/>
      </c>
      <c r="F39" s="168" t="str">
        <f t="shared" si="2"/>
        <v/>
      </c>
      <c r="G39" s="160" t="str">
        <f>IFERROR(__xludf.DUMMYFUNCTION("""COMPUTED_VALUE"""),"")</f>
        <v/>
      </c>
      <c r="H39" s="151" t="s">
        <v>127</v>
      </c>
      <c r="I39" s="159"/>
      <c r="J39" s="159"/>
      <c r="K39" s="158"/>
      <c r="O39" s="157"/>
    </row>
    <row r="40">
      <c r="A40" s="145"/>
      <c r="B40" s="158"/>
      <c r="C40" s="167"/>
      <c r="D40" s="167"/>
      <c r="E40" s="158" t="str">
        <f t="shared" si="1"/>
        <v/>
      </c>
      <c r="F40" s="168" t="str">
        <f t="shared" si="2"/>
        <v/>
      </c>
      <c r="G40" s="160" t="str">
        <f>IFERROR(__xludf.DUMMYFUNCTION("""COMPUTED_VALUE"""),"")</f>
        <v/>
      </c>
      <c r="H40" s="151" t="s">
        <v>127</v>
      </c>
      <c r="I40" s="159"/>
      <c r="J40" s="159"/>
      <c r="K40" s="158"/>
      <c r="O40" s="157"/>
    </row>
    <row r="41">
      <c r="A41" s="145"/>
      <c r="B41" s="158"/>
      <c r="C41" s="167"/>
      <c r="D41" s="167"/>
      <c r="E41" s="158" t="str">
        <f t="shared" si="1"/>
        <v/>
      </c>
      <c r="F41" s="168" t="str">
        <f t="shared" si="2"/>
        <v/>
      </c>
      <c r="G41" s="160" t="str">
        <f>IFERROR(__xludf.DUMMYFUNCTION("""COMPUTED_VALUE"""),"")</f>
        <v/>
      </c>
      <c r="H41" s="151" t="s">
        <v>127</v>
      </c>
      <c r="I41" s="159"/>
      <c r="J41" s="159"/>
      <c r="K41" s="158"/>
      <c r="O41" s="157"/>
    </row>
    <row r="42">
      <c r="A42" s="145"/>
      <c r="B42" s="158"/>
      <c r="C42" s="167"/>
      <c r="D42" s="167"/>
      <c r="E42" s="158" t="str">
        <f t="shared" si="1"/>
        <v/>
      </c>
      <c r="F42" s="168" t="str">
        <f t="shared" si="2"/>
        <v/>
      </c>
      <c r="G42" s="160" t="str">
        <f>IFERROR(__xludf.DUMMYFUNCTION("""COMPUTED_VALUE"""),"")</f>
        <v/>
      </c>
      <c r="H42" s="151" t="s">
        <v>127</v>
      </c>
      <c r="I42" s="159"/>
      <c r="J42" s="159"/>
      <c r="K42" s="158"/>
      <c r="O42" s="157"/>
    </row>
    <row r="43">
      <c r="A43" s="145"/>
      <c r="B43" s="158"/>
      <c r="C43" s="167"/>
      <c r="D43" s="167"/>
      <c r="E43" s="158" t="str">
        <f t="shared" si="1"/>
        <v/>
      </c>
      <c r="F43" s="168" t="str">
        <f t="shared" si="2"/>
        <v/>
      </c>
      <c r="G43" s="160" t="str">
        <f>IFERROR(__xludf.DUMMYFUNCTION("""COMPUTED_VALUE"""),"")</f>
        <v/>
      </c>
      <c r="H43" s="151" t="s">
        <v>127</v>
      </c>
      <c r="I43" s="159"/>
      <c r="J43" s="159"/>
      <c r="K43" s="158"/>
      <c r="O43" s="157"/>
    </row>
    <row r="44">
      <c r="A44" s="145"/>
      <c r="B44" s="158"/>
      <c r="C44" s="167"/>
      <c r="D44" s="167"/>
      <c r="E44" s="158" t="str">
        <f t="shared" si="1"/>
        <v/>
      </c>
      <c r="F44" s="168" t="str">
        <f t="shared" si="2"/>
        <v/>
      </c>
      <c r="G44" s="160" t="str">
        <f>IFERROR(__xludf.DUMMYFUNCTION("""COMPUTED_VALUE"""),"")</f>
        <v/>
      </c>
      <c r="H44" s="151" t="s">
        <v>127</v>
      </c>
      <c r="I44" s="159"/>
      <c r="J44" s="159"/>
      <c r="K44" s="158"/>
      <c r="O44" s="157"/>
    </row>
    <row r="45">
      <c r="A45" s="145"/>
      <c r="B45" s="158"/>
      <c r="C45" s="167"/>
      <c r="D45" s="167"/>
      <c r="E45" s="158" t="str">
        <f t="shared" si="1"/>
        <v/>
      </c>
      <c r="F45" s="168" t="str">
        <f t="shared" si="2"/>
        <v/>
      </c>
      <c r="G45" s="160" t="str">
        <f>IFERROR(__xludf.DUMMYFUNCTION("""COMPUTED_VALUE"""),"")</f>
        <v/>
      </c>
      <c r="H45" s="151" t="s">
        <v>127</v>
      </c>
      <c r="I45" s="159"/>
      <c r="J45" s="159"/>
      <c r="K45" s="158"/>
      <c r="O45" s="157"/>
    </row>
    <row r="46">
      <c r="A46" s="145"/>
      <c r="B46" s="158"/>
      <c r="C46" s="167"/>
      <c r="D46" s="167"/>
      <c r="E46" s="158" t="str">
        <f t="shared" si="1"/>
        <v/>
      </c>
      <c r="F46" s="168" t="str">
        <f t="shared" si="2"/>
        <v/>
      </c>
      <c r="G46" s="160" t="str">
        <f>IFERROR(__xludf.DUMMYFUNCTION("""COMPUTED_VALUE"""),"")</f>
        <v/>
      </c>
      <c r="H46" s="151" t="s">
        <v>127</v>
      </c>
      <c r="I46" s="159"/>
      <c r="J46" s="159"/>
      <c r="K46" s="158"/>
      <c r="O46" s="157"/>
    </row>
    <row r="47">
      <c r="A47" s="145"/>
      <c r="B47" s="158"/>
      <c r="C47" s="167"/>
      <c r="D47" s="167"/>
      <c r="E47" s="158" t="str">
        <f t="shared" si="1"/>
        <v/>
      </c>
      <c r="F47" s="168" t="str">
        <f t="shared" si="2"/>
        <v/>
      </c>
      <c r="G47" s="160" t="str">
        <f>IFERROR(__xludf.DUMMYFUNCTION("""COMPUTED_VALUE"""),"")</f>
        <v/>
      </c>
      <c r="H47" s="151" t="s">
        <v>127</v>
      </c>
      <c r="I47" s="159"/>
      <c r="J47" s="159"/>
      <c r="K47" s="158"/>
      <c r="O47" s="157"/>
    </row>
    <row r="48">
      <c r="A48" s="145"/>
      <c r="B48" s="158"/>
      <c r="C48" s="167"/>
      <c r="D48" s="167"/>
      <c r="E48" s="158" t="str">
        <f t="shared" si="1"/>
        <v/>
      </c>
      <c r="F48" s="168" t="str">
        <f t="shared" si="2"/>
        <v/>
      </c>
      <c r="G48" s="160" t="str">
        <f>IFERROR(__xludf.DUMMYFUNCTION("""COMPUTED_VALUE"""),"")</f>
        <v/>
      </c>
      <c r="H48" s="151" t="s">
        <v>127</v>
      </c>
      <c r="I48" s="159"/>
      <c r="J48" s="159"/>
      <c r="K48" s="158"/>
      <c r="O48" s="157"/>
    </row>
    <row r="49">
      <c r="A49" s="145"/>
      <c r="B49" s="158"/>
      <c r="C49" s="167"/>
      <c r="D49" s="167"/>
      <c r="E49" s="158" t="str">
        <f t="shared" si="1"/>
        <v/>
      </c>
      <c r="F49" s="168" t="str">
        <f t="shared" si="2"/>
        <v/>
      </c>
      <c r="G49" s="160" t="str">
        <f>IFERROR(__xludf.DUMMYFUNCTION("""COMPUTED_VALUE"""),"")</f>
        <v/>
      </c>
      <c r="H49" s="151" t="s">
        <v>127</v>
      </c>
      <c r="I49" s="159"/>
      <c r="J49" s="159"/>
      <c r="K49" s="158"/>
      <c r="O49" s="157"/>
    </row>
    <row r="50">
      <c r="A50" s="145"/>
      <c r="B50" s="158"/>
      <c r="C50" s="167"/>
      <c r="D50" s="167"/>
      <c r="E50" s="158" t="str">
        <f t="shared" si="1"/>
        <v/>
      </c>
      <c r="F50" s="168" t="str">
        <f t="shared" si="2"/>
        <v/>
      </c>
      <c r="G50" s="160" t="str">
        <f>IFERROR(__xludf.DUMMYFUNCTION("""COMPUTED_VALUE"""),"")</f>
        <v/>
      </c>
      <c r="H50" s="151" t="s">
        <v>127</v>
      </c>
      <c r="I50" s="159"/>
      <c r="J50" s="159"/>
      <c r="K50" s="158"/>
      <c r="O50" s="157"/>
    </row>
    <row r="51">
      <c r="A51" s="145"/>
      <c r="B51" s="158"/>
      <c r="C51" s="167"/>
      <c r="D51" s="167"/>
      <c r="E51" s="158" t="str">
        <f t="shared" si="1"/>
        <v/>
      </c>
      <c r="F51" s="168" t="str">
        <f t="shared" si="2"/>
        <v/>
      </c>
      <c r="G51" s="160" t="str">
        <f>IFERROR(__xludf.DUMMYFUNCTION("""COMPUTED_VALUE"""),"")</f>
        <v/>
      </c>
      <c r="H51" s="151" t="s">
        <v>127</v>
      </c>
      <c r="I51" s="159"/>
      <c r="J51" s="159"/>
      <c r="K51" s="158"/>
      <c r="O51" s="157"/>
    </row>
    <row r="52">
      <c r="A52" s="145"/>
      <c r="B52" s="158"/>
      <c r="C52" s="167"/>
      <c r="D52" s="167"/>
      <c r="E52" s="158" t="str">
        <f t="shared" si="1"/>
        <v/>
      </c>
      <c r="F52" s="168" t="str">
        <f t="shared" si="2"/>
        <v/>
      </c>
      <c r="G52" s="160" t="str">
        <f>IFERROR(__xludf.DUMMYFUNCTION("""COMPUTED_VALUE"""),"")</f>
        <v/>
      </c>
      <c r="H52" s="151" t="s">
        <v>127</v>
      </c>
      <c r="I52" s="159"/>
      <c r="J52" s="159"/>
      <c r="K52" s="158"/>
      <c r="O52" s="157"/>
    </row>
    <row r="53">
      <c r="A53" s="145"/>
      <c r="B53" s="158"/>
      <c r="C53" s="167"/>
      <c r="D53" s="167"/>
      <c r="E53" s="158" t="str">
        <f t="shared" si="1"/>
        <v/>
      </c>
      <c r="F53" s="168" t="str">
        <f t="shared" si="2"/>
        <v/>
      </c>
      <c r="G53" s="160" t="str">
        <f>IFERROR(__xludf.DUMMYFUNCTION("""COMPUTED_VALUE"""),"")</f>
        <v/>
      </c>
      <c r="H53" s="151" t="s">
        <v>127</v>
      </c>
      <c r="I53" s="159"/>
      <c r="J53" s="159"/>
      <c r="K53" s="158"/>
      <c r="O53" s="157"/>
    </row>
    <row r="54">
      <c r="A54" s="145"/>
      <c r="B54" s="158"/>
      <c r="C54" s="167"/>
      <c r="D54" s="167"/>
      <c r="E54" s="158" t="str">
        <f t="shared" si="1"/>
        <v/>
      </c>
      <c r="F54" s="168" t="str">
        <f t="shared" si="2"/>
        <v/>
      </c>
      <c r="G54" s="160" t="str">
        <f>IFERROR(__xludf.DUMMYFUNCTION("""COMPUTED_VALUE"""),"")</f>
        <v/>
      </c>
      <c r="H54" s="151" t="s">
        <v>127</v>
      </c>
      <c r="I54" s="159"/>
      <c r="J54" s="159"/>
      <c r="K54" s="158"/>
      <c r="O54" s="157"/>
    </row>
    <row r="55">
      <c r="A55" s="145"/>
      <c r="B55" s="158"/>
      <c r="C55" s="167"/>
      <c r="D55" s="167"/>
      <c r="E55" s="158" t="str">
        <f t="shared" si="1"/>
        <v/>
      </c>
      <c r="F55" s="168" t="str">
        <f t="shared" si="2"/>
        <v/>
      </c>
      <c r="G55" s="160" t="str">
        <f>IFERROR(__xludf.DUMMYFUNCTION("""COMPUTED_VALUE"""),"")</f>
        <v/>
      </c>
      <c r="H55" s="151" t="s">
        <v>127</v>
      </c>
      <c r="I55" s="159"/>
      <c r="J55" s="159"/>
      <c r="K55" s="158"/>
      <c r="O55" s="157"/>
    </row>
    <row r="56">
      <c r="A56" s="145"/>
      <c r="B56" s="158"/>
      <c r="C56" s="167"/>
      <c r="D56" s="167"/>
      <c r="E56" s="158" t="str">
        <f t="shared" si="1"/>
        <v/>
      </c>
      <c r="F56" s="168" t="str">
        <f t="shared" si="2"/>
        <v/>
      </c>
      <c r="G56" s="160" t="str">
        <f>IFERROR(__xludf.DUMMYFUNCTION("""COMPUTED_VALUE"""),"")</f>
        <v/>
      </c>
      <c r="H56" s="151" t="s">
        <v>127</v>
      </c>
      <c r="I56" s="159"/>
      <c r="J56" s="159"/>
      <c r="K56" s="158"/>
      <c r="O56" s="157"/>
    </row>
    <row r="57">
      <c r="A57" s="145"/>
      <c r="B57" s="158"/>
      <c r="C57" s="167"/>
      <c r="D57" s="167"/>
      <c r="E57" s="158" t="str">
        <f t="shared" si="1"/>
        <v/>
      </c>
      <c r="F57" s="168" t="str">
        <f t="shared" si="2"/>
        <v/>
      </c>
      <c r="G57" s="160" t="str">
        <f>IFERROR(__xludf.DUMMYFUNCTION("""COMPUTED_VALUE"""),"")</f>
        <v/>
      </c>
      <c r="H57" s="151" t="s">
        <v>127</v>
      </c>
      <c r="I57" s="159"/>
      <c r="J57" s="159"/>
      <c r="K57" s="158"/>
      <c r="O57" s="157"/>
    </row>
    <row r="58">
      <c r="A58" s="145"/>
      <c r="B58" s="158"/>
      <c r="C58" s="167"/>
      <c r="D58" s="167"/>
      <c r="E58" s="158" t="str">
        <f t="shared" si="1"/>
        <v/>
      </c>
      <c r="F58" s="168" t="str">
        <f t="shared" si="2"/>
        <v/>
      </c>
      <c r="G58" s="160" t="str">
        <f>IFERROR(__xludf.DUMMYFUNCTION("""COMPUTED_VALUE"""),"")</f>
        <v/>
      </c>
      <c r="H58" s="151" t="s">
        <v>127</v>
      </c>
      <c r="I58" s="159"/>
      <c r="J58" s="159"/>
      <c r="K58" s="158"/>
      <c r="O58" s="157"/>
    </row>
    <row r="59">
      <c r="A59" s="145"/>
      <c r="B59" s="158"/>
      <c r="C59" s="167"/>
      <c r="D59" s="167"/>
      <c r="E59" s="158" t="str">
        <f t="shared" si="1"/>
        <v/>
      </c>
      <c r="F59" s="168" t="str">
        <f t="shared" si="2"/>
        <v/>
      </c>
      <c r="G59" s="160" t="str">
        <f>IFERROR(__xludf.DUMMYFUNCTION("""COMPUTED_VALUE"""),"")</f>
        <v/>
      </c>
      <c r="H59" s="151" t="s">
        <v>127</v>
      </c>
      <c r="I59" s="159"/>
      <c r="J59" s="159"/>
      <c r="K59" s="158"/>
      <c r="O59" s="157"/>
    </row>
    <row r="60">
      <c r="A60" s="145"/>
      <c r="B60" s="158"/>
      <c r="C60" s="167"/>
      <c r="D60" s="167"/>
      <c r="E60" s="158" t="str">
        <f t="shared" si="1"/>
        <v/>
      </c>
      <c r="F60" s="168" t="str">
        <f t="shared" ref="F60:F83" si="3">if(C60="","",D60/C60)</f>
        <v/>
      </c>
      <c r="G60" s="160" t="str">
        <f>IFERROR(__xludf.DUMMYFUNCTION("""COMPUTED_VALUE"""),"")</f>
        <v/>
      </c>
      <c r="H60" s="151" t="s">
        <v>127</v>
      </c>
      <c r="I60" s="159"/>
      <c r="J60" s="159"/>
      <c r="K60" s="158"/>
      <c r="O60" s="157"/>
    </row>
    <row r="61">
      <c r="A61" s="145"/>
      <c r="B61" s="158"/>
      <c r="C61" s="167"/>
      <c r="D61" s="167"/>
      <c r="E61" s="158" t="str">
        <f t="shared" si="1"/>
        <v/>
      </c>
      <c r="F61" s="168" t="str">
        <f t="shared" si="3"/>
        <v/>
      </c>
      <c r="G61" s="160" t="str">
        <f>IFERROR(__xludf.DUMMYFUNCTION("""COMPUTED_VALUE"""),"")</f>
        <v/>
      </c>
      <c r="H61" s="151" t="s">
        <v>127</v>
      </c>
      <c r="I61" s="159"/>
      <c r="J61" s="159"/>
      <c r="K61" s="158"/>
      <c r="O61" s="157"/>
    </row>
    <row r="62">
      <c r="A62" s="145"/>
      <c r="B62" s="158"/>
      <c r="C62" s="167"/>
      <c r="D62" s="167"/>
      <c r="E62" s="158" t="str">
        <f t="shared" si="1"/>
        <v/>
      </c>
      <c r="F62" s="168" t="str">
        <f t="shared" si="3"/>
        <v/>
      </c>
      <c r="G62" s="160" t="str">
        <f>IFERROR(__xludf.DUMMYFUNCTION("""COMPUTED_VALUE"""),"")</f>
        <v/>
      </c>
      <c r="H62" s="151" t="s">
        <v>127</v>
      </c>
      <c r="I62" s="159"/>
      <c r="J62" s="159"/>
      <c r="K62" s="158"/>
      <c r="O62" s="157"/>
    </row>
    <row r="63">
      <c r="A63" s="145"/>
      <c r="B63" s="158"/>
      <c r="C63" s="167"/>
      <c r="D63" s="167"/>
      <c r="E63" s="158" t="str">
        <f t="shared" si="1"/>
        <v/>
      </c>
      <c r="F63" s="168" t="str">
        <f t="shared" si="3"/>
        <v/>
      </c>
      <c r="G63" s="160" t="str">
        <f>IFERROR(__xludf.DUMMYFUNCTION("""COMPUTED_VALUE"""),"")</f>
        <v/>
      </c>
      <c r="H63" s="151" t="s">
        <v>127</v>
      </c>
      <c r="I63" s="159"/>
      <c r="J63" s="159"/>
      <c r="K63" s="158"/>
      <c r="O63" s="157"/>
    </row>
    <row r="64">
      <c r="A64" s="145"/>
      <c r="B64" s="158"/>
      <c r="C64" s="167"/>
      <c r="D64" s="167"/>
      <c r="E64" s="158" t="str">
        <f t="shared" si="1"/>
        <v/>
      </c>
      <c r="F64" s="168" t="str">
        <f t="shared" si="3"/>
        <v/>
      </c>
      <c r="G64" s="160" t="str">
        <f>IFERROR(__xludf.DUMMYFUNCTION("""COMPUTED_VALUE"""),"")</f>
        <v/>
      </c>
      <c r="H64" s="151" t="s">
        <v>127</v>
      </c>
      <c r="I64" s="159"/>
      <c r="J64" s="159"/>
      <c r="K64" s="158"/>
      <c r="O64" s="157"/>
    </row>
    <row r="65">
      <c r="A65" s="145"/>
      <c r="B65" s="158"/>
      <c r="C65" s="167"/>
      <c r="D65" s="167"/>
      <c r="E65" s="158" t="str">
        <f t="shared" si="1"/>
        <v/>
      </c>
      <c r="F65" s="168" t="str">
        <f t="shared" si="3"/>
        <v/>
      </c>
      <c r="G65" s="160" t="str">
        <f>IFERROR(__xludf.DUMMYFUNCTION("""COMPUTED_VALUE"""),"")</f>
        <v/>
      </c>
      <c r="H65" s="151" t="s">
        <v>127</v>
      </c>
      <c r="I65" s="159"/>
      <c r="J65" s="159"/>
      <c r="K65" s="158"/>
      <c r="O65" s="157"/>
    </row>
    <row r="66">
      <c r="A66" s="145"/>
      <c r="B66" s="158"/>
      <c r="C66" s="167"/>
      <c r="D66" s="167"/>
      <c r="E66" s="158" t="str">
        <f t="shared" si="1"/>
        <v/>
      </c>
      <c r="F66" s="168" t="str">
        <f t="shared" si="3"/>
        <v/>
      </c>
      <c r="G66" s="160" t="str">
        <f>IFERROR(__xludf.DUMMYFUNCTION("""COMPUTED_VALUE"""),"")</f>
        <v/>
      </c>
      <c r="H66" s="151" t="s">
        <v>127</v>
      </c>
      <c r="I66" s="159"/>
      <c r="J66" s="159"/>
      <c r="K66" s="158"/>
      <c r="O66" s="157"/>
    </row>
    <row r="67">
      <c r="A67" s="145"/>
      <c r="B67" s="158"/>
      <c r="C67" s="167"/>
      <c r="D67" s="167"/>
      <c r="E67" s="158" t="str">
        <f t="shared" si="1"/>
        <v/>
      </c>
      <c r="F67" s="168" t="str">
        <f t="shared" si="3"/>
        <v/>
      </c>
      <c r="G67" s="160" t="str">
        <f>IFERROR(__xludf.DUMMYFUNCTION("""COMPUTED_VALUE"""),"")</f>
        <v/>
      </c>
      <c r="H67" s="151" t="s">
        <v>127</v>
      </c>
      <c r="I67" s="159"/>
      <c r="J67" s="159"/>
      <c r="K67" s="158"/>
      <c r="O67" s="157"/>
    </row>
    <row r="68">
      <c r="A68" s="145"/>
      <c r="B68" s="158"/>
      <c r="C68" s="167"/>
      <c r="D68" s="167"/>
      <c r="E68" s="158" t="str">
        <f t="shared" si="1"/>
        <v/>
      </c>
      <c r="F68" s="168" t="str">
        <f t="shared" si="3"/>
        <v/>
      </c>
      <c r="G68" s="160" t="str">
        <f>IFERROR(__xludf.DUMMYFUNCTION("""COMPUTED_VALUE"""),"")</f>
        <v/>
      </c>
      <c r="H68" s="151" t="s">
        <v>127</v>
      </c>
      <c r="I68" s="159"/>
      <c r="J68" s="159"/>
      <c r="K68" s="158"/>
      <c r="O68" s="157"/>
    </row>
    <row r="69">
      <c r="A69" s="145"/>
      <c r="B69" s="158"/>
      <c r="C69" s="167"/>
      <c r="D69" s="167"/>
      <c r="E69" s="158" t="str">
        <f t="shared" si="1"/>
        <v/>
      </c>
      <c r="F69" s="168" t="str">
        <f t="shared" si="3"/>
        <v/>
      </c>
      <c r="G69" s="160" t="str">
        <f>IFERROR(__xludf.DUMMYFUNCTION("""COMPUTED_VALUE"""),"")</f>
        <v/>
      </c>
      <c r="H69" s="151" t="s">
        <v>127</v>
      </c>
      <c r="I69" s="159"/>
      <c r="J69" s="159"/>
      <c r="K69" s="158"/>
      <c r="O69" s="157"/>
    </row>
    <row r="70">
      <c r="A70" s="145"/>
      <c r="B70" s="158"/>
      <c r="C70" s="167"/>
      <c r="D70" s="167"/>
      <c r="E70" s="158" t="str">
        <f t="shared" si="1"/>
        <v/>
      </c>
      <c r="F70" s="168" t="str">
        <f t="shared" si="3"/>
        <v/>
      </c>
      <c r="G70" s="160" t="str">
        <f>IFERROR(__xludf.DUMMYFUNCTION("""COMPUTED_VALUE"""),"")</f>
        <v/>
      </c>
      <c r="H70" s="151" t="s">
        <v>127</v>
      </c>
      <c r="I70" s="159"/>
      <c r="J70" s="159"/>
      <c r="K70" s="158"/>
      <c r="O70" s="157"/>
    </row>
    <row r="71">
      <c r="A71" s="145"/>
      <c r="B71" s="158"/>
      <c r="C71" s="167"/>
      <c r="D71" s="167"/>
      <c r="E71" s="158" t="str">
        <f t="shared" si="1"/>
        <v/>
      </c>
      <c r="F71" s="168" t="str">
        <f t="shared" si="3"/>
        <v/>
      </c>
      <c r="G71" s="160" t="str">
        <f>IFERROR(__xludf.DUMMYFUNCTION("""COMPUTED_VALUE"""),"")</f>
        <v/>
      </c>
      <c r="H71" s="151" t="s">
        <v>127</v>
      </c>
      <c r="I71" s="159"/>
      <c r="J71" s="159"/>
      <c r="K71" s="158"/>
      <c r="O71" s="157"/>
    </row>
    <row r="72">
      <c r="A72" s="145"/>
      <c r="B72" s="158"/>
      <c r="C72" s="167"/>
      <c r="D72" s="167"/>
      <c r="E72" s="158" t="str">
        <f t="shared" si="1"/>
        <v/>
      </c>
      <c r="F72" s="168" t="str">
        <f t="shared" si="3"/>
        <v/>
      </c>
      <c r="G72" s="160" t="str">
        <f>IFERROR(__xludf.DUMMYFUNCTION("""COMPUTED_VALUE"""),"")</f>
        <v/>
      </c>
      <c r="H72" s="151" t="s">
        <v>127</v>
      </c>
      <c r="I72" s="159"/>
      <c r="J72" s="159"/>
      <c r="K72" s="158"/>
      <c r="O72" s="157"/>
    </row>
    <row r="73">
      <c r="A73" s="145"/>
      <c r="B73" s="158"/>
      <c r="C73" s="167"/>
      <c r="D73" s="167"/>
      <c r="E73" s="158" t="str">
        <f t="shared" si="1"/>
        <v/>
      </c>
      <c r="F73" s="168" t="str">
        <f t="shared" si="3"/>
        <v/>
      </c>
      <c r="G73" s="160" t="str">
        <f>IFERROR(__xludf.DUMMYFUNCTION("""COMPUTED_VALUE"""),"")</f>
        <v/>
      </c>
      <c r="H73" s="151" t="s">
        <v>127</v>
      </c>
      <c r="I73" s="159"/>
      <c r="J73" s="159"/>
      <c r="K73" s="158"/>
      <c r="O73" s="157"/>
    </row>
    <row r="74">
      <c r="A74" s="145"/>
      <c r="B74" s="158"/>
      <c r="C74" s="167"/>
      <c r="D74" s="167"/>
      <c r="E74" s="158" t="str">
        <f t="shared" si="1"/>
        <v/>
      </c>
      <c r="F74" s="168" t="str">
        <f t="shared" si="3"/>
        <v/>
      </c>
      <c r="G74" s="160" t="str">
        <f>IFERROR(__xludf.DUMMYFUNCTION("""COMPUTED_VALUE"""),"")</f>
        <v/>
      </c>
      <c r="H74" s="151" t="s">
        <v>127</v>
      </c>
      <c r="I74" s="159"/>
      <c r="J74" s="159"/>
      <c r="K74" s="158"/>
      <c r="O74" s="157"/>
    </row>
    <row r="75">
      <c r="A75" s="145"/>
      <c r="B75" s="158"/>
      <c r="C75" s="167"/>
      <c r="D75" s="167"/>
      <c r="E75" s="158" t="str">
        <f t="shared" si="1"/>
        <v/>
      </c>
      <c r="F75" s="168" t="str">
        <f t="shared" si="3"/>
        <v/>
      </c>
      <c r="G75" s="160" t="str">
        <f>IFERROR(__xludf.DUMMYFUNCTION("""COMPUTED_VALUE"""),"")</f>
        <v/>
      </c>
      <c r="H75" s="151" t="s">
        <v>127</v>
      </c>
      <c r="I75" s="159"/>
      <c r="J75" s="159"/>
      <c r="K75" s="158"/>
      <c r="O75" s="157"/>
    </row>
    <row r="76">
      <c r="A76" s="145"/>
      <c r="B76" s="158"/>
      <c r="C76" s="167"/>
      <c r="D76" s="167"/>
      <c r="E76" s="158" t="str">
        <f t="shared" si="1"/>
        <v/>
      </c>
      <c r="F76" s="168" t="str">
        <f t="shared" si="3"/>
        <v/>
      </c>
      <c r="G76" s="160" t="str">
        <f>IFERROR(__xludf.DUMMYFUNCTION("""COMPUTED_VALUE"""),"")</f>
        <v/>
      </c>
      <c r="H76" s="151" t="s">
        <v>127</v>
      </c>
      <c r="I76" s="159"/>
      <c r="J76" s="159"/>
      <c r="K76" s="158"/>
      <c r="O76" s="157"/>
    </row>
    <row r="77">
      <c r="A77" s="145"/>
      <c r="B77" s="158"/>
      <c r="C77" s="167"/>
      <c r="D77" s="167"/>
      <c r="E77" s="158" t="str">
        <f t="shared" si="1"/>
        <v/>
      </c>
      <c r="F77" s="168" t="str">
        <f t="shared" si="3"/>
        <v/>
      </c>
      <c r="G77" s="160" t="str">
        <f>IFERROR(__xludf.DUMMYFUNCTION("""COMPUTED_VALUE"""),"")</f>
        <v/>
      </c>
      <c r="H77" s="151" t="s">
        <v>127</v>
      </c>
      <c r="I77" s="159"/>
      <c r="J77" s="159"/>
      <c r="K77" s="158"/>
      <c r="O77" s="157"/>
    </row>
    <row r="78">
      <c r="A78" s="145"/>
      <c r="B78" s="158"/>
      <c r="C78" s="167"/>
      <c r="D78" s="167"/>
      <c r="E78" s="158" t="str">
        <f t="shared" si="1"/>
        <v/>
      </c>
      <c r="F78" s="168" t="str">
        <f t="shared" si="3"/>
        <v/>
      </c>
      <c r="G78" s="160" t="str">
        <f>IFERROR(__xludf.DUMMYFUNCTION("""COMPUTED_VALUE"""),"")</f>
        <v/>
      </c>
      <c r="H78" s="151" t="s">
        <v>127</v>
      </c>
      <c r="I78" s="159"/>
      <c r="J78" s="159"/>
      <c r="K78" s="158"/>
      <c r="O78" s="157"/>
    </row>
    <row r="79">
      <c r="A79" s="145"/>
      <c r="B79" s="158"/>
      <c r="C79" s="167"/>
      <c r="D79" s="167"/>
      <c r="E79" s="158" t="str">
        <f t="shared" si="1"/>
        <v/>
      </c>
      <c r="F79" s="168" t="str">
        <f t="shared" si="3"/>
        <v/>
      </c>
      <c r="G79" s="160" t="str">
        <f>IFERROR(__xludf.DUMMYFUNCTION("""COMPUTED_VALUE"""),"")</f>
        <v/>
      </c>
      <c r="H79" s="151" t="s">
        <v>127</v>
      </c>
      <c r="I79" s="159"/>
      <c r="J79" s="159"/>
      <c r="K79" s="158"/>
      <c r="O79" s="157"/>
    </row>
    <row r="80">
      <c r="A80" s="145"/>
      <c r="B80" s="158"/>
      <c r="C80" s="167"/>
      <c r="D80" s="167"/>
      <c r="E80" s="158" t="str">
        <f t="shared" si="1"/>
        <v/>
      </c>
      <c r="F80" s="168" t="str">
        <f t="shared" si="3"/>
        <v/>
      </c>
      <c r="G80" s="160" t="str">
        <f>IFERROR(__xludf.DUMMYFUNCTION("""COMPUTED_VALUE"""),"")</f>
        <v/>
      </c>
      <c r="H80" s="151" t="s">
        <v>127</v>
      </c>
      <c r="I80" s="159"/>
      <c r="J80" s="159"/>
      <c r="K80" s="158"/>
      <c r="O80" s="157"/>
    </row>
    <row r="81">
      <c r="A81" s="145"/>
      <c r="B81" s="158"/>
      <c r="C81" s="167"/>
      <c r="D81" s="167"/>
      <c r="E81" s="158" t="str">
        <f t="shared" si="1"/>
        <v/>
      </c>
      <c r="F81" s="168" t="str">
        <f t="shared" si="3"/>
        <v/>
      </c>
      <c r="G81" s="160" t="str">
        <f>IFERROR(__xludf.DUMMYFUNCTION("""COMPUTED_VALUE"""),"")</f>
        <v/>
      </c>
      <c r="H81" s="151" t="s">
        <v>127</v>
      </c>
      <c r="I81" s="159"/>
      <c r="J81" s="159"/>
      <c r="K81" s="158"/>
      <c r="O81" s="157"/>
    </row>
    <row r="82">
      <c r="A82" s="145"/>
      <c r="B82" s="158"/>
      <c r="C82" s="167"/>
      <c r="D82" s="167"/>
      <c r="E82" s="158" t="str">
        <f t="shared" si="1"/>
        <v/>
      </c>
      <c r="F82" s="168" t="str">
        <f t="shared" si="3"/>
        <v/>
      </c>
      <c r="G82" s="160" t="str">
        <f>IFERROR(__xludf.DUMMYFUNCTION("""COMPUTED_VALUE"""),"")</f>
        <v/>
      </c>
      <c r="H82" s="151" t="s">
        <v>127</v>
      </c>
      <c r="I82" s="159"/>
      <c r="J82" s="159"/>
      <c r="K82" s="158"/>
      <c r="O82" s="157"/>
    </row>
    <row r="83">
      <c r="A83" s="145"/>
      <c r="B83" s="158"/>
      <c r="C83" s="167"/>
      <c r="D83" s="167"/>
      <c r="E83" s="158" t="str">
        <f t="shared" si="1"/>
        <v/>
      </c>
      <c r="F83" s="168" t="str">
        <f t="shared" si="3"/>
        <v/>
      </c>
      <c r="G83" s="160" t="str">
        <f>IFERROR(__xludf.DUMMYFUNCTION("""COMPUTED_VALUE"""),"")</f>
        <v/>
      </c>
      <c r="H83" s="151" t="s">
        <v>127</v>
      </c>
      <c r="I83" s="159"/>
      <c r="J83" s="159"/>
      <c r="K83" s="158"/>
      <c r="O83" s="157"/>
    </row>
  </sheetData>
  <conditionalFormatting sqref="A2:H83 K2:K83">
    <cfRule type="expression" dxfId="1" priority="1">
      <formula>if($A2="",1,0)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62" t="s">
        <v>593</v>
      </c>
      <c r="B1" s="62" t="s">
        <v>594</v>
      </c>
      <c r="D1" s="62" t="s">
        <v>595</v>
      </c>
    </row>
    <row r="2">
      <c r="A2" s="62" t="s">
        <v>596</v>
      </c>
      <c r="B2" s="62" t="s">
        <v>597</v>
      </c>
    </row>
    <row r="3">
      <c r="A3" s="62" t="s">
        <v>598</v>
      </c>
      <c r="B3" s="62" t="s">
        <v>599</v>
      </c>
    </row>
    <row r="4">
      <c r="A4" s="62" t="s">
        <v>600</v>
      </c>
      <c r="B4" s="62" t="s">
        <v>601</v>
      </c>
    </row>
    <row r="5">
      <c r="A5" s="62" t="s">
        <v>602</v>
      </c>
      <c r="B5" s="62" t="s">
        <v>601</v>
      </c>
    </row>
    <row r="6">
      <c r="A6" s="62" t="s">
        <v>603</v>
      </c>
      <c r="B6" s="62" t="s">
        <v>604</v>
      </c>
    </row>
    <row r="7">
      <c r="A7" s="62" t="s">
        <v>605</v>
      </c>
      <c r="B7" s="62" t="s">
        <v>606</v>
      </c>
    </row>
    <row r="8">
      <c r="A8" s="62" t="s">
        <v>607</v>
      </c>
      <c r="B8" s="62" t="s">
        <v>608</v>
      </c>
    </row>
    <row r="9">
      <c r="A9" s="62" t="s">
        <v>609</v>
      </c>
      <c r="B9" s="62" t="s">
        <v>610</v>
      </c>
    </row>
    <row r="10">
      <c r="A10" s="62" t="s">
        <v>611</v>
      </c>
      <c r="B10" s="62" t="s">
        <v>612</v>
      </c>
    </row>
    <row r="11">
      <c r="A11" s="62" t="s">
        <v>613</v>
      </c>
      <c r="B11" s="62" t="s">
        <v>614</v>
      </c>
    </row>
    <row r="12">
      <c r="A12" s="62" t="s">
        <v>615</v>
      </c>
      <c r="B12" s="62" t="s">
        <v>616</v>
      </c>
    </row>
    <row r="13">
      <c r="A13" s="62" t="s">
        <v>617</v>
      </c>
      <c r="B13" s="62" t="s">
        <v>618</v>
      </c>
    </row>
    <row r="14">
      <c r="A14" s="62" t="s">
        <v>619</v>
      </c>
      <c r="B14" s="62" t="s">
        <v>620</v>
      </c>
    </row>
    <row r="15">
      <c r="A15" s="62" t="s">
        <v>621</v>
      </c>
      <c r="B15" s="62" t="s">
        <v>601</v>
      </c>
    </row>
    <row r="16">
      <c r="A16" s="62" t="s">
        <v>622</v>
      </c>
      <c r="B16" s="62" t="s">
        <v>623</v>
      </c>
    </row>
    <row r="17">
      <c r="A17" s="62" t="s">
        <v>624</v>
      </c>
      <c r="B17" s="62" t="s">
        <v>625</v>
      </c>
    </row>
    <row r="18">
      <c r="A18" s="62" t="s">
        <v>626</v>
      </c>
      <c r="B18" s="62" t="s">
        <v>627</v>
      </c>
    </row>
    <row r="19">
      <c r="A19" s="62" t="s">
        <v>628</v>
      </c>
      <c r="B19" s="62" t="s">
        <v>629</v>
      </c>
    </row>
    <row r="20">
      <c r="A20" s="62" t="s">
        <v>630</v>
      </c>
      <c r="B20" s="62" t="s">
        <v>631</v>
      </c>
    </row>
    <row r="21">
      <c r="A21" s="62" t="s">
        <v>632</v>
      </c>
      <c r="B21" s="62" t="s">
        <v>633</v>
      </c>
    </row>
    <row r="22">
      <c r="A22" s="62" t="s">
        <v>634</v>
      </c>
      <c r="B22" s="62" t="s">
        <v>635</v>
      </c>
    </row>
    <row r="23">
      <c r="A23" s="62" t="s">
        <v>636</v>
      </c>
      <c r="B23" s="62" t="s">
        <v>637</v>
      </c>
    </row>
    <row r="24">
      <c r="A24" s="62" t="s">
        <v>638</v>
      </c>
      <c r="B24" s="62" t="s">
        <v>639</v>
      </c>
    </row>
    <row r="25">
      <c r="A25" s="62" t="s">
        <v>640</v>
      </c>
      <c r="B25" s="62" t="s">
        <v>641</v>
      </c>
    </row>
    <row r="26">
      <c r="A26" s="62" t="s">
        <v>642</v>
      </c>
      <c r="B26" s="62" t="s">
        <v>643</v>
      </c>
    </row>
    <row r="27">
      <c r="A27" s="62" t="s">
        <v>644</v>
      </c>
      <c r="B27" s="62" t="s">
        <v>645</v>
      </c>
    </row>
    <row r="28">
      <c r="A28" s="62" t="s">
        <v>646</v>
      </c>
      <c r="B28" s="62" t="s">
        <v>647</v>
      </c>
    </row>
    <row r="29">
      <c r="A29" s="62" t="s">
        <v>648</v>
      </c>
      <c r="B29" s="62" t="s">
        <v>649</v>
      </c>
    </row>
    <row r="30">
      <c r="A30" s="62" t="s">
        <v>650</v>
      </c>
      <c r="B30" s="62" t="s">
        <v>651</v>
      </c>
    </row>
    <row r="31">
      <c r="A31" s="62" t="s">
        <v>652</v>
      </c>
      <c r="B31" s="62" t="s">
        <v>653</v>
      </c>
    </row>
    <row r="32">
      <c r="A32" s="62" t="s">
        <v>654</v>
      </c>
      <c r="B32" s="62" t="s">
        <v>655</v>
      </c>
    </row>
    <row r="33">
      <c r="A33" s="62" t="s">
        <v>656</v>
      </c>
      <c r="B33" s="62" t="s">
        <v>657</v>
      </c>
    </row>
    <row r="34">
      <c r="A34" s="62" t="s">
        <v>658</v>
      </c>
      <c r="B34" s="62" t="s">
        <v>659</v>
      </c>
    </row>
    <row r="35">
      <c r="A35" s="62" t="s">
        <v>660</v>
      </c>
      <c r="B35" s="62" t="s">
        <v>661</v>
      </c>
    </row>
    <row r="36">
      <c r="A36" s="62" t="s">
        <v>662</v>
      </c>
      <c r="B36" s="62" t="s">
        <v>663</v>
      </c>
    </row>
    <row r="37">
      <c r="A37" s="62" t="s">
        <v>664</v>
      </c>
      <c r="B37" s="62" t="s">
        <v>665</v>
      </c>
    </row>
    <row r="38">
      <c r="A38" s="62" t="s">
        <v>666</v>
      </c>
      <c r="B38" s="62" t="s">
        <v>667</v>
      </c>
    </row>
    <row r="39">
      <c r="A39" s="62" t="s">
        <v>668</v>
      </c>
      <c r="B39" s="62" t="s">
        <v>669</v>
      </c>
    </row>
    <row r="40">
      <c r="A40" s="62" t="s">
        <v>670</v>
      </c>
      <c r="B40" s="62" t="s">
        <v>671</v>
      </c>
    </row>
    <row r="41">
      <c r="A41" s="62" t="s">
        <v>672</v>
      </c>
      <c r="B41" s="62" t="s">
        <v>673</v>
      </c>
    </row>
    <row r="42">
      <c r="A42" s="62" t="s">
        <v>674</v>
      </c>
      <c r="B42" s="62" t="s">
        <v>675</v>
      </c>
    </row>
    <row r="43">
      <c r="A43" s="62" t="s">
        <v>676</v>
      </c>
      <c r="B43" s="62" t="s">
        <v>601</v>
      </c>
    </row>
    <row r="44">
      <c r="A44" s="62" t="s">
        <v>677</v>
      </c>
      <c r="B44" s="62" t="s">
        <v>678</v>
      </c>
    </row>
    <row r="45">
      <c r="A45" s="62" t="s">
        <v>679</v>
      </c>
      <c r="B45" s="62" t="s">
        <v>675</v>
      </c>
    </row>
    <row r="46">
      <c r="A46" s="62" t="s">
        <v>680</v>
      </c>
      <c r="B46" s="62" t="s">
        <v>681</v>
      </c>
    </row>
    <row r="47">
      <c r="A47" s="62" t="s">
        <v>682</v>
      </c>
      <c r="B47" s="62" t="s">
        <v>683</v>
      </c>
    </row>
    <row r="48">
      <c r="A48" s="62" t="s">
        <v>684</v>
      </c>
      <c r="B48" s="62" t="s">
        <v>601</v>
      </c>
    </row>
    <row r="49">
      <c r="A49" s="62" t="s">
        <v>685</v>
      </c>
      <c r="B49" s="62" t="s">
        <v>686</v>
      </c>
    </row>
    <row r="50">
      <c r="A50" s="62" t="s">
        <v>687</v>
      </c>
      <c r="B50" s="62" t="s">
        <v>601</v>
      </c>
    </row>
    <row r="51">
      <c r="A51" s="62" t="s">
        <v>688</v>
      </c>
      <c r="B51" s="62" t="s">
        <v>689</v>
      </c>
    </row>
    <row r="52">
      <c r="A52" s="62" t="s">
        <v>690</v>
      </c>
      <c r="B52" s="62" t="s">
        <v>691</v>
      </c>
    </row>
    <row r="53">
      <c r="A53" s="62" t="s">
        <v>692</v>
      </c>
      <c r="B53" s="62" t="s">
        <v>693</v>
      </c>
    </row>
    <row r="54">
      <c r="A54" s="62" t="s">
        <v>694</v>
      </c>
      <c r="B54" s="62" t="s">
        <v>695</v>
      </c>
    </row>
    <row r="55">
      <c r="A55" s="62" t="s">
        <v>696</v>
      </c>
      <c r="B55" s="62" t="s">
        <v>697</v>
      </c>
    </row>
    <row r="56">
      <c r="A56" s="62" t="s">
        <v>698</v>
      </c>
      <c r="B56" s="62" t="s">
        <v>699</v>
      </c>
    </row>
    <row r="57">
      <c r="A57" s="62" t="s">
        <v>700</v>
      </c>
      <c r="B57" s="62" t="s">
        <v>701</v>
      </c>
    </row>
    <row r="58">
      <c r="A58" s="62" t="s">
        <v>702</v>
      </c>
      <c r="B58" s="62" t="s">
        <v>703</v>
      </c>
    </row>
    <row r="59">
      <c r="A59" s="62" t="s">
        <v>704</v>
      </c>
      <c r="B59" s="62" t="s">
        <v>705</v>
      </c>
    </row>
    <row r="60">
      <c r="A60" s="62" t="s">
        <v>706</v>
      </c>
      <c r="B60" s="62" t="s">
        <v>707</v>
      </c>
    </row>
    <row r="61">
      <c r="A61" s="62" t="s">
        <v>708</v>
      </c>
      <c r="B61" s="62" t="s">
        <v>709</v>
      </c>
    </row>
    <row r="62">
      <c r="A62" s="62" t="s">
        <v>710</v>
      </c>
      <c r="B62" s="62" t="s">
        <v>711</v>
      </c>
    </row>
    <row r="63">
      <c r="A63" s="62" t="s">
        <v>712</v>
      </c>
      <c r="B63" s="62" t="s">
        <v>601</v>
      </c>
    </row>
    <row r="64">
      <c r="A64" s="62" t="s">
        <v>713</v>
      </c>
      <c r="B64" s="62" t="s">
        <v>714</v>
      </c>
    </row>
    <row r="65">
      <c r="A65" s="62" t="s">
        <v>715</v>
      </c>
      <c r="B65" s="62" t="s">
        <v>716</v>
      </c>
    </row>
    <row r="66">
      <c r="A66" s="62" t="s">
        <v>717</v>
      </c>
      <c r="B66" s="62" t="s">
        <v>718</v>
      </c>
    </row>
    <row r="67">
      <c r="A67" s="62" t="s">
        <v>719</v>
      </c>
      <c r="B67" s="62" t="s">
        <v>720</v>
      </c>
    </row>
    <row r="68">
      <c r="A68" s="62" t="s">
        <v>721</v>
      </c>
      <c r="B68" s="62" t="s">
        <v>722</v>
      </c>
    </row>
    <row r="69">
      <c r="A69" s="62" t="s">
        <v>723</v>
      </c>
      <c r="B69" s="62" t="s">
        <v>724</v>
      </c>
    </row>
    <row r="70">
      <c r="A70" s="62" t="s">
        <v>725</v>
      </c>
      <c r="B70" s="62" t="s">
        <v>726</v>
      </c>
    </row>
    <row r="71">
      <c r="A71" s="62" t="s">
        <v>727</v>
      </c>
      <c r="B71" s="62" t="s">
        <v>728</v>
      </c>
    </row>
    <row r="72">
      <c r="A72" s="62" t="s">
        <v>729</v>
      </c>
      <c r="B72" s="62" t="s">
        <v>730</v>
      </c>
    </row>
    <row r="73">
      <c r="A73" s="62" t="s">
        <v>731</v>
      </c>
      <c r="B73" s="62" t="s">
        <v>732</v>
      </c>
    </row>
    <row r="74">
      <c r="A74" s="62" t="s">
        <v>733</v>
      </c>
      <c r="B74" s="62" t="s">
        <v>734</v>
      </c>
    </row>
    <row r="75">
      <c r="A75" s="62" t="s">
        <v>735</v>
      </c>
      <c r="B75" s="62" t="s">
        <v>736</v>
      </c>
    </row>
    <row r="76">
      <c r="A76" s="62" t="s">
        <v>737</v>
      </c>
      <c r="B76" s="62" t="s">
        <v>738</v>
      </c>
    </row>
    <row r="77">
      <c r="A77" s="62" t="s">
        <v>739</v>
      </c>
      <c r="B77" s="62" t="s">
        <v>740</v>
      </c>
    </row>
    <row r="78">
      <c r="A78" s="62" t="s">
        <v>741</v>
      </c>
      <c r="B78" s="62" t="s">
        <v>742</v>
      </c>
    </row>
    <row r="79">
      <c r="A79" s="62" t="s">
        <v>743</v>
      </c>
      <c r="B79" s="62" t="s">
        <v>744</v>
      </c>
    </row>
    <row r="80">
      <c r="A80" s="62" t="s">
        <v>745</v>
      </c>
      <c r="B80" s="62" t="s">
        <v>746</v>
      </c>
    </row>
    <row r="81">
      <c r="A81" s="62" t="s">
        <v>747</v>
      </c>
      <c r="B81" s="62" t="s">
        <v>748</v>
      </c>
    </row>
    <row r="82">
      <c r="A82" s="62" t="s">
        <v>749</v>
      </c>
      <c r="B82" s="62" t="s">
        <v>750</v>
      </c>
    </row>
    <row r="83">
      <c r="A83" s="62" t="s">
        <v>751</v>
      </c>
      <c r="B83" s="62" t="s">
        <v>752</v>
      </c>
    </row>
    <row r="84">
      <c r="A84" s="62" t="s">
        <v>753</v>
      </c>
      <c r="B84" s="62" t="s">
        <v>754</v>
      </c>
    </row>
    <row r="85">
      <c r="A85" s="62" t="s">
        <v>755</v>
      </c>
      <c r="B85" s="62" t="s">
        <v>756</v>
      </c>
    </row>
    <row r="86">
      <c r="A86" s="62" t="s">
        <v>757</v>
      </c>
      <c r="B86" s="62" t="s">
        <v>758</v>
      </c>
    </row>
    <row r="87">
      <c r="A87" s="62" t="s">
        <v>759</v>
      </c>
      <c r="B87" s="62" t="s">
        <v>601</v>
      </c>
    </row>
    <row r="88">
      <c r="A88" s="62" t="s">
        <v>760</v>
      </c>
      <c r="B88" s="62" t="s">
        <v>761</v>
      </c>
    </row>
    <row r="89">
      <c r="A89" s="62" t="s">
        <v>762</v>
      </c>
      <c r="B89" s="62" t="s">
        <v>763</v>
      </c>
    </row>
    <row r="90">
      <c r="A90" s="62" t="s">
        <v>764</v>
      </c>
      <c r="B90" s="62" t="s">
        <v>765</v>
      </c>
    </row>
    <row r="91">
      <c r="A91" s="62" t="s">
        <v>766</v>
      </c>
      <c r="B91" s="62" t="s">
        <v>767</v>
      </c>
    </row>
    <row r="92">
      <c r="A92" s="62" t="s">
        <v>768</v>
      </c>
      <c r="B92" s="62" t="s">
        <v>769</v>
      </c>
    </row>
    <row r="93">
      <c r="A93" s="62" t="s">
        <v>770</v>
      </c>
      <c r="B93" s="62" t="s">
        <v>771</v>
      </c>
    </row>
    <row r="94">
      <c r="A94" s="62" t="s">
        <v>772</v>
      </c>
      <c r="B94" s="62" t="s">
        <v>773</v>
      </c>
    </row>
    <row r="95">
      <c r="A95" s="62" t="s">
        <v>774</v>
      </c>
      <c r="B95" s="62" t="s">
        <v>775</v>
      </c>
    </row>
    <row r="96">
      <c r="A96" s="62" t="s">
        <v>776</v>
      </c>
      <c r="B96" s="62" t="s">
        <v>777</v>
      </c>
    </row>
    <row r="97">
      <c r="A97" s="62" t="s">
        <v>778</v>
      </c>
      <c r="B97" s="62" t="s">
        <v>779</v>
      </c>
    </row>
    <row r="98">
      <c r="A98" s="62" t="s">
        <v>780</v>
      </c>
      <c r="B98" s="62" t="s">
        <v>781</v>
      </c>
    </row>
    <row r="99">
      <c r="A99" s="62" t="s">
        <v>782</v>
      </c>
      <c r="B99" s="62" t="s">
        <v>783</v>
      </c>
    </row>
    <row r="100">
      <c r="A100" s="62" t="s">
        <v>784</v>
      </c>
      <c r="B100" s="62" t="s">
        <v>785</v>
      </c>
    </row>
    <row r="101">
      <c r="A101" s="62" t="s">
        <v>786</v>
      </c>
      <c r="B101" s="62" t="s">
        <v>787</v>
      </c>
    </row>
    <row r="102">
      <c r="A102" s="62" t="s">
        <v>788</v>
      </c>
      <c r="B102" s="62" t="s">
        <v>789</v>
      </c>
    </row>
    <row r="103">
      <c r="A103" s="62" t="s">
        <v>790</v>
      </c>
      <c r="B103" s="62" t="s">
        <v>791</v>
      </c>
    </row>
    <row r="104">
      <c r="A104" s="62" t="s">
        <v>792</v>
      </c>
      <c r="B104" s="62" t="s">
        <v>601</v>
      </c>
    </row>
    <row r="105">
      <c r="A105" s="62" t="s">
        <v>793</v>
      </c>
      <c r="B105" s="62" t="s">
        <v>794</v>
      </c>
    </row>
    <row r="106">
      <c r="A106" s="62" t="s">
        <v>795</v>
      </c>
      <c r="B106" s="62" t="s">
        <v>796</v>
      </c>
    </row>
    <row r="107">
      <c r="A107" s="62" t="s">
        <v>797</v>
      </c>
      <c r="B107" s="62" t="s">
        <v>675</v>
      </c>
    </row>
    <row r="108">
      <c r="A108" s="62" t="s">
        <v>798</v>
      </c>
      <c r="B108" s="62" t="s">
        <v>799</v>
      </c>
    </row>
    <row r="109">
      <c r="A109" s="62" t="s">
        <v>800</v>
      </c>
      <c r="B109" s="62" t="s">
        <v>801</v>
      </c>
    </row>
    <row r="110">
      <c r="A110" s="62" t="s">
        <v>802</v>
      </c>
      <c r="B110" s="62" t="s">
        <v>601</v>
      </c>
    </row>
    <row r="111">
      <c r="A111" s="62" t="s">
        <v>803</v>
      </c>
      <c r="B111" s="62" t="s">
        <v>804</v>
      </c>
    </row>
    <row r="112">
      <c r="A112" s="62" t="s">
        <v>805</v>
      </c>
      <c r="B112" s="62" t="s">
        <v>806</v>
      </c>
    </row>
    <row r="113">
      <c r="A113" s="62" t="s">
        <v>807</v>
      </c>
      <c r="B113" s="62" t="s">
        <v>808</v>
      </c>
    </row>
    <row r="114">
      <c r="A114" s="62" t="s">
        <v>809</v>
      </c>
      <c r="B114" s="62" t="s">
        <v>810</v>
      </c>
    </row>
    <row r="115">
      <c r="A115" s="62" t="s">
        <v>811</v>
      </c>
      <c r="B115" s="62" t="s">
        <v>812</v>
      </c>
    </row>
    <row r="116">
      <c r="A116" s="62" t="s">
        <v>813</v>
      </c>
      <c r="B116" s="62" t="s">
        <v>814</v>
      </c>
    </row>
    <row r="117">
      <c r="A117" s="62" t="s">
        <v>815</v>
      </c>
      <c r="B117" s="62" t="s">
        <v>816</v>
      </c>
    </row>
    <row r="118">
      <c r="A118" s="62" t="s">
        <v>817</v>
      </c>
      <c r="B118" s="62" t="s">
        <v>818</v>
      </c>
    </row>
    <row r="119">
      <c r="A119" s="62" t="s">
        <v>819</v>
      </c>
      <c r="B119" s="62" t="s">
        <v>820</v>
      </c>
    </row>
    <row r="120">
      <c r="A120" s="62" t="s">
        <v>821</v>
      </c>
      <c r="B120" s="62" t="s">
        <v>822</v>
      </c>
    </row>
    <row r="121">
      <c r="A121" s="62" t="s">
        <v>823</v>
      </c>
      <c r="B121" s="62" t="s">
        <v>824</v>
      </c>
    </row>
    <row r="122">
      <c r="A122" s="62" t="s">
        <v>825</v>
      </c>
      <c r="B122" s="62" t="s">
        <v>826</v>
      </c>
    </row>
    <row r="123">
      <c r="A123" s="62" t="s">
        <v>827</v>
      </c>
      <c r="B123" s="62" t="s">
        <v>828</v>
      </c>
    </row>
    <row r="124">
      <c r="A124" s="62" t="s">
        <v>829</v>
      </c>
      <c r="B124" s="62" t="s">
        <v>830</v>
      </c>
    </row>
    <row r="125">
      <c r="A125" s="62" t="s">
        <v>831</v>
      </c>
      <c r="B125" s="62" t="s">
        <v>832</v>
      </c>
    </row>
    <row r="126">
      <c r="A126" s="62" t="s">
        <v>833</v>
      </c>
      <c r="B126" s="62" t="s">
        <v>834</v>
      </c>
    </row>
    <row r="127">
      <c r="A127" s="62" t="s">
        <v>835</v>
      </c>
      <c r="B127" s="62" t="s">
        <v>836</v>
      </c>
    </row>
    <row r="128">
      <c r="A128" s="62" t="s">
        <v>837</v>
      </c>
      <c r="B128" s="62" t="s">
        <v>838</v>
      </c>
    </row>
    <row r="129">
      <c r="A129" s="62" t="s">
        <v>839</v>
      </c>
      <c r="B129" s="62" t="s">
        <v>840</v>
      </c>
    </row>
    <row r="130">
      <c r="A130" s="62" t="s">
        <v>841</v>
      </c>
      <c r="B130" s="62" t="s">
        <v>601</v>
      </c>
    </row>
    <row r="131">
      <c r="A131" s="62" t="s">
        <v>842</v>
      </c>
      <c r="B131" s="62" t="s">
        <v>843</v>
      </c>
    </row>
    <row r="132">
      <c r="A132" s="62" t="s">
        <v>844</v>
      </c>
      <c r="B132" s="62" t="s">
        <v>845</v>
      </c>
    </row>
    <row r="133">
      <c r="A133" s="62" t="s">
        <v>846</v>
      </c>
      <c r="B133" s="62" t="s">
        <v>675</v>
      </c>
    </row>
    <row r="134">
      <c r="A134" s="62" t="s">
        <v>847</v>
      </c>
      <c r="B134" s="62" t="s">
        <v>675</v>
      </c>
    </row>
    <row r="135">
      <c r="A135" s="62" t="s">
        <v>848</v>
      </c>
      <c r="B135" s="62" t="s">
        <v>849</v>
      </c>
    </row>
    <row r="136">
      <c r="A136" s="62" t="s">
        <v>850</v>
      </c>
      <c r="B136" s="62" t="s">
        <v>851</v>
      </c>
    </row>
    <row r="137">
      <c r="A137" s="62" t="s">
        <v>852</v>
      </c>
      <c r="B137" s="62" t="s">
        <v>853</v>
      </c>
    </row>
    <row r="138">
      <c r="A138" s="62" t="s">
        <v>854</v>
      </c>
      <c r="B138" s="62" t="s">
        <v>855</v>
      </c>
    </row>
    <row r="139">
      <c r="A139" s="62" t="s">
        <v>856</v>
      </c>
      <c r="B139" s="62" t="s">
        <v>857</v>
      </c>
    </row>
    <row r="140">
      <c r="A140" s="62" t="s">
        <v>858</v>
      </c>
      <c r="B140" s="62" t="s">
        <v>859</v>
      </c>
    </row>
    <row r="141">
      <c r="A141" s="62" t="s">
        <v>860</v>
      </c>
      <c r="B141" s="62" t="s">
        <v>861</v>
      </c>
    </row>
    <row r="142">
      <c r="A142" s="62" t="s">
        <v>862</v>
      </c>
      <c r="B142" s="62" t="s">
        <v>675</v>
      </c>
    </row>
    <row r="143">
      <c r="A143" s="62" t="s">
        <v>863</v>
      </c>
      <c r="B143" s="62" t="s">
        <v>675</v>
      </c>
    </row>
    <row r="144">
      <c r="A144" s="62" t="s">
        <v>864</v>
      </c>
      <c r="B144" s="62" t="s">
        <v>675</v>
      </c>
    </row>
    <row r="145">
      <c r="A145" s="62" t="s">
        <v>865</v>
      </c>
      <c r="B145" s="62" t="s">
        <v>675</v>
      </c>
    </row>
    <row r="146">
      <c r="A146" s="62" t="s">
        <v>866</v>
      </c>
      <c r="B146" s="62" t="s">
        <v>867</v>
      </c>
    </row>
    <row r="147">
      <c r="A147" s="62" t="s">
        <v>868</v>
      </c>
      <c r="B147" s="62" t="s">
        <v>675</v>
      </c>
    </row>
    <row r="148">
      <c r="A148" s="62" t="s">
        <v>869</v>
      </c>
      <c r="B148" s="62" t="s">
        <v>675</v>
      </c>
    </row>
    <row r="149">
      <c r="A149" s="62" t="s">
        <v>870</v>
      </c>
      <c r="B149" s="62" t="s">
        <v>675</v>
      </c>
    </row>
    <row r="150">
      <c r="A150" s="62" t="s">
        <v>871</v>
      </c>
      <c r="B150" s="62" t="s">
        <v>872</v>
      </c>
    </row>
    <row r="151">
      <c r="A151" s="62" t="s">
        <v>873</v>
      </c>
      <c r="B151" s="62" t="s">
        <v>874</v>
      </c>
    </row>
    <row r="152">
      <c r="A152" s="62" t="s">
        <v>875</v>
      </c>
      <c r="B152" s="62" t="s">
        <v>675</v>
      </c>
    </row>
    <row r="153">
      <c r="A153" s="62" t="s">
        <v>876</v>
      </c>
      <c r="B153" s="62" t="s">
        <v>675</v>
      </c>
    </row>
    <row r="154">
      <c r="A154" s="62" t="s">
        <v>877</v>
      </c>
      <c r="B154" s="62" t="s">
        <v>675</v>
      </c>
    </row>
    <row r="155">
      <c r="A155" s="62" t="s">
        <v>878</v>
      </c>
      <c r="B155" s="62" t="s">
        <v>879</v>
      </c>
    </row>
    <row r="156">
      <c r="A156" s="62" t="s">
        <v>880</v>
      </c>
      <c r="B156" s="62" t="s">
        <v>881</v>
      </c>
    </row>
    <row r="157">
      <c r="A157" s="62" t="s">
        <v>882</v>
      </c>
      <c r="B157" s="62" t="s">
        <v>883</v>
      </c>
    </row>
    <row r="158">
      <c r="A158" s="62" t="s">
        <v>884</v>
      </c>
      <c r="B158" s="62" t="s">
        <v>885</v>
      </c>
    </row>
    <row r="159">
      <c r="A159" s="62" t="s">
        <v>886</v>
      </c>
      <c r="B159" s="62" t="s">
        <v>887</v>
      </c>
    </row>
    <row r="160">
      <c r="A160" s="62" t="s">
        <v>888</v>
      </c>
      <c r="B160" s="62" t="s">
        <v>889</v>
      </c>
    </row>
    <row r="161">
      <c r="A161" s="62" t="s">
        <v>890</v>
      </c>
      <c r="B161" s="62" t="s">
        <v>891</v>
      </c>
    </row>
    <row r="162">
      <c r="A162" s="62" t="s">
        <v>892</v>
      </c>
      <c r="B162" s="62" t="s">
        <v>893</v>
      </c>
    </row>
    <row r="163">
      <c r="A163" s="62" t="s">
        <v>894</v>
      </c>
      <c r="B163" s="62" t="s">
        <v>895</v>
      </c>
    </row>
    <row r="164">
      <c r="A164" s="62" t="s">
        <v>896</v>
      </c>
      <c r="B164" s="62" t="s">
        <v>897</v>
      </c>
    </row>
    <row r="165">
      <c r="A165" s="62" t="s">
        <v>898</v>
      </c>
      <c r="B165" s="62" t="s">
        <v>601</v>
      </c>
    </row>
    <row r="166">
      <c r="A166" s="62" t="s">
        <v>899</v>
      </c>
      <c r="B166" s="62" t="s">
        <v>900</v>
      </c>
    </row>
    <row r="167">
      <c r="A167" s="62" t="s">
        <v>901</v>
      </c>
      <c r="B167" s="62" t="s">
        <v>902</v>
      </c>
    </row>
    <row r="168">
      <c r="A168" s="62" t="s">
        <v>903</v>
      </c>
      <c r="B168" s="62" t="s">
        <v>601</v>
      </c>
    </row>
    <row r="169">
      <c r="A169" s="62" t="s">
        <v>904</v>
      </c>
      <c r="B169" s="62" t="s">
        <v>905</v>
      </c>
    </row>
    <row r="170">
      <c r="A170" s="62" t="s">
        <v>906</v>
      </c>
      <c r="B170" s="62" t="s">
        <v>907</v>
      </c>
    </row>
    <row r="171">
      <c r="A171" s="62" t="s">
        <v>908</v>
      </c>
      <c r="B171" s="62" t="s">
        <v>909</v>
      </c>
    </row>
    <row r="172">
      <c r="A172" s="62" t="s">
        <v>910</v>
      </c>
      <c r="B172" s="62" t="s">
        <v>911</v>
      </c>
    </row>
    <row r="173">
      <c r="A173" s="62" t="s">
        <v>912</v>
      </c>
      <c r="B173" s="62" t="s">
        <v>913</v>
      </c>
    </row>
    <row r="174">
      <c r="A174" s="62" t="s">
        <v>914</v>
      </c>
      <c r="B174" s="62" t="s">
        <v>601</v>
      </c>
    </row>
    <row r="175">
      <c r="A175" s="62" t="s">
        <v>915</v>
      </c>
      <c r="B175" s="62" t="s">
        <v>916</v>
      </c>
    </row>
    <row r="176">
      <c r="A176" s="62" t="s">
        <v>917</v>
      </c>
      <c r="B176" s="62" t="s">
        <v>918</v>
      </c>
    </row>
    <row r="177">
      <c r="A177" s="62" t="s">
        <v>919</v>
      </c>
      <c r="B177" s="62" t="s">
        <v>920</v>
      </c>
    </row>
    <row r="178">
      <c r="A178" s="62" t="s">
        <v>921</v>
      </c>
      <c r="B178" s="62" t="s">
        <v>601</v>
      </c>
    </row>
    <row r="179">
      <c r="A179" s="62" t="s">
        <v>922</v>
      </c>
      <c r="B179" s="62" t="s">
        <v>923</v>
      </c>
    </row>
    <row r="180">
      <c r="A180" s="62" t="s">
        <v>924</v>
      </c>
      <c r="B180" s="62" t="s">
        <v>925</v>
      </c>
    </row>
    <row r="181">
      <c r="A181" s="62" t="s">
        <v>926</v>
      </c>
      <c r="B181" s="62" t="s">
        <v>927</v>
      </c>
    </row>
    <row r="182">
      <c r="A182" s="62" t="s">
        <v>928</v>
      </c>
      <c r="B182" s="62" t="s">
        <v>929</v>
      </c>
    </row>
    <row r="183">
      <c r="A183" s="62" t="s">
        <v>930</v>
      </c>
      <c r="B183" s="62" t="s">
        <v>931</v>
      </c>
    </row>
    <row r="184">
      <c r="A184" s="62" t="s">
        <v>932</v>
      </c>
      <c r="B184" s="62" t="s">
        <v>933</v>
      </c>
    </row>
    <row r="185">
      <c r="A185" s="62" t="s">
        <v>934</v>
      </c>
      <c r="B185" s="62" t="s">
        <v>601</v>
      </c>
    </row>
    <row r="186">
      <c r="A186" s="62" t="s">
        <v>935</v>
      </c>
      <c r="B186" s="62" t="s">
        <v>936</v>
      </c>
    </row>
    <row r="187">
      <c r="A187" s="62" t="s">
        <v>937</v>
      </c>
      <c r="B187" s="62" t="s">
        <v>938</v>
      </c>
    </row>
    <row r="188">
      <c r="A188" s="62" t="s">
        <v>939</v>
      </c>
      <c r="B188" s="62" t="s">
        <v>940</v>
      </c>
    </row>
    <row r="189">
      <c r="A189" s="62" t="s">
        <v>941</v>
      </c>
      <c r="B189" s="62" t="s">
        <v>942</v>
      </c>
    </row>
    <row r="190">
      <c r="A190" s="62" t="s">
        <v>943</v>
      </c>
      <c r="B190" s="62" t="s">
        <v>944</v>
      </c>
    </row>
    <row r="191">
      <c r="A191" s="62" t="s">
        <v>945</v>
      </c>
      <c r="B191" s="62" t="s">
        <v>946</v>
      </c>
    </row>
    <row r="192">
      <c r="A192" s="62" t="s">
        <v>947</v>
      </c>
      <c r="B192" s="62" t="s">
        <v>948</v>
      </c>
    </row>
    <row r="193">
      <c r="A193" s="62" t="s">
        <v>949</v>
      </c>
      <c r="B193" s="62" t="s">
        <v>601</v>
      </c>
    </row>
  </sheetData>
  <drawing r:id="rId1"/>
</worksheet>
</file>